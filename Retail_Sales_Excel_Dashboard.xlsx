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431c2907e85d0113/Desktop/"/>
    </mc:Choice>
  </mc:AlternateContent>
  <xr:revisionPtr revIDLastSave="0" documentId="8_{6D2A6BED-5CA2-4E10-AD81-6BD795AF9F71}" xr6:coauthVersionLast="47" xr6:coauthVersionMax="47" xr10:uidLastSave="{00000000-0000-0000-0000-000000000000}"/>
  <bookViews>
    <workbookView xWindow="-108" yWindow="-108" windowWidth="23256" windowHeight="12456" activeTab="1" xr2:uid="{00000000-000D-0000-FFFF-FFFF00000000}"/>
  </bookViews>
  <sheets>
    <sheet name="Pivot" sheetId="5" r:id="rId1"/>
    <sheet name="DashBoard" sheetId="6" r:id="rId2"/>
    <sheet name="Sales_Data" sheetId="1" r:id="rId3"/>
    <sheet name="Product_Master" sheetId="2" r:id="rId4"/>
    <sheet name="Bonus_HLookup" sheetId="3" r:id="rId5"/>
  </sheets>
  <definedNames>
    <definedName name="Slicer_Category">#N/A</definedName>
    <definedName name="Slicer_Region">#N/A</definedName>
    <definedName name="Slicer_Salespers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6" l="1"/>
  <c r="F5" i="6"/>
  <c r="D5" i="6"/>
  <c r="B5" i="6"/>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2" i="1"/>
  <c r="M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2" i="1"/>
  <c r="V112" i="1" a="1"/>
  <c r="V113" i="1" a="1"/>
  <c r="V114" i="1" a="1"/>
  <c r="V115" i="1" a="1"/>
  <c r="V116" i="1" a="1"/>
  <c r="V117" i="1" a="1"/>
  <c r="V118" i="1" a="1"/>
  <c r="V119" i="1" a="1"/>
  <c r="V119" i="1"/>
  <c r="V120" i="1" a="1"/>
  <c r="V121" i="1" a="1"/>
  <c r="V122" i="1" a="1"/>
  <c r="V123" i="1" a="1"/>
  <c r="V124" i="1" a="1"/>
  <c r="V125" i="1" a="1"/>
  <c r="V126" i="1" a="1"/>
  <c r="V127" i="1" a="1"/>
  <c r="V128" i="1" a="1"/>
  <c r="V129" i="1" a="1"/>
  <c r="V130" i="1" a="1"/>
  <c r="V131" i="1" a="1"/>
  <c r="V132" i="1" a="1"/>
  <c r="V133" i="1" a="1"/>
  <c r="V134" i="1" a="1"/>
  <c r="V135" i="1" a="1"/>
  <c r="V136" i="1" a="1"/>
  <c r="V137" i="1" a="1"/>
  <c r="V138" i="1" a="1"/>
  <c r="V139" i="1" a="1"/>
  <c r="V140" i="1" a="1"/>
  <c r="V141" i="1" a="1"/>
  <c r="V142" i="1" a="1"/>
  <c r="V143" i="1" a="1"/>
  <c r="V144" i="1" a="1"/>
  <c r="V145" i="1" a="1"/>
  <c r="V146" i="1" a="1"/>
  <c r="V147" i="1" a="1"/>
  <c r="V148" i="1" a="1"/>
  <c r="V148" i="1"/>
  <c r="V149" i="1" a="1"/>
  <c r="V149" i="1"/>
  <c r="V150" i="1" a="1"/>
  <c r="V151" i="1" a="1"/>
  <c r="V152" i="1" a="1"/>
  <c r="V153" i="1" a="1"/>
  <c r="V154" i="1" a="1"/>
  <c r="V155" i="1" a="1"/>
  <c r="V156" i="1" a="1"/>
  <c r="V157" i="1" a="1"/>
  <c r="V158" i="1" a="1"/>
  <c r="V158" i="1"/>
  <c r="V159" i="1" a="1"/>
  <c r="V160" i="1" a="1"/>
  <c r="V161" i="1" a="1"/>
  <c r="V162" i="1" a="1"/>
  <c r="V162" i="1"/>
  <c r="V163" i="1" a="1"/>
  <c r="V164" i="1" a="1"/>
  <c r="V165" i="1" a="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2" i="1"/>
  <c r="Q2"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V116"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V118" i="1"/>
  <c r="V120" i="1"/>
  <c r="V122" i="1"/>
  <c r="V124" i="1"/>
  <c r="V126" i="1"/>
  <c r="V128" i="1"/>
  <c r="V130" i="1"/>
  <c r="V132" i="1"/>
  <c r="V134" i="1"/>
  <c r="V136" i="1"/>
  <c r="V138" i="1"/>
  <c r="V140" i="1"/>
  <c r="V142" i="1"/>
  <c r="V144" i="1"/>
  <c r="V146" i="1"/>
  <c r="V151" i="1"/>
  <c r="V153" i="1"/>
  <c r="V155" i="1"/>
  <c r="V157" i="1"/>
  <c r="V159" i="1"/>
  <c r="V161" i="1"/>
  <c r="V164"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2" i="1"/>
  <c r="V117"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V121" i="1"/>
  <c r="V123" i="1"/>
  <c r="V125" i="1"/>
  <c r="V127" i="1"/>
  <c r="V129" i="1"/>
  <c r="V131" i="1"/>
  <c r="V133" i="1"/>
  <c r="V135" i="1"/>
  <c r="V137" i="1"/>
  <c r="V139" i="1"/>
  <c r="V141" i="1"/>
  <c r="V143" i="1"/>
  <c r="V145" i="1"/>
  <c r="V147" i="1"/>
  <c r="V150" i="1"/>
  <c r="V152" i="1"/>
  <c r="V154" i="1"/>
  <c r="V156" i="1"/>
  <c r="V160" i="1"/>
  <c r="V163" i="1"/>
  <c r="V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2" i="1"/>
  <c r="Q3" i="1"/>
  <c r="R3" i="1" s="1"/>
  <c r="Q4" i="1"/>
  <c r="R4" i="1" s="1"/>
  <c r="Q5" i="1"/>
  <c r="R5" i="1" s="1"/>
  <c r="Q6" i="1"/>
  <c r="R6" i="1" s="1"/>
  <c r="Q7" i="1"/>
  <c r="R7" i="1" s="1"/>
  <c r="Q8" i="1"/>
  <c r="R8" i="1" s="1"/>
  <c r="Q9" i="1"/>
  <c r="R9" i="1" s="1"/>
  <c r="Q10" i="1"/>
  <c r="R10" i="1" s="1"/>
  <c r="Q11" i="1"/>
  <c r="R11" i="1" s="1"/>
  <c r="Q12" i="1"/>
  <c r="R12" i="1" s="1"/>
  <c r="Q13" i="1"/>
  <c r="R13" i="1" s="1"/>
  <c r="Q14" i="1"/>
  <c r="R14" i="1" s="1"/>
  <c r="Q15" i="1"/>
  <c r="R15" i="1" s="1"/>
  <c r="Q16" i="1"/>
  <c r="R16" i="1" s="1"/>
  <c r="Q17" i="1"/>
  <c r="R17" i="1" s="1"/>
  <c r="Q18" i="1"/>
  <c r="R18" i="1" s="1"/>
  <c r="Q19" i="1"/>
  <c r="R19" i="1" s="1"/>
  <c r="Q20" i="1"/>
  <c r="R20" i="1" s="1"/>
  <c r="Q21" i="1"/>
  <c r="R21" i="1" s="1"/>
  <c r="Q22" i="1"/>
  <c r="R22" i="1" s="1"/>
  <c r="Q23" i="1"/>
  <c r="R23" i="1" s="1"/>
  <c r="Q24" i="1"/>
  <c r="R24" i="1" s="1"/>
  <c r="Q25" i="1"/>
  <c r="R25" i="1" s="1"/>
  <c r="Q26" i="1"/>
  <c r="R26" i="1" s="1"/>
  <c r="Q27" i="1"/>
  <c r="R27" i="1" s="1"/>
  <c r="Q28" i="1"/>
  <c r="R28" i="1" s="1"/>
  <c r="Q29" i="1"/>
  <c r="R29" i="1" s="1"/>
  <c r="Q30" i="1"/>
  <c r="R30" i="1" s="1"/>
  <c r="Q31" i="1"/>
  <c r="R31" i="1" s="1"/>
  <c r="Q32" i="1"/>
  <c r="R32" i="1" s="1"/>
  <c r="Q33" i="1"/>
  <c r="R33" i="1" s="1"/>
  <c r="Q34" i="1"/>
  <c r="R34" i="1" s="1"/>
  <c r="Q35" i="1"/>
  <c r="R35" i="1" s="1"/>
  <c r="Q36" i="1"/>
  <c r="R36" i="1" s="1"/>
  <c r="Q37" i="1"/>
  <c r="R37" i="1" s="1"/>
  <c r="Q38" i="1"/>
  <c r="R38" i="1" s="1"/>
  <c r="Q39" i="1"/>
  <c r="R39" i="1" s="1"/>
  <c r="Q40" i="1"/>
  <c r="R40" i="1" s="1"/>
  <c r="Q41" i="1"/>
  <c r="R41" i="1" s="1"/>
  <c r="Q42" i="1"/>
  <c r="R42" i="1" s="1"/>
  <c r="Q43" i="1"/>
  <c r="R43" i="1" s="1"/>
  <c r="Q44" i="1"/>
  <c r="R44" i="1" s="1"/>
  <c r="Q45" i="1"/>
  <c r="R45" i="1" s="1"/>
  <c r="Q46" i="1"/>
  <c r="R46" i="1" s="1"/>
  <c r="Q47" i="1"/>
  <c r="R47" i="1" s="1"/>
  <c r="Q48" i="1"/>
  <c r="R48" i="1" s="1"/>
  <c r="Q49" i="1"/>
  <c r="R49" i="1" s="1"/>
  <c r="Q50" i="1"/>
  <c r="R50" i="1" s="1"/>
  <c r="Q51" i="1"/>
  <c r="R51" i="1" s="1"/>
  <c r="Q52" i="1"/>
  <c r="R52" i="1" s="1"/>
  <c r="Q53" i="1"/>
  <c r="R53" i="1" s="1"/>
  <c r="Q54" i="1"/>
  <c r="R54" i="1" s="1"/>
  <c r="Q55" i="1"/>
  <c r="R55" i="1" s="1"/>
  <c r="Q56" i="1"/>
  <c r="R56" i="1" s="1"/>
  <c r="Q57" i="1"/>
  <c r="R57" i="1" s="1"/>
  <c r="Q58" i="1"/>
  <c r="R58" i="1" s="1"/>
  <c r="Q59" i="1"/>
  <c r="R59" i="1" s="1"/>
  <c r="Q60" i="1"/>
  <c r="R60" i="1" s="1"/>
  <c r="Q61" i="1"/>
  <c r="R61" i="1" s="1"/>
  <c r="Q62" i="1"/>
  <c r="R62" i="1" s="1"/>
  <c r="Q63" i="1"/>
  <c r="R63" i="1" s="1"/>
  <c r="Q64" i="1"/>
  <c r="R64" i="1" s="1"/>
  <c r="Q65" i="1"/>
  <c r="R65" i="1" s="1"/>
  <c r="Q66" i="1"/>
  <c r="R66" i="1" s="1"/>
  <c r="Q67" i="1"/>
  <c r="R67" i="1" s="1"/>
  <c r="Q68" i="1"/>
  <c r="R68" i="1" s="1"/>
  <c r="Q69" i="1"/>
  <c r="R69" i="1" s="1"/>
  <c r="Q70" i="1"/>
  <c r="R70" i="1" s="1"/>
  <c r="Q71" i="1"/>
  <c r="R71" i="1" s="1"/>
  <c r="Q72" i="1"/>
  <c r="R72" i="1" s="1"/>
  <c r="Q73" i="1"/>
  <c r="R73" i="1" s="1"/>
  <c r="Q74" i="1"/>
  <c r="R74" i="1" s="1"/>
  <c r="Q75" i="1"/>
  <c r="R75" i="1" s="1"/>
  <c r="Q76" i="1"/>
  <c r="R76" i="1" s="1"/>
  <c r="Q77" i="1"/>
  <c r="R77" i="1" s="1"/>
  <c r="Q78" i="1"/>
  <c r="R78" i="1" s="1"/>
  <c r="Q79" i="1"/>
  <c r="R79" i="1" s="1"/>
  <c r="Q80" i="1"/>
  <c r="R80" i="1" s="1"/>
  <c r="Q81" i="1"/>
  <c r="R81" i="1" s="1"/>
  <c r="Q82" i="1"/>
  <c r="R82" i="1" s="1"/>
  <c r="Q83" i="1"/>
  <c r="R83" i="1" s="1"/>
  <c r="Q84" i="1"/>
  <c r="R84" i="1" s="1"/>
  <c r="Q85" i="1"/>
  <c r="R85" i="1" s="1"/>
  <c r="Q86" i="1"/>
  <c r="R86" i="1" s="1"/>
  <c r="Q87" i="1"/>
  <c r="R87" i="1" s="1"/>
  <c r="Q88" i="1"/>
  <c r="R88" i="1" s="1"/>
  <c r="Q89" i="1"/>
  <c r="R89" i="1" s="1"/>
  <c r="Q90" i="1"/>
  <c r="R90" i="1" s="1"/>
  <c r="Q91" i="1"/>
  <c r="R91" i="1" s="1"/>
  <c r="Q92" i="1"/>
  <c r="R92" i="1" s="1"/>
  <c r="Q93" i="1"/>
  <c r="R93" i="1" s="1"/>
  <c r="Q94" i="1"/>
  <c r="R94" i="1" s="1"/>
  <c r="Q95" i="1"/>
  <c r="R95" i="1" s="1"/>
  <c r="Q96" i="1"/>
  <c r="R96" i="1" s="1"/>
  <c r="Q97" i="1"/>
  <c r="R97" i="1" s="1"/>
  <c r="Q98" i="1"/>
  <c r="R98" i="1" s="1"/>
  <c r="Q99" i="1"/>
  <c r="R99" i="1" s="1"/>
  <c r="Q100" i="1"/>
  <c r="R100" i="1" s="1"/>
  <c r="Q101" i="1"/>
  <c r="R101" i="1" s="1"/>
  <c r="Q102" i="1"/>
  <c r="R102" i="1" s="1"/>
  <c r="Q103" i="1"/>
  <c r="R103" i="1" s="1"/>
  <c r="Q104" i="1"/>
  <c r="R104" i="1" s="1"/>
  <c r="Q105" i="1"/>
  <c r="R105" i="1" s="1"/>
  <c r="Q106" i="1"/>
  <c r="R106" i="1" s="1"/>
  <c r="Q107" i="1"/>
  <c r="R107" i="1" s="1"/>
  <c r="Q108" i="1"/>
  <c r="R108" i="1" s="1"/>
  <c r="Q109" i="1"/>
  <c r="R109" i="1" s="1"/>
  <c r="Q110" i="1"/>
  <c r="R110" i="1" s="1"/>
  <c r="Q111" i="1"/>
  <c r="R111" i="1" s="1"/>
  <c r="V112" i="1"/>
  <c r="V113" i="1"/>
  <c r="V114" i="1"/>
  <c r="V115" i="1"/>
  <c r="V166" i="1" l="1" a="1"/>
  <c r="V166" i="1" s="1"/>
  <c r="S166" i="1"/>
  <c r="U166" i="1"/>
  <c r="AB166" i="1"/>
  <c r="AB167" i="1"/>
  <c r="S167" i="1"/>
  <c r="U167" i="1"/>
  <c r="V167" i="1" a="1"/>
  <c r="V167" i="1" s="1"/>
  <c r="V168" i="1" a="1"/>
  <c r="V168" i="1" s="1"/>
  <c r="S168" i="1"/>
  <c r="U168" i="1"/>
  <c r="AB168" i="1"/>
  <c r="V169" i="1" a="1"/>
  <c r="V169" i="1" s="1"/>
  <c r="S169" i="1"/>
  <c r="U169" i="1"/>
  <c r="AB169" i="1"/>
  <c r="V170" i="1" a="1"/>
  <c r="V170" i="1" s="1"/>
  <c r="AB170" i="1"/>
  <c r="S170" i="1"/>
  <c r="U170" i="1"/>
  <c r="S171" i="1"/>
  <c r="U171" i="1"/>
  <c r="V171" i="1" a="1"/>
  <c r="V171" i="1" s="1"/>
  <c r="AB171" i="1"/>
  <c r="AB172" i="1"/>
  <c r="S172" i="1"/>
  <c r="U172" i="1"/>
  <c r="V172" i="1" a="1"/>
  <c r="V172" i="1" s="1"/>
  <c r="V173" i="1" a="1"/>
  <c r="V173" i="1" s="1"/>
  <c r="S173" i="1"/>
  <c r="U173" i="1"/>
  <c r="AB173" i="1"/>
  <c r="AB174" i="1"/>
  <c r="S174" i="1"/>
  <c r="U174" i="1"/>
  <c r="V174" i="1" a="1"/>
  <c r="V174" i="1" s="1"/>
  <c r="V175" i="1" a="1"/>
  <c r="V175" i="1" s="1"/>
  <c r="AB175" i="1"/>
  <c r="S175" i="1"/>
  <c r="U175" i="1"/>
  <c r="V176" i="1" a="1"/>
  <c r="V176" i="1" s="1"/>
  <c r="S176" i="1"/>
  <c r="U176" i="1"/>
  <c r="AB176" i="1"/>
  <c r="AB177" i="1"/>
  <c r="S177" i="1"/>
  <c r="U177" i="1"/>
  <c r="V177" i="1" a="1"/>
  <c r="V177" i="1" s="1"/>
  <c r="S178" i="1"/>
  <c r="U178" i="1"/>
  <c r="V178" i="1" a="1"/>
  <c r="V178" i="1" s="1"/>
  <c r="AB178" i="1"/>
  <c r="S179" i="1"/>
  <c r="U179" i="1"/>
  <c r="V179" i="1" a="1"/>
  <c r="V179" i="1" s="1"/>
  <c r="AB179" i="1"/>
  <c r="AB180" i="1"/>
  <c r="S180" i="1"/>
  <c r="U180" i="1"/>
  <c r="V180" i="1" a="1"/>
  <c r="V180" i="1" s="1"/>
  <c r="V181" i="1" a="1"/>
  <c r="V181" i="1" s="1"/>
  <c r="S181" i="1"/>
  <c r="U181" i="1"/>
  <c r="AB181" i="1"/>
  <c r="AB182" i="1"/>
  <c r="S182" i="1"/>
  <c r="U182" i="1"/>
  <c r="V182" i="1" a="1"/>
  <c r="V182" i="1" s="1"/>
  <c r="V183" i="1" a="1"/>
  <c r="V183" i="1" s="1"/>
  <c r="S183" i="1"/>
  <c r="U183" i="1"/>
  <c r="AB183" i="1"/>
  <c r="AB184" i="1"/>
  <c r="S184" i="1"/>
  <c r="U184" i="1"/>
  <c r="V184" i="1" a="1"/>
  <c r="V184" i="1" s="1"/>
  <c r="V185" i="1" a="1"/>
  <c r="V185" i="1" s="1"/>
  <c r="S185" i="1"/>
  <c r="U185" i="1"/>
  <c r="AB185" i="1"/>
  <c r="AB186" i="1"/>
  <c r="S186" i="1"/>
  <c r="U186" i="1"/>
  <c r="V186" i="1" a="1"/>
  <c r="V186" i="1" s="1"/>
  <c r="V187" i="1" a="1"/>
  <c r="V187" i="1" s="1"/>
  <c r="S187" i="1"/>
  <c r="U187" i="1"/>
  <c r="AB187" i="1"/>
  <c r="AB188" i="1"/>
  <c r="S188" i="1"/>
  <c r="U188" i="1"/>
  <c r="V188" i="1" a="1"/>
  <c r="V188" i="1" s="1"/>
  <c r="V189" i="1" a="1"/>
  <c r="V189" i="1" s="1"/>
  <c r="S189" i="1"/>
  <c r="U189" i="1"/>
  <c r="AB189" i="1"/>
  <c r="AB190" i="1"/>
  <c r="S190" i="1"/>
  <c r="U190" i="1"/>
  <c r="V190" i="1" a="1"/>
  <c r="V190" i="1" s="1"/>
  <c r="V191" i="1" a="1"/>
  <c r="V191" i="1" s="1"/>
  <c r="S191" i="1"/>
  <c r="U191" i="1"/>
  <c r="AB191" i="1"/>
  <c r="AB192" i="1"/>
  <c r="S192" i="1"/>
  <c r="U192" i="1"/>
  <c r="V192" i="1" a="1"/>
  <c r="V192" i="1" s="1"/>
  <c r="V193" i="1" a="1"/>
  <c r="V193" i="1" s="1"/>
  <c r="S193" i="1"/>
  <c r="U193" i="1"/>
  <c r="AB193" i="1"/>
  <c r="AB194" i="1"/>
  <c r="S194" i="1"/>
  <c r="U194" i="1"/>
  <c r="V194" i="1" a="1"/>
  <c r="V194" i="1" s="1"/>
  <c r="S195" i="1"/>
  <c r="U195" i="1"/>
  <c r="V195" i="1" a="1"/>
  <c r="V195" i="1" s="1"/>
  <c r="AB195" i="1"/>
  <c r="V196" i="1" a="1"/>
  <c r="V196" i="1" s="1"/>
  <c r="AB196" i="1"/>
  <c r="S196" i="1"/>
  <c r="U196" i="1"/>
  <c r="S197" i="1"/>
  <c r="U197" i="1"/>
  <c r="V197" i="1" a="1"/>
  <c r="V197" i="1" s="1"/>
  <c r="AB197" i="1"/>
  <c r="V198" i="1" a="1"/>
  <c r="V198" i="1" s="1"/>
  <c r="AB198" i="1"/>
  <c r="S198" i="1"/>
  <c r="U198" i="1"/>
  <c r="V199" i="1" a="1"/>
  <c r="V199" i="1" s="1"/>
  <c r="AB199" i="1"/>
  <c r="S199" i="1"/>
  <c r="U199" i="1"/>
  <c r="S200" i="1"/>
  <c r="U200" i="1"/>
  <c r="V200" i="1" a="1"/>
  <c r="V200" i="1" s="1"/>
  <c r="AB200" i="1"/>
  <c r="V201" i="1" a="1"/>
  <c r="V201" i="1" s="1"/>
  <c r="AB201" i="1"/>
  <c r="S201" i="1"/>
  <c r="U201" i="1"/>
  <c r="AB202" i="1"/>
  <c r="S202" i="1"/>
  <c r="U202" i="1"/>
  <c r="V202" i="1" a="1"/>
  <c r="V202" i="1" s="1"/>
  <c r="S203" i="1"/>
  <c r="U203" i="1"/>
  <c r="V203" i="1" a="1"/>
  <c r="V203" i="1" s="1"/>
  <c r="AB203" i="1"/>
  <c r="V204" i="1" a="1"/>
  <c r="V204" i="1" s="1"/>
  <c r="AB204" i="1"/>
  <c r="S204" i="1"/>
  <c r="U204" i="1"/>
  <c r="S205" i="1"/>
  <c r="U205" i="1"/>
  <c r="V205" i="1" a="1"/>
  <c r="V205" i="1" s="1"/>
  <c r="AB205" i="1"/>
  <c r="V206" i="1" a="1"/>
  <c r="V206" i="1" s="1"/>
  <c r="AB206" i="1"/>
  <c r="S206" i="1"/>
  <c r="U206" i="1"/>
  <c r="S207" i="1"/>
  <c r="U207" i="1"/>
  <c r="V207" i="1" a="1"/>
  <c r="V207" i="1" s="1"/>
  <c r="AB207" i="1"/>
  <c r="V208" i="1" a="1"/>
  <c r="V208" i="1" s="1"/>
  <c r="AB208" i="1"/>
  <c r="S208" i="1"/>
  <c r="U208" i="1"/>
  <c r="S209" i="1"/>
  <c r="U209" i="1"/>
  <c r="V209" i="1" a="1"/>
  <c r="V209" i="1" s="1"/>
  <c r="AB209" i="1"/>
  <c r="V210" i="1" a="1"/>
  <c r="V210" i="1" s="1"/>
  <c r="AB210" i="1"/>
  <c r="S210" i="1"/>
  <c r="U210" i="1"/>
  <c r="S211" i="1"/>
  <c r="U211" i="1"/>
  <c r="V211" i="1" a="1"/>
  <c r="V211" i="1" s="1"/>
  <c r="AB211" i="1"/>
  <c r="AB212" i="1"/>
  <c r="S212" i="1"/>
  <c r="U212" i="1"/>
  <c r="V212" i="1" a="1"/>
  <c r="V212" i="1" s="1"/>
  <c r="V213" i="1" a="1"/>
  <c r="V213" i="1" s="1"/>
  <c r="S213" i="1"/>
  <c r="U213" i="1"/>
  <c r="AB213" i="1"/>
  <c r="AB214" i="1"/>
  <c r="S214" i="1"/>
  <c r="U214" i="1"/>
  <c r="V214" i="1" a="1"/>
  <c r="V214" i="1" s="1"/>
  <c r="V215" i="1" a="1"/>
  <c r="V215" i="1" s="1"/>
  <c r="S215" i="1"/>
  <c r="U215" i="1"/>
  <c r="AB215" i="1"/>
  <c r="V216" i="1" a="1"/>
  <c r="V216" i="1" s="1"/>
  <c r="AB216" i="1"/>
  <c r="S216" i="1"/>
  <c r="U216" i="1"/>
  <c r="S217" i="1"/>
  <c r="U217" i="1"/>
  <c r="V217" i="1" a="1"/>
  <c r="V217" i="1" s="1"/>
  <c r="AB217" i="1"/>
  <c r="V218" i="1" a="1"/>
  <c r="V218" i="1" s="1"/>
  <c r="AB218" i="1"/>
  <c r="S218" i="1"/>
  <c r="U218" i="1"/>
  <c r="V219" i="1" a="1"/>
  <c r="V219" i="1" s="1"/>
  <c r="S219" i="1"/>
  <c r="U219" i="1"/>
  <c r="AB219" i="1"/>
  <c r="AB220" i="1"/>
  <c r="S220" i="1"/>
  <c r="U220" i="1"/>
  <c r="V220" i="1" a="1"/>
  <c r="V220" i="1" s="1"/>
  <c r="V221" i="1" a="1"/>
  <c r="V221" i="1" s="1"/>
  <c r="S221" i="1"/>
  <c r="U221" i="1"/>
  <c r="AB221" i="1"/>
  <c r="AB222" i="1"/>
  <c r="S222" i="1"/>
  <c r="U222" i="1"/>
  <c r="V222" i="1" a="1"/>
  <c r="V222" i="1" s="1"/>
  <c r="V223" i="1" a="1"/>
  <c r="V223" i="1" s="1"/>
  <c r="S223" i="1"/>
  <c r="U223" i="1"/>
  <c r="AB223" i="1"/>
  <c r="AB224" i="1"/>
  <c r="S224" i="1"/>
  <c r="U224" i="1"/>
  <c r="V224" i="1" a="1"/>
  <c r="V224" i="1" s="1"/>
  <c r="V225" i="1" a="1"/>
  <c r="V225" i="1" s="1"/>
  <c r="S225" i="1"/>
  <c r="U225" i="1"/>
  <c r="AB225" i="1"/>
  <c r="AB226" i="1"/>
  <c r="S226" i="1"/>
  <c r="U226" i="1"/>
  <c r="V226" i="1" a="1"/>
  <c r="V226" i="1" s="1"/>
  <c r="V227" i="1" a="1"/>
  <c r="V227" i="1" s="1"/>
  <c r="S227" i="1"/>
  <c r="U227" i="1"/>
  <c r="AB227" i="1"/>
  <c r="AB228" i="1"/>
  <c r="S228" i="1"/>
  <c r="U228" i="1"/>
  <c r="V228" i="1" a="1"/>
  <c r="V228" i="1" s="1"/>
  <c r="V229" i="1" a="1"/>
  <c r="V229" i="1" s="1"/>
  <c r="S229" i="1"/>
  <c r="U229" i="1"/>
  <c r="AB229" i="1"/>
  <c r="AB230" i="1"/>
  <c r="S230" i="1"/>
  <c r="U230" i="1"/>
  <c r="V230" i="1" a="1"/>
  <c r="V230" i="1" s="1"/>
  <c r="V231" i="1" a="1"/>
  <c r="V231" i="1" s="1"/>
  <c r="S231" i="1"/>
  <c r="U231" i="1"/>
  <c r="AB231" i="1"/>
  <c r="S232" i="1"/>
  <c r="U232" i="1"/>
  <c r="V232" i="1" a="1"/>
  <c r="V232" i="1" s="1"/>
  <c r="AB232" i="1"/>
  <c r="V233" i="1" a="1"/>
  <c r="V233" i="1" s="1"/>
  <c r="S233" i="1"/>
  <c r="U233" i="1"/>
  <c r="AB233" i="1"/>
  <c r="S234" i="1"/>
  <c r="U234" i="1"/>
  <c r="V234" i="1" a="1"/>
  <c r="V234" i="1" s="1"/>
  <c r="AB234" i="1"/>
  <c r="V235" i="1" a="1"/>
  <c r="V235" i="1" s="1"/>
  <c r="S235" i="1"/>
  <c r="U235" i="1"/>
  <c r="AB235" i="1"/>
  <c r="S236" i="1"/>
  <c r="U236" i="1"/>
  <c r="V236" i="1" a="1"/>
  <c r="V236" i="1" s="1"/>
  <c r="AB236" i="1"/>
  <c r="V237" i="1" a="1"/>
  <c r="V237" i="1" s="1"/>
  <c r="S237" i="1"/>
  <c r="U237" i="1"/>
  <c r="AB237" i="1"/>
  <c r="S238" i="1"/>
  <c r="U238" i="1"/>
  <c r="V238" i="1" a="1"/>
  <c r="V238" i="1" s="1"/>
  <c r="AB238" i="1"/>
  <c r="V239" i="1" a="1"/>
  <c r="V239" i="1" s="1"/>
  <c r="S239" i="1"/>
  <c r="U239" i="1"/>
  <c r="AB239" i="1"/>
  <c r="S240" i="1"/>
  <c r="U240" i="1"/>
  <c r="V240" i="1" a="1"/>
  <c r="V240" i="1" s="1"/>
  <c r="AB240" i="1"/>
  <c r="V241" i="1" a="1"/>
  <c r="V241" i="1" s="1"/>
  <c r="S241" i="1"/>
  <c r="U241" i="1"/>
  <c r="AB241" i="1"/>
  <c r="S242" i="1"/>
  <c r="U242" i="1"/>
  <c r="V242" i="1" a="1"/>
  <c r="V242" i="1" s="1"/>
  <c r="AB242" i="1"/>
  <c r="S243" i="1"/>
  <c r="U243" i="1"/>
  <c r="V243" i="1" a="1"/>
  <c r="V243" i="1" s="1"/>
  <c r="AB243" i="1"/>
  <c r="V244" i="1" a="1"/>
  <c r="V244" i="1" s="1"/>
  <c r="S244" i="1"/>
  <c r="U244" i="1"/>
  <c r="AB244" i="1"/>
  <c r="S245" i="1"/>
  <c r="U245" i="1"/>
  <c r="V245" i="1" a="1"/>
  <c r="V245" i="1" s="1"/>
  <c r="AB245" i="1"/>
  <c r="V246" i="1" a="1"/>
  <c r="V246" i="1" s="1"/>
  <c r="S246" i="1"/>
  <c r="U246" i="1"/>
  <c r="AB246" i="1"/>
  <c r="S247" i="1"/>
  <c r="U247" i="1"/>
  <c r="V247" i="1" a="1"/>
  <c r="V247" i="1" s="1"/>
  <c r="AB247" i="1"/>
  <c r="V248" i="1" a="1"/>
  <c r="V248" i="1" s="1"/>
  <c r="S248" i="1"/>
  <c r="U248" i="1"/>
  <c r="AB248" i="1"/>
  <c r="S249" i="1"/>
  <c r="U249" i="1"/>
  <c r="V249" i="1" a="1"/>
  <c r="V249" i="1" s="1"/>
  <c r="AB249" i="1"/>
  <c r="V250" i="1" a="1"/>
  <c r="V250" i="1" s="1"/>
  <c r="S250" i="1"/>
  <c r="U250" i="1"/>
  <c r="AB250" i="1"/>
  <c r="S251" i="1"/>
  <c r="U251" i="1"/>
  <c r="V251" i="1" a="1"/>
  <c r="V251" i="1" s="1"/>
  <c r="AB251" i="1"/>
  <c r="V252" i="1" a="1"/>
  <c r="V252" i="1" s="1"/>
  <c r="S252" i="1"/>
  <c r="U252" i="1"/>
  <c r="AB252" i="1"/>
  <c r="S253" i="1"/>
  <c r="U253" i="1"/>
  <c r="V253" i="1" a="1"/>
  <c r="V253" i="1" s="1"/>
  <c r="AB253" i="1"/>
  <c r="V254" i="1" a="1"/>
  <c r="V254" i="1" s="1"/>
  <c r="S254" i="1"/>
  <c r="U254" i="1"/>
  <c r="AB254" i="1"/>
  <c r="S255" i="1"/>
  <c r="U255" i="1"/>
  <c r="V255" i="1" a="1"/>
  <c r="V255" i="1" s="1"/>
  <c r="AB255" i="1"/>
  <c r="V256" i="1" a="1"/>
  <c r="V256" i="1" s="1"/>
  <c r="AB256" i="1"/>
  <c r="S256" i="1"/>
  <c r="U256" i="1"/>
  <c r="AB257" i="1"/>
  <c r="S257" i="1"/>
  <c r="U257" i="1"/>
  <c r="V257" i="1" a="1"/>
  <c r="V257" i="1" s="1"/>
  <c r="V258" i="1" a="1"/>
  <c r="V258" i="1" s="1"/>
  <c r="AB258" i="1"/>
  <c r="S258" i="1"/>
  <c r="U258" i="1"/>
  <c r="AB259" i="1"/>
  <c r="S259" i="1"/>
  <c r="U259" i="1"/>
  <c r="V259" i="1" a="1"/>
  <c r="V259" i="1" s="1"/>
  <c r="AB260" i="1"/>
  <c r="S260" i="1"/>
  <c r="U260" i="1"/>
  <c r="V260" i="1" a="1"/>
  <c r="V260" i="1" s="1"/>
  <c r="V261" i="1" a="1"/>
  <c r="V261" i="1" s="1"/>
  <c r="AB261" i="1"/>
  <c r="S261" i="1"/>
  <c r="U261" i="1"/>
  <c r="AB262" i="1"/>
  <c r="S262" i="1"/>
  <c r="U262" i="1"/>
  <c r="V262" i="1" a="1"/>
  <c r="V262" i="1" s="1"/>
  <c r="V263" i="1" a="1"/>
  <c r="V263" i="1" s="1"/>
  <c r="AB263" i="1"/>
  <c r="S263" i="1"/>
  <c r="U263" i="1"/>
  <c r="AB264" i="1"/>
  <c r="S264" i="1"/>
  <c r="U264" i="1"/>
  <c r="V264" i="1" a="1"/>
  <c r="V264" i="1" s="1"/>
  <c r="V265" i="1" a="1"/>
  <c r="V265" i="1" s="1"/>
  <c r="AB265" i="1"/>
  <c r="S265" i="1"/>
  <c r="U265" i="1"/>
  <c r="AB266" i="1"/>
  <c r="S266" i="1"/>
  <c r="U266" i="1"/>
  <c r="V266" i="1" a="1"/>
  <c r="V266" i="1" s="1"/>
  <c r="V267" i="1" a="1"/>
  <c r="V267" i="1" s="1"/>
  <c r="AB267" i="1"/>
  <c r="S267" i="1"/>
  <c r="U267" i="1"/>
  <c r="V268" i="1" a="1"/>
  <c r="V268" i="1" s="1"/>
  <c r="S268" i="1"/>
  <c r="U268" i="1"/>
  <c r="AB268" i="1"/>
  <c r="AB269" i="1"/>
  <c r="S269" i="1"/>
  <c r="U269" i="1"/>
  <c r="V269" i="1" a="1"/>
  <c r="V269" i="1" s="1"/>
  <c r="V270" i="1" a="1"/>
  <c r="V270" i="1" s="1"/>
  <c r="AB270" i="1"/>
  <c r="S270" i="1"/>
  <c r="U270" i="1"/>
  <c r="V271" i="1" a="1"/>
  <c r="V271" i="1" s="1"/>
  <c r="AB271" i="1"/>
  <c r="S271" i="1"/>
  <c r="U271" i="1"/>
  <c r="AB272" i="1"/>
  <c r="S272" i="1"/>
  <c r="U272" i="1"/>
  <c r="V272" i="1" a="1"/>
  <c r="V272" i="1" s="1"/>
  <c r="AB273" i="1"/>
  <c r="S273" i="1"/>
  <c r="U273" i="1"/>
  <c r="V273" i="1" a="1"/>
  <c r="V273" i="1" s="1"/>
  <c r="V274" i="1" a="1"/>
  <c r="V274" i="1" s="1"/>
  <c r="S274" i="1"/>
  <c r="U274" i="1"/>
  <c r="AB274" i="1"/>
  <c r="AB275" i="1"/>
  <c r="S275" i="1"/>
  <c r="U275" i="1"/>
  <c r="V275" i="1" a="1"/>
  <c r="V275" i="1" s="1"/>
  <c r="S276" i="1"/>
  <c r="U276" i="1"/>
  <c r="V276" i="1" a="1"/>
  <c r="V276" i="1" s="1"/>
  <c r="AB276" i="1"/>
  <c r="V277" i="1" a="1"/>
  <c r="V277" i="1" s="1"/>
  <c r="AB277" i="1"/>
  <c r="S277" i="1"/>
  <c r="U277" i="1"/>
  <c r="AB278" i="1"/>
  <c r="S278" i="1"/>
  <c r="U278" i="1"/>
  <c r="V278" i="1" a="1"/>
  <c r="V278" i="1" s="1"/>
  <c r="V279" i="1" a="1"/>
  <c r="V279" i="1" s="1"/>
  <c r="S279" i="1"/>
  <c r="U279" i="1"/>
  <c r="AB279" i="1"/>
  <c r="AB280" i="1"/>
  <c r="S280" i="1"/>
  <c r="U280" i="1"/>
  <c r="V280" i="1" a="1"/>
  <c r="V280" i="1" s="1"/>
  <c r="V281" i="1" a="1"/>
  <c r="V281" i="1" s="1"/>
  <c r="AB281" i="1"/>
  <c r="S281" i="1"/>
  <c r="U281" i="1"/>
  <c r="S282" i="1"/>
  <c r="U282" i="1"/>
  <c r="V282" i="1" a="1"/>
  <c r="V282" i="1" s="1"/>
  <c r="AB282" i="1"/>
  <c r="AB283" i="1"/>
  <c r="S283" i="1"/>
  <c r="U283" i="1"/>
  <c r="V283" i="1" a="1"/>
  <c r="V283" i="1" s="1"/>
  <c r="V284" i="1" a="1"/>
  <c r="V284" i="1" s="1"/>
  <c r="S284" i="1"/>
  <c r="U284" i="1"/>
  <c r="AB284" i="1"/>
  <c r="AB285" i="1"/>
  <c r="S285" i="1"/>
  <c r="U285" i="1"/>
  <c r="V285" i="1" a="1"/>
  <c r="V285" i="1" s="1"/>
  <c r="V286" i="1" a="1"/>
  <c r="V286" i="1" s="1"/>
  <c r="S286" i="1"/>
  <c r="U286" i="1"/>
  <c r="AB286" i="1"/>
  <c r="AB287" i="1"/>
  <c r="S287" i="1"/>
  <c r="U287" i="1"/>
  <c r="V287" i="1" a="1"/>
  <c r="V287" i="1" s="1"/>
  <c r="V288" i="1" a="1"/>
  <c r="V288" i="1" s="1"/>
  <c r="S288" i="1"/>
  <c r="U288" i="1"/>
  <c r="AB288" i="1"/>
  <c r="AB289" i="1"/>
  <c r="S289" i="1"/>
  <c r="U289" i="1"/>
  <c r="V289" i="1" a="1"/>
  <c r="V289" i="1" s="1"/>
  <c r="V290" i="1" a="1"/>
  <c r="V290" i="1" s="1"/>
  <c r="S290" i="1"/>
  <c r="U290" i="1"/>
  <c r="AB290" i="1"/>
  <c r="AB291" i="1"/>
  <c r="S291" i="1"/>
  <c r="U291" i="1"/>
  <c r="V291" i="1" a="1"/>
  <c r="V291" i="1" s="1"/>
  <c r="V292" i="1" a="1"/>
  <c r="V292" i="1" s="1"/>
  <c r="S292" i="1"/>
  <c r="U292" i="1"/>
  <c r="AB292" i="1"/>
  <c r="AB293" i="1"/>
  <c r="S293" i="1"/>
  <c r="U293" i="1"/>
  <c r="V293" i="1" a="1"/>
  <c r="V293" i="1" s="1"/>
  <c r="V294" i="1" a="1"/>
  <c r="V294" i="1" s="1"/>
  <c r="S294" i="1"/>
  <c r="U294" i="1"/>
  <c r="AB294" i="1"/>
  <c r="V295" i="1" a="1"/>
  <c r="V295" i="1" s="1"/>
  <c r="AB295" i="1"/>
  <c r="S295" i="1"/>
  <c r="U295" i="1"/>
  <c r="S296" i="1"/>
  <c r="U296" i="1"/>
  <c r="V296" i="1" a="1"/>
  <c r="V296" i="1" s="1"/>
  <c r="AB296" i="1"/>
  <c r="V297" i="1" a="1"/>
  <c r="V297" i="1" s="1"/>
  <c r="AB297" i="1"/>
  <c r="S297" i="1"/>
  <c r="U297" i="1"/>
  <c r="V298" i="1" a="1"/>
  <c r="V298" i="1" s="1"/>
  <c r="S298" i="1"/>
  <c r="U298" i="1"/>
  <c r="AB298" i="1"/>
  <c r="AB299" i="1"/>
  <c r="S299" i="1"/>
  <c r="U299" i="1"/>
  <c r="V299" i="1" a="1"/>
  <c r="V299" i="1" s="1"/>
  <c r="V300" i="1" a="1"/>
  <c r="V300" i="1" s="1"/>
  <c r="S300" i="1"/>
  <c r="U300" i="1"/>
  <c r="AB300" i="1"/>
  <c r="AB301" i="1"/>
  <c r="S301" i="1"/>
  <c r="U301" i="1"/>
  <c r="V301" i="1" a="1"/>
  <c r="V301" i="1" s="1"/>
  <c r="V302" i="1" a="1"/>
  <c r="V302" i="1" s="1"/>
  <c r="S302" i="1"/>
  <c r="U302" i="1"/>
  <c r="AB302" i="1"/>
  <c r="S303" i="1"/>
  <c r="U303" i="1"/>
  <c r="V303" i="1" a="1"/>
  <c r="V303" i="1" s="1"/>
  <c r="AB303" i="1"/>
  <c r="V304" i="1" a="1"/>
  <c r="V304" i="1" s="1"/>
  <c r="AB304" i="1"/>
  <c r="S304" i="1"/>
  <c r="U304" i="1"/>
  <c r="S305" i="1"/>
  <c r="U305" i="1"/>
  <c r="V305" i="1" a="1"/>
  <c r="V305" i="1" s="1"/>
  <c r="AB305" i="1"/>
  <c r="V306" i="1" a="1"/>
  <c r="V306" i="1" s="1"/>
  <c r="AB306" i="1"/>
  <c r="S306" i="1"/>
  <c r="U306" i="1"/>
  <c r="S307" i="1"/>
  <c r="U307" i="1"/>
  <c r="V307" i="1" a="1"/>
  <c r="V307" i="1" s="1"/>
  <c r="AB307" i="1"/>
  <c r="V308" i="1" a="1"/>
  <c r="V308" i="1" s="1"/>
  <c r="AB308" i="1"/>
  <c r="S308" i="1"/>
  <c r="U308" i="1"/>
  <c r="S309" i="1"/>
  <c r="U309" i="1"/>
  <c r="V309" i="1" a="1"/>
  <c r="V309" i="1" s="1"/>
  <c r="AB309" i="1"/>
  <c r="V310" i="1" a="1"/>
  <c r="V310" i="1" s="1"/>
  <c r="AB310" i="1"/>
  <c r="S310" i="1"/>
  <c r="U310" i="1"/>
  <c r="S311" i="1"/>
  <c r="U311" i="1"/>
  <c r="V311" i="1" a="1"/>
  <c r="V311" i="1" s="1"/>
  <c r="AB311" i="1"/>
  <c r="V312" i="1" a="1"/>
  <c r="V312" i="1" s="1"/>
  <c r="AB312" i="1"/>
  <c r="S312" i="1"/>
  <c r="U312" i="1"/>
  <c r="AB313" i="1"/>
  <c r="S313" i="1"/>
  <c r="U313" i="1"/>
  <c r="V313" i="1" a="1"/>
  <c r="V313" i="1" s="1"/>
  <c r="V314" i="1" a="1"/>
  <c r="V314" i="1" s="1"/>
  <c r="S314" i="1"/>
  <c r="U314" i="1"/>
  <c r="AB314" i="1"/>
  <c r="AB315" i="1"/>
  <c r="S315" i="1"/>
  <c r="U315" i="1"/>
  <c r="V315" i="1" a="1"/>
  <c r="V315" i="1" s="1"/>
  <c r="V316" i="1" a="1"/>
  <c r="V316" i="1" s="1"/>
  <c r="S316" i="1"/>
  <c r="U316" i="1"/>
  <c r="AB316" i="1"/>
  <c r="AB317" i="1"/>
  <c r="S317" i="1"/>
  <c r="U317" i="1"/>
  <c r="V317" i="1" a="1"/>
  <c r="V317" i="1" s="1"/>
  <c r="V318" i="1" a="1"/>
  <c r="V318" i="1" s="1"/>
  <c r="S318" i="1"/>
  <c r="U318" i="1"/>
  <c r="AB318" i="1"/>
  <c r="AB319" i="1"/>
  <c r="S319" i="1"/>
  <c r="U319" i="1"/>
  <c r="V319" i="1" a="1"/>
  <c r="V319" i="1" s="1"/>
  <c r="V320" i="1" a="1"/>
  <c r="V320" i="1" s="1"/>
  <c r="S320" i="1"/>
  <c r="U320" i="1"/>
  <c r="AB320" i="1"/>
  <c r="AB321" i="1"/>
  <c r="S321" i="1"/>
  <c r="U321" i="1"/>
  <c r="V321" i="1" a="1"/>
  <c r="V321" i="1" s="1"/>
  <c r="S322" i="1"/>
  <c r="U322" i="1"/>
  <c r="V322" i="1" a="1"/>
  <c r="V322" i="1" s="1"/>
  <c r="AB322" i="1"/>
  <c r="V323" i="1" a="1"/>
  <c r="V323" i="1" s="1"/>
  <c r="AB323" i="1"/>
  <c r="S323" i="1"/>
  <c r="U323" i="1"/>
  <c r="S324" i="1"/>
  <c r="U324" i="1"/>
  <c r="V324" i="1" a="1"/>
  <c r="V324" i="1" s="1"/>
  <c r="AB324" i="1"/>
  <c r="V325" i="1" a="1"/>
  <c r="V325" i="1" s="1"/>
  <c r="AB325" i="1"/>
  <c r="S325" i="1"/>
  <c r="U325" i="1"/>
  <c r="S326" i="1"/>
  <c r="U326" i="1"/>
  <c r="V326" i="1" a="1"/>
  <c r="V326" i="1" s="1"/>
  <c r="AB326" i="1"/>
  <c r="V327" i="1" a="1"/>
  <c r="V327" i="1" s="1"/>
  <c r="AB327" i="1"/>
  <c r="S327" i="1"/>
  <c r="U327" i="1"/>
  <c r="V328" i="1" a="1"/>
  <c r="V328" i="1" s="1"/>
  <c r="S328" i="1"/>
  <c r="U328" i="1"/>
  <c r="AB328" i="1"/>
  <c r="AB329" i="1"/>
  <c r="S329" i="1"/>
  <c r="U329" i="1"/>
  <c r="V329" i="1" a="1"/>
  <c r="V329" i="1" s="1"/>
  <c r="S330" i="1"/>
  <c r="U330" i="1"/>
  <c r="V330" i="1" a="1"/>
  <c r="V330" i="1" s="1"/>
  <c r="AB330" i="1"/>
  <c r="V331" i="1" a="1"/>
  <c r="V331" i="1" s="1"/>
  <c r="AB331" i="1"/>
  <c r="S331" i="1"/>
  <c r="U331" i="1"/>
  <c r="S332" i="1"/>
  <c r="U332" i="1"/>
  <c r="V332" i="1" a="1"/>
  <c r="V332" i="1" s="1"/>
  <c r="AB332" i="1"/>
  <c r="V333" i="1" a="1"/>
  <c r="V333" i="1" s="1"/>
  <c r="AB333" i="1"/>
  <c r="S333" i="1"/>
  <c r="U333" i="1"/>
  <c r="V334" i="1" a="1"/>
  <c r="V334" i="1" s="1"/>
  <c r="S334" i="1"/>
  <c r="U334" i="1"/>
  <c r="AB334" i="1"/>
  <c r="S335" i="1"/>
  <c r="U335" i="1"/>
  <c r="V335" i="1" a="1"/>
  <c r="V335" i="1" s="1"/>
  <c r="AB335" i="1"/>
  <c r="V336" i="1" a="1"/>
  <c r="V336" i="1" s="1"/>
  <c r="AB336" i="1"/>
  <c r="S336" i="1"/>
  <c r="U336" i="1"/>
  <c r="S337" i="1"/>
  <c r="U337" i="1"/>
  <c r="V337" i="1" a="1"/>
  <c r="V337" i="1" s="1"/>
  <c r="AB337" i="1"/>
  <c r="V338" i="1" a="1"/>
  <c r="V338" i="1" s="1"/>
  <c r="AB338" i="1"/>
  <c r="S338" i="1"/>
  <c r="U338" i="1"/>
  <c r="S339" i="1"/>
  <c r="U339" i="1"/>
  <c r="V339" i="1" a="1"/>
  <c r="V339" i="1" s="1"/>
  <c r="AB339" i="1"/>
  <c r="V340" i="1" a="1"/>
  <c r="V340" i="1" s="1"/>
  <c r="AB340" i="1"/>
  <c r="S340" i="1"/>
  <c r="U340" i="1"/>
  <c r="S341" i="1"/>
  <c r="U341" i="1"/>
  <c r="V341" i="1" a="1"/>
  <c r="V341" i="1" s="1"/>
  <c r="AB341" i="1"/>
  <c r="V342" i="1" a="1"/>
  <c r="V342" i="1" s="1"/>
  <c r="AB342" i="1"/>
  <c r="S342" i="1"/>
  <c r="U342" i="1"/>
  <c r="S343" i="1"/>
  <c r="U343" i="1"/>
  <c r="V343" i="1" a="1"/>
  <c r="V343" i="1" s="1"/>
  <c r="AB343" i="1"/>
  <c r="V344" i="1" a="1"/>
  <c r="V344" i="1" s="1"/>
  <c r="AB344" i="1"/>
  <c r="S344" i="1"/>
  <c r="U344" i="1"/>
  <c r="AB345" i="1"/>
  <c r="S345" i="1"/>
  <c r="U345" i="1"/>
  <c r="V345" i="1" a="1"/>
  <c r="V345" i="1" s="1"/>
  <c r="V346" i="1" a="1"/>
  <c r="V346" i="1" s="1"/>
  <c r="S346" i="1"/>
  <c r="U346" i="1"/>
  <c r="AB346" i="1"/>
  <c r="V347" i="1" a="1"/>
  <c r="V347" i="1" s="1"/>
  <c r="AB347" i="1"/>
  <c r="S347" i="1"/>
  <c r="U347" i="1"/>
  <c r="V348" i="1" a="1"/>
  <c r="V348" i="1" s="1"/>
  <c r="S348" i="1"/>
  <c r="U348" i="1"/>
  <c r="AB348" i="1"/>
  <c r="V349" i="1" a="1"/>
  <c r="V349" i="1" s="1"/>
  <c r="AB349" i="1"/>
  <c r="S349" i="1"/>
  <c r="U349" i="1"/>
  <c r="V350" i="1" a="1"/>
  <c r="V350" i="1" s="1"/>
  <c r="S350" i="1"/>
  <c r="U350" i="1"/>
  <c r="AB350" i="1"/>
  <c r="V351" i="1" a="1"/>
  <c r="V351" i="1" s="1"/>
  <c r="AB351" i="1"/>
  <c r="S351" i="1"/>
  <c r="U351" i="1"/>
  <c r="V352" i="1" a="1"/>
  <c r="V352" i="1" s="1"/>
  <c r="S352" i="1"/>
  <c r="U352" i="1"/>
  <c r="AB352" i="1"/>
  <c r="V353" i="1" a="1"/>
  <c r="V353" i="1" s="1"/>
  <c r="AB353" i="1"/>
  <c r="S353" i="1"/>
  <c r="U353" i="1"/>
  <c r="V354" i="1" a="1"/>
  <c r="V354" i="1" s="1"/>
  <c r="S354" i="1"/>
  <c r="U354" i="1"/>
  <c r="AB354" i="1"/>
  <c r="V355" i="1" a="1"/>
  <c r="V355" i="1" s="1"/>
  <c r="AB355" i="1"/>
  <c r="S355" i="1"/>
  <c r="U355" i="1"/>
  <c r="V356" i="1" a="1"/>
  <c r="V356" i="1" s="1"/>
  <c r="S356" i="1"/>
  <c r="U356" i="1"/>
  <c r="AB356" i="1"/>
  <c r="V357" i="1" a="1"/>
  <c r="V357" i="1" s="1"/>
  <c r="AB357" i="1"/>
  <c r="S357" i="1"/>
  <c r="U357" i="1"/>
  <c r="S358" i="1"/>
  <c r="U358" i="1"/>
  <c r="V358" i="1" a="1"/>
  <c r="V358" i="1" s="1"/>
  <c r="AB358" i="1"/>
  <c r="V359" i="1" a="1"/>
  <c r="V359" i="1" s="1"/>
  <c r="AB359" i="1"/>
  <c r="S359" i="1"/>
  <c r="U359" i="1"/>
  <c r="S360" i="1"/>
  <c r="U360" i="1"/>
  <c r="V360" i="1" a="1"/>
  <c r="V360" i="1" s="1"/>
  <c r="AB360" i="1"/>
  <c r="AB361" i="1"/>
  <c r="S361" i="1"/>
  <c r="U361" i="1"/>
  <c r="V361" i="1" a="1"/>
  <c r="V361" i="1" s="1"/>
  <c r="S362" i="1"/>
  <c r="U362" i="1"/>
  <c r="V362" i="1" a="1"/>
  <c r="V362" i="1" s="1"/>
  <c r="AB362" i="1"/>
  <c r="S363" i="1"/>
  <c r="U363" i="1"/>
  <c r="V363" i="1" a="1"/>
  <c r="V363" i="1" s="1"/>
  <c r="AB363" i="1"/>
  <c r="AB364" i="1"/>
  <c r="S364" i="1"/>
  <c r="U364" i="1"/>
  <c r="V364" i="1" a="1"/>
  <c r="V364" i="1" s="1"/>
  <c r="V365" i="1" a="1"/>
  <c r="V365" i="1" s="1"/>
  <c r="S365" i="1"/>
  <c r="U365" i="1"/>
  <c r="AB365" i="1"/>
  <c r="AB366" i="1"/>
  <c r="S366" i="1"/>
  <c r="U366" i="1"/>
  <c r="V366" i="1" a="1"/>
  <c r="V366" i="1" s="1"/>
  <c r="V367" i="1" a="1"/>
  <c r="V367" i="1" s="1"/>
  <c r="S367" i="1"/>
  <c r="U367" i="1"/>
  <c r="AB367" i="1"/>
  <c r="AB368" i="1"/>
  <c r="S368" i="1"/>
  <c r="U368" i="1"/>
  <c r="V368" i="1" a="1"/>
  <c r="V368" i="1" s="1"/>
  <c r="V369" i="1" a="1"/>
  <c r="V369" i="1" s="1"/>
  <c r="S369" i="1"/>
  <c r="U369" i="1"/>
  <c r="AB369" i="1"/>
  <c r="AB370" i="1"/>
  <c r="S370" i="1"/>
  <c r="U370" i="1"/>
  <c r="V370" i="1" a="1"/>
  <c r="V370" i="1" s="1"/>
  <c r="V371" i="1" a="1"/>
  <c r="V371" i="1" s="1"/>
  <c r="S371" i="1"/>
  <c r="U371" i="1"/>
  <c r="AB371" i="1"/>
  <c r="AB372" i="1"/>
  <c r="S372" i="1"/>
  <c r="U372" i="1"/>
  <c r="V372" i="1" a="1"/>
  <c r="V372" i="1" s="1"/>
  <c r="V373" i="1" a="1"/>
  <c r="V373" i="1" s="1"/>
  <c r="S373" i="1"/>
  <c r="U373" i="1"/>
  <c r="AB373" i="1"/>
  <c r="AB374" i="1"/>
  <c r="S374" i="1"/>
  <c r="U374" i="1"/>
  <c r="V374" i="1" a="1"/>
  <c r="V374" i="1" s="1"/>
  <c r="V375" i="1" a="1"/>
  <c r="V375" i="1" s="1"/>
  <c r="S375" i="1"/>
  <c r="U375" i="1"/>
  <c r="AB375" i="1"/>
  <c r="V376" i="1" a="1"/>
  <c r="V376" i="1" s="1"/>
  <c r="AB376" i="1"/>
  <c r="S376" i="1"/>
  <c r="U376" i="1"/>
  <c r="S377" i="1"/>
  <c r="U377" i="1"/>
  <c r="V377" i="1" a="1"/>
  <c r="V377" i="1" s="1"/>
  <c r="AB377" i="1"/>
  <c r="V378" i="1" a="1"/>
  <c r="V378" i="1" s="1"/>
  <c r="AB378" i="1"/>
  <c r="S378" i="1"/>
  <c r="U378" i="1"/>
  <c r="AB379" i="1"/>
  <c r="S379" i="1"/>
  <c r="U379" i="1"/>
  <c r="V379" i="1" a="1"/>
  <c r="V379" i="1" s="1"/>
  <c r="S380" i="1"/>
  <c r="U380" i="1"/>
  <c r="V380" i="1" a="1"/>
  <c r="V380" i="1" s="1"/>
  <c r="AB380" i="1"/>
  <c r="AB381" i="1"/>
  <c r="S381" i="1"/>
  <c r="U381" i="1"/>
  <c r="V381" i="1" a="1"/>
  <c r="V381" i="1" s="1"/>
  <c r="V382" i="1" a="1"/>
  <c r="V382" i="1" s="1"/>
  <c r="S382" i="1"/>
  <c r="U382" i="1"/>
  <c r="AB382" i="1"/>
  <c r="AB383" i="1"/>
  <c r="S383" i="1"/>
  <c r="U383" i="1"/>
  <c r="V383" i="1" a="1"/>
  <c r="V383" i="1" s="1"/>
  <c r="V384" i="1" a="1"/>
  <c r="V384" i="1" s="1"/>
  <c r="S384" i="1"/>
  <c r="U384" i="1"/>
  <c r="AB384" i="1"/>
  <c r="AB385" i="1"/>
  <c r="S385" i="1"/>
  <c r="U385" i="1"/>
  <c r="V385" i="1" a="1"/>
  <c r="V385" i="1" s="1"/>
  <c r="V386" i="1" a="1"/>
  <c r="V386" i="1" s="1"/>
  <c r="S386" i="1"/>
  <c r="U386" i="1"/>
  <c r="AB386" i="1"/>
  <c r="V387" i="1" a="1"/>
  <c r="V387" i="1" s="1"/>
  <c r="AB387" i="1"/>
  <c r="S387" i="1"/>
  <c r="U387" i="1"/>
  <c r="S388" i="1"/>
  <c r="U388" i="1"/>
  <c r="V388" i="1" a="1"/>
  <c r="V388" i="1" s="1"/>
  <c r="AB388" i="1"/>
  <c r="V389" i="1" a="1"/>
  <c r="V389" i="1" s="1"/>
  <c r="AB389" i="1"/>
  <c r="S389" i="1"/>
  <c r="U389" i="1"/>
  <c r="V390" i="1" a="1"/>
  <c r="V390" i="1" s="1"/>
  <c r="S390" i="1"/>
  <c r="U390" i="1"/>
  <c r="AB390" i="1"/>
  <c r="S391" i="1"/>
  <c r="U391" i="1"/>
  <c r="V391" i="1" a="1"/>
  <c r="V391" i="1" s="1"/>
  <c r="AB391" i="1"/>
  <c r="V392" i="1" a="1"/>
  <c r="V392" i="1" s="1"/>
  <c r="AB392" i="1"/>
  <c r="S392" i="1"/>
  <c r="U392" i="1"/>
  <c r="V393" i="1" a="1"/>
  <c r="V393" i="1" s="1"/>
  <c r="S393" i="1"/>
  <c r="U393" i="1"/>
  <c r="AB393" i="1"/>
  <c r="AB394" i="1"/>
  <c r="S394" i="1"/>
  <c r="U394" i="1"/>
  <c r="V394" i="1" a="1"/>
  <c r="V394" i="1" s="1"/>
  <c r="V395" i="1" a="1"/>
  <c r="V395" i="1" s="1"/>
  <c r="S395" i="1"/>
  <c r="U395" i="1"/>
  <c r="AB395" i="1"/>
  <c r="AB396" i="1"/>
  <c r="S396" i="1"/>
  <c r="U396" i="1"/>
  <c r="V396" i="1" a="1"/>
  <c r="V396" i="1" s="1"/>
  <c r="V397" i="1" a="1"/>
  <c r="V397" i="1" s="1"/>
  <c r="S397" i="1"/>
  <c r="U397" i="1"/>
  <c r="AB397" i="1"/>
  <c r="AB398" i="1"/>
  <c r="S398" i="1"/>
  <c r="U398" i="1"/>
  <c r="V398" i="1" a="1"/>
  <c r="V398" i="1" s="1"/>
  <c r="V399" i="1" a="1"/>
  <c r="V399" i="1" s="1"/>
  <c r="AB399" i="1"/>
  <c r="S399" i="1"/>
  <c r="U399" i="1"/>
  <c r="V400" i="1" a="1"/>
  <c r="V400" i="1" s="1"/>
  <c r="S400" i="1"/>
  <c r="U400" i="1"/>
  <c r="AB400" i="1"/>
  <c r="AB401" i="1"/>
  <c r="S401" i="1"/>
  <c r="U401" i="1"/>
  <c r="V401" i="1" a="1"/>
  <c r="V401" i="1" s="1"/>
  <c r="V402" i="1" a="1"/>
  <c r="V402" i="1" s="1"/>
  <c r="S402" i="1"/>
  <c r="U402" i="1"/>
  <c r="AB402" i="1"/>
  <c r="V403" i="1" a="1"/>
  <c r="V403" i="1" s="1"/>
  <c r="AB403" i="1"/>
  <c r="S403" i="1"/>
  <c r="U403" i="1"/>
  <c r="S404" i="1"/>
  <c r="U404" i="1"/>
  <c r="V404" i="1" a="1"/>
  <c r="V404" i="1" s="1"/>
  <c r="AB404" i="1"/>
  <c r="AB405" i="1"/>
  <c r="S405" i="1"/>
  <c r="U405" i="1"/>
  <c r="V405" i="1" a="1"/>
  <c r="V405" i="1" s="1"/>
  <c r="S406" i="1"/>
  <c r="U406" i="1"/>
  <c r="V406" i="1" a="1"/>
  <c r="V406" i="1" s="1"/>
  <c r="AB406" i="1"/>
  <c r="AB407" i="1"/>
  <c r="S407" i="1"/>
  <c r="U407" i="1"/>
  <c r="V407" i="1" a="1"/>
  <c r="V407" i="1" s="1"/>
  <c r="S408" i="1"/>
  <c r="U408" i="1"/>
  <c r="V408" i="1" a="1"/>
  <c r="V408" i="1" s="1"/>
  <c r="AB408" i="1"/>
  <c r="AB409" i="1"/>
  <c r="S409" i="1"/>
  <c r="U409" i="1"/>
  <c r="V409" i="1" a="1"/>
  <c r="V409" i="1" s="1"/>
  <c r="S410" i="1"/>
  <c r="U410" i="1"/>
  <c r="V410" i="1" a="1"/>
  <c r="V410" i="1" s="1"/>
  <c r="AB410" i="1"/>
  <c r="AB411" i="1"/>
  <c r="S411" i="1"/>
  <c r="U411" i="1"/>
  <c r="V411" i="1" a="1"/>
  <c r="V411" i="1" s="1"/>
  <c r="S412" i="1"/>
  <c r="U412" i="1"/>
  <c r="V412" i="1" a="1"/>
  <c r="V412" i="1" s="1"/>
  <c r="AB412" i="1"/>
  <c r="AB413" i="1"/>
  <c r="S413" i="1"/>
  <c r="U413" i="1"/>
  <c r="V413" i="1" a="1"/>
  <c r="V413" i="1" s="1"/>
  <c r="S414" i="1"/>
  <c r="U414" i="1"/>
  <c r="V414" i="1" a="1"/>
  <c r="V414" i="1" s="1"/>
  <c r="AB414" i="1"/>
  <c r="V415" i="1" a="1"/>
  <c r="V415" i="1" s="1"/>
  <c r="AB415" i="1"/>
  <c r="S415" i="1"/>
  <c r="U415" i="1"/>
  <c r="S416" i="1"/>
  <c r="U416" i="1"/>
  <c r="V416" i="1" a="1"/>
  <c r="V416" i="1" s="1"/>
  <c r="AB416" i="1"/>
  <c r="V417" i="1" a="1"/>
  <c r="V417" i="1" s="1"/>
  <c r="AB417" i="1"/>
  <c r="S417" i="1"/>
  <c r="U417" i="1"/>
  <c r="V418" i="1" a="1"/>
  <c r="V418" i="1" s="1"/>
  <c r="S418" i="1"/>
  <c r="U418" i="1"/>
  <c r="AB418" i="1"/>
  <c r="AB419" i="1"/>
  <c r="S419" i="1"/>
  <c r="U419" i="1"/>
  <c r="V419" i="1" a="1"/>
  <c r="V419" i="1" s="1"/>
  <c r="V420" i="1" a="1"/>
  <c r="V420" i="1" s="1"/>
  <c r="S420" i="1"/>
  <c r="U420" i="1"/>
  <c r="AB420" i="1"/>
  <c r="AB421" i="1"/>
  <c r="S421" i="1"/>
  <c r="U421" i="1"/>
  <c r="V421" i="1" a="1"/>
  <c r="V421" i="1" s="1"/>
  <c r="V422" i="1" a="1"/>
  <c r="V422" i="1" s="1"/>
  <c r="S422" i="1"/>
  <c r="U422" i="1"/>
  <c r="AB422" i="1"/>
  <c r="AB423" i="1"/>
  <c r="S423" i="1"/>
  <c r="U423" i="1"/>
  <c r="V423" i="1" a="1"/>
  <c r="V423" i="1" s="1"/>
  <c r="V424" i="1" a="1"/>
  <c r="V424" i="1" s="1"/>
  <c r="S424" i="1"/>
  <c r="U424" i="1"/>
  <c r="AB424" i="1"/>
  <c r="AB425" i="1"/>
  <c r="S425" i="1"/>
  <c r="U425" i="1"/>
  <c r="V425" i="1" a="1"/>
  <c r="V425" i="1" s="1"/>
  <c r="V426" i="1" a="1"/>
  <c r="V426" i="1" s="1"/>
  <c r="S426" i="1"/>
  <c r="U426" i="1"/>
  <c r="AB426" i="1"/>
  <c r="V427" i="1" a="1"/>
  <c r="V427" i="1" s="1"/>
  <c r="AB427" i="1"/>
  <c r="S427" i="1"/>
  <c r="U427" i="1"/>
  <c r="S428" i="1"/>
  <c r="U428" i="1"/>
  <c r="V428" i="1" a="1"/>
  <c r="V428" i="1" s="1"/>
  <c r="AB428" i="1"/>
  <c r="AB429" i="1"/>
  <c r="S429" i="1"/>
  <c r="U429" i="1"/>
  <c r="V429" i="1" a="1"/>
  <c r="V429" i="1" s="1"/>
  <c r="V430" i="1" a="1"/>
  <c r="V430" i="1" s="1"/>
  <c r="S430" i="1"/>
  <c r="U430" i="1"/>
  <c r="AB430" i="1"/>
  <c r="S431" i="1"/>
  <c r="U431" i="1"/>
  <c r="V431" i="1" a="1"/>
  <c r="V431" i="1" s="1"/>
  <c r="AB431" i="1"/>
  <c r="V432" i="1" a="1"/>
  <c r="V432" i="1" s="1"/>
  <c r="AB432" i="1"/>
  <c r="S432" i="1"/>
  <c r="U432" i="1"/>
  <c r="S433" i="1"/>
  <c r="U433" i="1"/>
  <c r="V433" i="1" a="1"/>
  <c r="V433" i="1" s="1"/>
  <c r="AB433" i="1"/>
  <c r="V434" i="1" a="1"/>
  <c r="V434" i="1" s="1"/>
  <c r="AB434" i="1"/>
  <c r="S434" i="1"/>
  <c r="U434" i="1"/>
  <c r="S435" i="1"/>
  <c r="U435" i="1"/>
  <c r="V435" i="1" a="1"/>
  <c r="V435" i="1" s="1"/>
  <c r="AB435" i="1"/>
  <c r="AB436" i="1"/>
  <c r="S436" i="1"/>
  <c r="U436" i="1"/>
  <c r="V436" i="1" a="1"/>
  <c r="V436" i="1" s="1"/>
  <c r="V437" i="1" a="1"/>
  <c r="V437" i="1" s="1"/>
  <c r="S437" i="1"/>
  <c r="U437" i="1"/>
  <c r="AB437" i="1"/>
  <c r="AB438" i="1"/>
  <c r="S438" i="1"/>
  <c r="U438" i="1"/>
  <c r="V438" i="1" a="1"/>
  <c r="V438" i="1" s="1"/>
  <c r="AB439" i="1"/>
  <c r="S439" i="1"/>
  <c r="U439" i="1"/>
  <c r="V439" i="1" a="1"/>
  <c r="V439" i="1" s="1"/>
  <c r="V440" i="1" a="1"/>
  <c r="V440" i="1" s="1"/>
  <c r="S440" i="1"/>
  <c r="U440" i="1"/>
  <c r="AB440" i="1"/>
  <c r="V441" i="1" a="1"/>
  <c r="V441" i="1" s="1"/>
  <c r="AB441" i="1"/>
  <c r="S441" i="1"/>
  <c r="U441" i="1"/>
  <c r="V442" i="1" a="1"/>
  <c r="V442" i="1" s="1"/>
  <c r="S442" i="1"/>
  <c r="U442" i="1"/>
  <c r="AB442" i="1"/>
  <c r="AB443" i="1"/>
  <c r="S443" i="1"/>
  <c r="U443" i="1"/>
  <c r="V443" i="1" a="1"/>
  <c r="V443" i="1" s="1"/>
  <c r="V444" i="1" a="1"/>
  <c r="V444" i="1" s="1"/>
  <c r="S444" i="1"/>
  <c r="U444" i="1"/>
  <c r="AB444" i="1"/>
  <c r="AB445" i="1"/>
  <c r="S445" i="1"/>
  <c r="U445" i="1"/>
  <c r="V445" i="1" a="1"/>
  <c r="V445" i="1" s="1"/>
  <c r="V446" i="1" a="1"/>
  <c r="V446" i="1" s="1"/>
  <c r="S446" i="1"/>
  <c r="U446" i="1"/>
  <c r="AB446" i="1"/>
  <c r="AB447" i="1"/>
  <c r="S447" i="1"/>
  <c r="U447" i="1"/>
  <c r="V447" i="1" a="1"/>
  <c r="V447" i="1" s="1"/>
  <c r="V448" i="1" a="1"/>
  <c r="V448" i="1" s="1"/>
  <c r="AB448" i="1"/>
  <c r="S448" i="1"/>
  <c r="U448" i="1"/>
  <c r="V449" i="1" a="1"/>
  <c r="V449" i="1" s="1"/>
  <c r="S449" i="1"/>
  <c r="U449" i="1"/>
  <c r="AB449" i="1"/>
  <c r="AB450" i="1"/>
  <c r="S450" i="1"/>
  <c r="U450" i="1"/>
  <c r="V450" i="1" a="1"/>
  <c r="V450" i="1" s="1"/>
  <c r="V451" i="1" a="1"/>
  <c r="V451" i="1" s="1"/>
  <c r="AB451" i="1"/>
  <c r="S451" i="1"/>
  <c r="U451" i="1"/>
  <c r="V452" i="1" a="1"/>
  <c r="V452" i="1" s="1"/>
  <c r="S452" i="1"/>
  <c r="U452" i="1"/>
  <c r="AB452" i="1"/>
  <c r="AB453" i="1"/>
  <c r="S453" i="1"/>
  <c r="U453" i="1"/>
  <c r="V453" i="1" a="1"/>
  <c r="V453" i="1" s="1"/>
  <c r="V454" i="1" a="1"/>
  <c r="V454" i="1" s="1"/>
  <c r="AB454" i="1"/>
  <c r="S454" i="1"/>
  <c r="U454" i="1"/>
  <c r="V455" i="1" a="1"/>
  <c r="V455" i="1" s="1"/>
  <c r="AB455" i="1"/>
  <c r="S455" i="1"/>
  <c r="U455" i="1"/>
  <c r="S456" i="1"/>
  <c r="U456" i="1"/>
  <c r="V456" i="1" a="1"/>
  <c r="V456" i="1" s="1"/>
  <c r="AB456" i="1"/>
  <c r="AB457" i="1"/>
  <c r="S457" i="1"/>
  <c r="U457" i="1"/>
  <c r="V457" i="1" a="1"/>
  <c r="V457" i="1" s="1"/>
  <c r="V458" i="1" a="1"/>
  <c r="V458" i="1" s="1"/>
  <c r="S458" i="1"/>
  <c r="U458" i="1"/>
  <c r="AB458" i="1"/>
  <c r="AB459" i="1"/>
  <c r="S459" i="1"/>
  <c r="U459" i="1"/>
  <c r="V459" i="1" a="1"/>
  <c r="V459" i="1" s="1"/>
  <c r="S460" i="1"/>
  <c r="U460" i="1"/>
  <c r="V460" i="1" a="1"/>
  <c r="V460" i="1" s="1"/>
  <c r="AB460" i="1"/>
  <c r="V461" i="1" a="1"/>
  <c r="V461" i="1" s="1"/>
  <c r="AB461" i="1"/>
  <c r="S461" i="1"/>
  <c r="U461" i="1"/>
  <c r="V462" i="1" a="1"/>
  <c r="V462" i="1" s="1"/>
  <c r="AB462" i="1"/>
  <c r="S462" i="1"/>
  <c r="U462" i="1"/>
  <c r="S463" i="1"/>
  <c r="U463" i="1"/>
  <c r="V463" i="1" a="1"/>
  <c r="V463" i="1" s="1"/>
  <c r="AB463" i="1"/>
  <c r="V464" i="1" a="1"/>
  <c r="V464" i="1" s="1"/>
  <c r="AB464" i="1"/>
  <c r="S464" i="1"/>
  <c r="U464" i="1"/>
  <c r="S465" i="1"/>
  <c r="U465" i="1"/>
  <c r="V465" i="1" a="1"/>
  <c r="V465" i="1" s="1"/>
  <c r="AB465" i="1"/>
  <c r="V466" i="1" a="1"/>
  <c r="V466" i="1" s="1"/>
  <c r="AB466" i="1"/>
  <c r="S466" i="1"/>
  <c r="U466" i="1"/>
  <c r="S467" i="1"/>
  <c r="U467" i="1"/>
  <c r="V467" i="1" a="1"/>
  <c r="V467" i="1" s="1"/>
  <c r="AB467" i="1"/>
  <c r="V468" i="1" a="1"/>
  <c r="V468" i="1" s="1"/>
  <c r="AB468" i="1"/>
  <c r="S468" i="1"/>
  <c r="U468" i="1"/>
  <c r="S469" i="1"/>
  <c r="U469" i="1"/>
  <c r="V469" i="1" a="1"/>
  <c r="V469" i="1" s="1"/>
  <c r="AB469" i="1"/>
  <c r="V470" i="1" a="1"/>
  <c r="V470" i="1" s="1"/>
  <c r="AB470" i="1"/>
  <c r="S470" i="1"/>
  <c r="U470" i="1"/>
  <c r="S471" i="1"/>
  <c r="U471" i="1"/>
  <c r="V471" i="1" a="1"/>
  <c r="V471" i="1" s="1"/>
  <c r="AB471" i="1"/>
  <c r="V472" i="1" a="1"/>
  <c r="V472" i="1" s="1"/>
  <c r="AB472" i="1"/>
  <c r="S472" i="1"/>
  <c r="U472" i="1"/>
  <c r="V473" i="1" a="1"/>
  <c r="V473" i="1" s="1"/>
  <c r="S473" i="1"/>
  <c r="U473" i="1"/>
  <c r="AB473" i="1"/>
  <c r="AB474" i="1"/>
  <c r="S474" i="1"/>
  <c r="U474" i="1"/>
  <c r="V474" i="1" a="1"/>
  <c r="V474" i="1" s="1"/>
  <c r="V475" i="1" a="1"/>
  <c r="V475" i="1" s="1"/>
  <c r="S475" i="1"/>
  <c r="U475" i="1"/>
  <c r="AB475" i="1"/>
  <c r="AB476" i="1"/>
  <c r="S476" i="1"/>
  <c r="U476" i="1"/>
  <c r="V476" i="1" a="1"/>
  <c r="V476" i="1" s="1"/>
  <c r="V477" i="1" a="1"/>
  <c r="V477" i="1" s="1"/>
  <c r="S477" i="1"/>
  <c r="U477" i="1"/>
  <c r="AB477" i="1"/>
  <c r="AB478" i="1"/>
  <c r="S478" i="1"/>
  <c r="U478" i="1"/>
  <c r="V478" i="1" a="1"/>
  <c r="V478" i="1" s="1"/>
  <c r="S479" i="1"/>
  <c r="U479" i="1"/>
  <c r="V479" i="1" a="1"/>
  <c r="V479" i="1" s="1"/>
  <c r="AB479" i="1"/>
  <c r="AB480" i="1"/>
  <c r="S480" i="1"/>
  <c r="U480" i="1"/>
  <c r="V480" i="1" a="1"/>
  <c r="V480" i="1" s="1"/>
  <c r="V481" i="1" a="1"/>
  <c r="V481" i="1" s="1"/>
  <c r="S481" i="1"/>
  <c r="U481" i="1"/>
  <c r="AB481" i="1"/>
  <c r="AB482" i="1"/>
  <c r="S482" i="1"/>
  <c r="U482" i="1"/>
  <c r="V482" i="1" a="1"/>
  <c r="V482" i="1" s="1"/>
  <c r="V483" i="1" a="1"/>
  <c r="V483" i="1" s="1"/>
  <c r="AB483" i="1"/>
  <c r="S483" i="1"/>
  <c r="U483" i="1"/>
  <c r="S484" i="1"/>
  <c r="U484" i="1"/>
  <c r="V484" i="1" a="1"/>
  <c r="V484" i="1" s="1"/>
  <c r="AB484" i="1"/>
  <c r="V485" i="1" a="1"/>
  <c r="V485" i="1" s="1"/>
  <c r="AB485" i="1"/>
  <c r="S485" i="1"/>
  <c r="U485" i="1"/>
  <c r="S486" i="1"/>
  <c r="U486" i="1"/>
  <c r="V486" i="1" a="1"/>
  <c r="V486" i="1" s="1"/>
  <c r="AB486" i="1"/>
  <c r="V487" i="1" a="1"/>
  <c r="V487" i="1" s="1"/>
  <c r="AB487" i="1"/>
  <c r="S487" i="1"/>
  <c r="U487" i="1"/>
  <c r="S488" i="1"/>
  <c r="U488" i="1"/>
  <c r="V488" i="1" a="1"/>
  <c r="V488" i="1" s="1"/>
  <c r="AB488" i="1"/>
  <c r="V489" i="1" a="1"/>
  <c r="V489" i="1" s="1"/>
  <c r="AB489" i="1"/>
  <c r="S489" i="1"/>
  <c r="U489" i="1"/>
  <c r="S490" i="1"/>
  <c r="U490" i="1"/>
  <c r="V490" i="1" a="1"/>
  <c r="V490" i="1" s="1"/>
  <c r="AB490" i="1"/>
  <c r="V491" i="1" a="1"/>
  <c r="V491" i="1" s="1"/>
  <c r="AB491" i="1"/>
  <c r="S491" i="1"/>
  <c r="U491" i="1"/>
  <c r="S492" i="1"/>
  <c r="U492" i="1"/>
  <c r="V492" i="1" a="1"/>
  <c r="V492" i="1" s="1"/>
  <c r="AB492" i="1"/>
  <c r="AB493" i="1"/>
  <c r="S493" i="1"/>
  <c r="U493" i="1"/>
  <c r="V493" i="1" a="1"/>
  <c r="V493" i="1" s="1"/>
  <c r="V494" i="1" a="1"/>
  <c r="V494" i="1" s="1"/>
  <c r="S494" i="1"/>
  <c r="U494" i="1"/>
  <c r="AB494" i="1"/>
  <c r="AB495" i="1"/>
  <c r="S495" i="1"/>
  <c r="U495" i="1"/>
  <c r="V495" i="1" a="1"/>
  <c r="V495" i="1" s="1"/>
  <c r="S496" i="1"/>
  <c r="U496" i="1"/>
  <c r="V496" i="1" a="1"/>
  <c r="V496" i="1" s="1"/>
  <c r="AB496" i="1"/>
  <c r="V497" i="1" a="1"/>
  <c r="V497" i="1" s="1"/>
  <c r="AB497" i="1"/>
  <c r="S497" i="1"/>
  <c r="U497" i="1"/>
  <c r="S498" i="1"/>
  <c r="U498" i="1"/>
  <c r="V498" i="1" a="1"/>
  <c r="V498" i="1" s="1"/>
  <c r="AB498" i="1"/>
  <c r="V499" i="1" a="1"/>
  <c r="V499" i="1" s="1"/>
  <c r="AB499" i="1"/>
  <c r="S499" i="1"/>
  <c r="U499" i="1"/>
  <c r="S500" i="1"/>
  <c r="U500" i="1"/>
  <c r="V500" i="1" a="1"/>
  <c r="V500" i="1" s="1"/>
  <c r="AB500" i="1"/>
  <c r="AB501" i="1"/>
  <c r="S501" i="1"/>
  <c r="U501" i="1"/>
  <c r="V501" i="1" a="1"/>
  <c r="V501" i="1" s="1"/>
  <c r="V502" i="1" a="1"/>
  <c r="V502" i="1" s="1"/>
  <c r="AB502" i="1"/>
  <c r="S502" i="1"/>
  <c r="U502" i="1"/>
  <c r="S503" i="1"/>
  <c r="U503" i="1"/>
  <c r="V503" i="1" a="1"/>
  <c r="V503" i="1" s="1"/>
  <c r="AB503" i="1"/>
  <c r="V504" i="1" a="1"/>
  <c r="V504" i="1" s="1"/>
  <c r="AB504" i="1"/>
  <c r="S504" i="1"/>
  <c r="U504" i="1"/>
  <c r="S505" i="1"/>
  <c r="U505" i="1"/>
  <c r="V505" i="1" a="1"/>
  <c r="V505" i="1" s="1"/>
  <c r="AB505" i="1"/>
  <c r="AB506" i="1"/>
  <c r="S506" i="1"/>
  <c r="U506" i="1"/>
  <c r="V506" i="1" a="1"/>
  <c r="V506" i="1" s="1"/>
  <c r="S507" i="1"/>
  <c r="U507" i="1"/>
  <c r="V507" i="1" a="1"/>
  <c r="V507" i="1" s="1"/>
  <c r="AB507" i="1"/>
  <c r="V508" i="1" a="1"/>
  <c r="V508" i="1" s="1"/>
  <c r="AB508" i="1"/>
  <c r="S508" i="1"/>
  <c r="U508" i="1"/>
  <c r="S509" i="1"/>
  <c r="U509" i="1"/>
  <c r="V509" i="1" a="1"/>
  <c r="V509" i="1" s="1"/>
  <c r="AB509" i="1"/>
  <c r="AB510" i="1"/>
  <c r="S510" i="1"/>
  <c r="U510" i="1"/>
  <c r="V510" i="1" a="1"/>
  <c r="V510" i="1" s="1"/>
  <c r="S511" i="1"/>
  <c r="U511" i="1"/>
  <c r="V511" i="1" a="1"/>
  <c r="V511" i="1" s="1"/>
  <c r="AB511" i="1"/>
  <c r="AB512" i="1"/>
  <c r="S512" i="1"/>
  <c r="U512" i="1"/>
  <c r="V512" i="1" a="1"/>
  <c r="V512" i="1" s="1"/>
  <c r="V513" i="1" a="1"/>
  <c r="V513" i="1" s="1"/>
  <c r="S513" i="1"/>
  <c r="U513" i="1"/>
  <c r="AB513" i="1"/>
  <c r="AB514" i="1"/>
  <c r="S514" i="1"/>
  <c r="U514" i="1"/>
  <c r="V514" i="1" a="1"/>
  <c r="V514" i="1" s="1"/>
  <c r="V515" i="1" a="1"/>
  <c r="V515" i="1" s="1"/>
  <c r="S515" i="1"/>
  <c r="U515" i="1"/>
  <c r="AB515" i="1"/>
  <c r="AB516" i="1"/>
  <c r="S516" i="1"/>
  <c r="U516" i="1"/>
  <c r="V516" i="1" a="1"/>
  <c r="V516" i="1" s="1"/>
  <c r="V517" i="1" a="1"/>
  <c r="V517" i="1" s="1"/>
  <c r="S517" i="1"/>
  <c r="U517" i="1"/>
  <c r="AB517" i="1"/>
  <c r="S518" i="1"/>
  <c r="U518" i="1"/>
  <c r="V518" i="1" a="1"/>
  <c r="V518" i="1" s="1"/>
  <c r="AB518" i="1"/>
  <c r="V519" i="1" a="1"/>
  <c r="V519" i="1" s="1"/>
  <c r="AB519" i="1"/>
  <c r="S519" i="1"/>
  <c r="U519" i="1"/>
  <c r="V520" i="1" a="1"/>
  <c r="V520" i="1" s="1"/>
  <c r="S520" i="1"/>
  <c r="U520" i="1"/>
  <c r="AB520" i="1"/>
  <c r="AB521" i="1"/>
  <c r="S521" i="1"/>
  <c r="U521" i="1"/>
  <c r="V521" i="1" a="1"/>
  <c r="V521" i="1" s="1"/>
  <c r="V522" i="1" a="1"/>
  <c r="V522" i="1" s="1"/>
  <c r="S522" i="1"/>
  <c r="U522" i="1"/>
  <c r="AB522" i="1"/>
  <c r="AB523" i="1"/>
  <c r="S523" i="1"/>
  <c r="U523" i="1"/>
  <c r="V523" i="1" a="1"/>
  <c r="V523" i="1" s="1"/>
  <c r="V524" i="1" a="1"/>
  <c r="V524" i="1" s="1"/>
  <c r="AB524" i="1"/>
  <c r="S524" i="1"/>
  <c r="U524" i="1"/>
  <c r="S525" i="1"/>
  <c r="U525" i="1"/>
  <c r="V525" i="1" a="1"/>
  <c r="V525" i="1" s="1"/>
  <c r="AB525" i="1"/>
  <c r="V526" i="1" a="1"/>
  <c r="V526" i="1" s="1"/>
  <c r="AB526" i="1"/>
  <c r="S526" i="1"/>
  <c r="U526" i="1"/>
  <c r="V527" i="1" a="1"/>
  <c r="V527" i="1" s="1"/>
  <c r="S527" i="1"/>
  <c r="U527" i="1"/>
  <c r="AB527" i="1"/>
  <c r="AB528" i="1"/>
  <c r="S528" i="1"/>
  <c r="U528" i="1"/>
  <c r="V528" i="1" a="1"/>
  <c r="V528" i="1" s="1"/>
  <c r="V529" i="1" a="1"/>
  <c r="V529" i="1" s="1"/>
  <c r="AB529" i="1"/>
  <c r="S529" i="1"/>
  <c r="U529" i="1"/>
  <c r="S530" i="1"/>
  <c r="U530" i="1"/>
  <c r="V530" i="1" a="1"/>
  <c r="V530" i="1" s="1"/>
  <c r="AB530" i="1"/>
  <c r="AB531" i="1"/>
  <c r="S531" i="1"/>
  <c r="U531" i="1"/>
  <c r="V531" i="1" a="1"/>
  <c r="V531" i="1" s="1"/>
  <c r="V532" i="1" a="1"/>
  <c r="V532" i="1" s="1"/>
  <c r="S532" i="1"/>
  <c r="U532" i="1"/>
  <c r="AB532" i="1"/>
  <c r="AB533" i="1"/>
  <c r="S533" i="1"/>
  <c r="U533" i="1"/>
  <c r="V533" i="1" a="1"/>
  <c r="V533" i="1" s="1"/>
  <c r="V534" i="1" a="1"/>
  <c r="V534" i="1" s="1"/>
  <c r="S534" i="1"/>
  <c r="U534" i="1"/>
  <c r="AB534" i="1"/>
  <c r="AB535" i="1"/>
  <c r="S535" i="1"/>
  <c r="U535" i="1"/>
  <c r="V535" i="1" a="1"/>
  <c r="V535" i="1" s="1"/>
  <c r="V536" i="1" a="1"/>
  <c r="V536" i="1" s="1"/>
  <c r="S536" i="1"/>
  <c r="U536" i="1"/>
  <c r="AB536" i="1"/>
  <c r="AB537" i="1"/>
  <c r="S537" i="1"/>
  <c r="U537" i="1"/>
  <c r="V537" i="1" a="1"/>
  <c r="V537" i="1" s="1"/>
  <c r="V538" i="1" a="1"/>
  <c r="V538" i="1" s="1"/>
  <c r="S538" i="1"/>
  <c r="U538" i="1"/>
  <c r="AB538" i="1"/>
  <c r="AB539" i="1"/>
  <c r="S539" i="1"/>
  <c r="U539" i="1"/>
  <c r="V539" i="1" a="1"/>
  <c r="V539" i="1" s="1"/>
  <c r="V540" i="1" a="1"/>
  <c r="V540" i="1" s="1"/>
  <c r="AB540" i="1"/>
  <c r="S540" i="1"/>
  <c r="U540" i="1"/>
  <c r="S541" i="1"/>
  <c r="U541" i="1"/>
  <c r="V541" i="1" a="1"/>
  <c r="V541" i="1" s="1"/>
  <c r="AB541" i="1"/>
  <c r="V542" i="1" a="1"/>
  <c r="V542" i="1" s="1"/>
  <c r="AB542" i="1"/>
  <c r="S542" i="1"/>
  <c r="U542" i="1"/>
  <c r="S543" i="1"/>
  <c r="U543" i="1"/>
  <c r="V543" i="1" a="1"/>
  <c r="V543" i="1" s="1"/>
  <c r="AB543" i="1"/>
  <c r="V544" i="1" a="1"/>
  <c r="V544" i="1" s="1"/>
  <c r="AB544" i="1"/>
  <c r="S544" i="1"/>
  <c r="U544" i="1"/>
  <c r="S545" i="1"/>
  <c r="U545" i="1"/>
  <c r="V545" i="1" a="1"/>
  <c r="V545" i="1" s="1"/>
  <c r="AB545" i="1"/>
  <c r="AB546" i="1"/>
  <c r="S546" i="1"/>
  <c r="U546" i="1"/>
  <c r="V546" i="1" a="1"/>
  <c r="V546" i="1" s="1"/>
  <c r="V547" i="1" a="1"/>
  <c r="V547" i="1" s="1"/>
  <c r="S547" i="1"/>
  <c r="U547" i="1"/>
  <c r="AB547" i="1"/>
  <c r="AB548" i="1"/>
  <c r="S548" i="1"/>
  <c r="U548" i="1"/>
  <c r="V548" i="1" a="1"/>
  <c r="V548" i="1" s="1"/>
  <c r="V549" i="1" a="1"/>
  <c r="V549" i="1" s="1"/>
  <c r="S549" i="1"/>
  <c r="U549" i="1"/>
  <c r="AB549" i="1"/>
  <c r="AB550" i="1"/>
  <c r="S550" i="1"/>
  <c r="U550" i="1"/>
  <c r="V550" i="1" a="1"/>
  <c r="V550" i="1" s="1"/>
  <c r="S551" i="1"/>
  <c r="U551" i="1"/>
  <c r="V551" i="1" a="1"/>
  <c r="V551" i="1" s="1"/>
  <c r="AB551" i="1"/>
  <c r="V552" i="1" a="1"/>
  <c r="V552" i="1" s="1"/>
  <c r="AB552" i="1"/>
  <c r="S552" i="1"/>
  <c r="U552" i="1"/>
  <c r="S553" i="1"/>
  <c r="U553" i="1"/>
  <c r="V553" i="1" a="1"/>
  <c r="V553" i="1" s="1"/>
  <c r="AB553" i="1"/>
  <c r="V554" i="1" a="1"/>
  <c r="V554" i="1" s="1"/>
  <c r="AB554" i="1"/>
  <c r="S554" i="1"/>
  <c r="U554" i="1"/>
  <c r="AB555" i="1"/>
  <c r="S555" i="1"/>
  <c r="U555" i="1"/>
  <c r="V555" i="1" a="1"/>
  <c r="V555" i="1" s="1"/>
  <c r="V556" i="1" a="1"/>
  <c r="V556" i="1" s="1"/>
  <c r="S556" i="1"/>
  <c r="U556" i="1"/>
  <c r="AB556" i="1"/>
  <c r="AB557" i="1"/>
  <c r="S557" i="1"/>
  <c r="U557" i="1"/>
  <c r="V557" i="1" a="1"/>
  <c r="V557" i="1" s="1"/>
  <c r="V558" i="1" a="1"/>
  <c r="V558" i="1" s="1"/>
  <c r="S558" i="1"/>
  <c r="U558" i="1"/>
  <c r="AB558" i="1"/>
  <c r="AB559" i="1"/>
  <c r="S559" i="1"/>
  <c r="U559" i="1"/>
  <c r="V559" i="1" a="1"/>
  <c r="V559" i="1" s="1"/>
  <c r="V560" i="1" a="1"/>
  <c r="V560" i="1" s="1"/>
  <c r="S560" i="1"/>
  <c r="U560" i="1"/>
  <c r="AB560" i="1"/>
  <c r="AB561" i="1"/>
  <c r="S561" i="1"/>
  <c r="U561" i="1"/>
  <c r="V561" i="1" a="1"/>
  <c r="V561" i="1" s="1"/>
  <c r="S562" i="1"/>
  <c r="U562" i="1"/>
  <c r="V562" i="1" a="1"/>
  <c r="V562" i="1" s="1"/>
  <c r="AB562" i="1"/>
  <c r="V563" i="1" a="1"/>
  <c r="V563" i="1" s="1"/>
  <c r="AB563" i="1"/>
  <c r="S563" i="1"/>
  <c r="U563" i="1"/>
  <c r="S564" i="1"/>
  <c r="U564" i="1"/>
  <c r="V564" i="1" a="1"/>
  <c r="V564" i="1" s="1"/>
  <c r="AB564" i="1"/>
  <c r="AB565" i="1"/>
  <c r="S565" i="1"/>
  <c r="U565" i="1"/>
  <c r="V565" i="1" a="1"/>
  <c r="V565" i="1" s="1"/>
  <c r="V566" i="1" a="1"/>
  <c r="V566" i="1" s="1"/>
  <c r="S566" i="1"/>
  <c r="U566" i="1"/>
  <c r="AB566" i="1"/>
  <c r="V567" i="1" a="1"/>
  <c r="V567" i="1" s="1"/>
  <c r="S567" i="1"/>
  <c r="U567" i="1"/>
  <c r="AB567" i="1"/>
  <c r="AB568" i="1"/>
  <c r="S568" i="1"/>
  <c r="U568" i="1"/>
  <c r="V568" i="1" a="1"/>
  <c r="V568" i="1" s="1"/>
  <c r="V569" i="1" a="1"/>
  <c r="V569" i="1" s="1"/>
  <c r="S569" i="1"/>
  <c r="U569" i="1"/>
  <c r="AB569" i="1"/>
  <c r="AB570" i="1"/>
  <c r="S570" i="1"/>
  <c r="U570" i="1"/>
  <c r="V570" i="1" a="1"/>
  <c r="V570" i="1" s="1"/>
  <c r="S571" i="1"/>
  <c r="U571" i="1"/>
  <c r="V571" i="1" a="1"/>
  <c r="V571" i="1" s="1"/>
  <c r="AB571" i="1"/>
  <c r="V572" i="1" a="1"/>
  <c r="V572" i="1" s="1"/>
  <c r="AB572" i="1"/>
  <c r="S572" i="1"/>
  <c r="U572" i="1"/>
  <c r="S573" i="1"/>
  <c r="U573" i="1"/>
  <c r="V573" i="1" a="1"/>
  <c r="V573" i="1" s="1"/>
  <c r="AB573" i="1"/>
  <c r="V574" i="1" a="1"/>
  <c r="V574" i="1" s="1"/>
  <c r="AB574" i="1"/>
  <c r="S574" i="1"/>
  <c r="U574" i="1"/>
  <c r="S575" i="1"/>
  <c r="U575" i="1"/>
  <c r="V575" i="1" a="1"/>
  <c r="V575" i="1" s="1"/>
  <c r="AB575" i="1"/>
  <c r="V576" i="1" a="1"/>
  <c r="V576" i="1" s="1"/>
  <c r="AB576" i="1"/>
  <c r="S576" i="1"/>
  <c r="U576" i="1"/>
  <c r="S577" i="1"/>
  <c r="U577" i="1"/>
  <c r="V577" i="1" a="1"/>
  <c r="V577" i="1" s="1"/>
  <c r="AB577" i="1"/>
  <c r="V578" i="1" a="1"/>
  <c r="V578" i="1" s="1"/>
  <c r="AB578" i="1"/>
  <c r="S578" i="1"/>
  <c r="U578" i="1"/>
  <c r="S579" i="1"/>
  <c r="U579" i="1"/>
  <c r="V579" i="1" a="1"/>
  <c r="V579" i="1" s="1"/>
  <c r="AB579" i="1"/>
  <c r="V580" i="1" a="1"/>
  <c r="V580" i="1" s="1"/>
  <c r="AB580" i="1"/>
  <c r="S580" i="1"/>
  <c r="U580" i="1"/>
  <c r="AB581" i="1"/>
  <c r="S581" i="1"/>
  <c r="U581" i="1"/>
  <c r="V581" i="1" a="1"/>
  <c r="V581" i="1" s="1"/>
  <c r="V582" i="1" a="1"/>
  <c r="V582" i="1" s="1"/>
  <c r="AB582" i="1"/>
  <c r="S582" i="1"/>
  <c r="U582" i="1"/>
  <c r="V583" i="1" a="1"/>
  <c r="V583" i="1" s="1"/>
  <c r="S583" i="1"/>
  <c r="U583" i="1"/>
  <c r="AB583" i="1"/>
  <c r="AB584" i="1"/>
  <c r="S584" i="1"/>
  <c r="U584" i="1"/>
  <c r="V584" i="1" a="1"/>
  <c r="V584" i="1" s="1"/>
  <c r="V585" i="1" a="1"/>
  <c r="V585" i="1" s="1"/>
  <c r="S585" i="1"/>
  <c r="U585" i="1"/>
  <c r="AB585" i="1"/>
  <c r="AB586" i="1"/>
  <c r="S586" i="1"/>
  <c r="U586" i="1"/>
  <c r="V586" i="1" a="1"/>
  <c r="V586" i="1" s="1"/>
  <c r="S587" i="1"/>
  <c r="U587" i="1"/>
  <c r="V587" i="1" a="1"/>
  <c r="V587" i="1" s="1"/>
  <c r="AB587" i="1"/>
  <c r="V588" i="1" a="1"/>
  <c r="V588" i="1" s="1"/>
  <c r="AB588" i="1"/>
  <c r="S588" i="1"/>
  <c r="U588" i="1"/>
  <c r="S589" i="1"/>
  <c r="U589" i="1"/>
  <c r="V589" i="1" a="1"/>
  <c r="V589" i="1" s="1"/>
  <c r="AB589" i="1"/>
  <c r="V590" i="1" a="1"/>
  <c r="V590" i="1" s="1"/>
  <c r="S590" i="1"/>
  <c r="U590" i="1"/>
  <c r="AB590" i="1"/>
  <c r="S591" i="1"/>
  <c r="U591" i="1"/>
  <c r="V591" i="1" a="1"/>
  <c r="V591" i="1" s="1"/>
  <c r="AB591" i="1"/>
  <c r="S592" i="1"/>
  <c r="U592" i="1"/>
  <c r="V592" i="1" a="1"/>
  <c r="V592" i="1" s="1"/>
  <c r="AB592" i="1"/>
  <c r="S593" i="1"/>
  <c r="U593" i="1"/>
  <c r="V593" i="1" a="1"/>
  <c r="V593" i="1" s="1"/>
  <c r="AB593" i="1"/>
  <c r="S594" i="1"/>
  <c r="U594" i="1"/>
  <c r="V594" i="1" a="1"/>
  <c r="V594" i="1" s="1"/>
  <c r="AB594" i="1"/>
  <c r="S595" i="1"/>
  <c r="U595" i="1"/>
  <c r="V595" i="1" a="1"/>
  <c r="V595" i="1" s="1"/>
  <c r="AB595" i="1"/>
  <c r="S596" i="1"/>
  <c r="U596" i="1"/>
  <c r="V596" i="1" a="1"/>
  <c r="V596" i="1" s="1"/>
  <c r="AB596" i="1"/>
  <c r="S597" i="1"/>
  <c r="U597" i="1"/>
  <c r="V597" i="1" a="1"/>
  <c r="V597" i="1" s="1"/>
  <c r="AB597" i="1"/>
  <c r="S598" i="1"/>
  <c r="U598" i="1"/>
  <c r="V598" i="1" a="1"/>
  <c r="V598" i="1" s="1"/>
  <c r="AB598" i="1"/>
  <c r="S599" i="1"/>
  <c r="U599" i="1"/>
  <c r="V599" i="1" a="1"/>
  <c r="V599" i="1" s="1"/>
  <c r="AB599" i="1"/>
  <c r="S600" i="1"/>
  <c r="U600" i="1"/>
  <c r="V600" i="1" a="1"/>
  <c r="V600" i="1" s="1"/>
  <c r="AB600" i="1"/>
  <c r="S601" i="1"/>
  <c r="U601" i="1"/>
  <c r="V601" i="1" a="1"/>
  <c r="V601" i="1" s="1"/>
  <c r="AB601" i="1"/>
  <c r="S602" i="1"/>
  <c r="U602" i="1"/>
  <c r="V602" i="1" a="1"/>
  <c r="V602" i="1" s="1"/>
  <c r="AB602" i="1"/>
  <c r="S603" i="1"/>
  <c r="U603" i="1"/>
  <c r="V603" i="1" a="1"/>
  <c r="V603" i="1" s="1"/>
  <c r="AB603" i="1"/>
  <c r="S604" i="1"/>
  <c r="U604" i="1"/>
  <c r="V604" i="1" a="1"/>
  <c r="V604" i="1" s="1"/>
  <c r="AB604" i="1"/>
  <c r="S605" i="1"/>
  <c r="U605" i="1"/>
  <c r="V605" i="1" a="1"/>
  <c r="V605" i="1" s="1"/>
  <c r="AB605" i="1"/>
  <c r="S606" i="1"/>
  <c r="U606" i="1"/>
  <c r="V606" i="1" a="1"/>
  <c r="V606" i="1" s="1"/>
  <c r="AB606" i="1"/>
  <c r="S607" i="1"/>
  <c r="U607" i="1"/>
  <c r="V607" i="1" a="1"/>
  <c r="V607" i="1" s="1"/>
  <c r="AB607" i="1"/>
  <c r="S608" i="1"/>
  <c r="U608" i="1"/>
  <c r="V608" i="1" a="1"/>
  <c r="V608" i="1" s="1"/>
  <c r="AB608" i="1"/>
  <c r="S609" i="1"/>
  <c r="U609" i="1"/>
  <c r="V609" i="1" a="1"/>
  <c r="V609" i="1" s="1"/>
  <c r="AB609" i="1"/>
  <c r="S610" i="1"/>
  <c r="U610" i="1"/>
  <c r="V610" i="1" a="1"/>
  <c r="V610" i="1" s="1"/>
  <c r="AB610" i="1"/>
  <c r="S611" i="1"/>
  <c r="U611" i="1"/>
  <c r="V611" i="1" a="1"/>
  <c r="V611" i="1" s="1"/>
  <c r="AB611" i="1"/>
  <c r="S612" i="1"/>
  <c r="U612" i="1"/>
  <c r="V612" i="1" a="1"/>
  <c r="V612" i="1" s="1"/>
  <c r="AB612" i="1"/>
  <c r="S613" i="1"/>
  <c r="U613" i="1"/>
  <c r="V613" i="1" a="1"/>
  <c r="V613" i="1" s="1"/>
  <c r="AB613" i="1"/>
  <c r="S614" i="1"/>
  <c r="U614" i="1"/>
  <c r="V614" i="1" a="1"/>
  <c r="V614" i="1" s="1"/>
  <c r="AB614" i="1"/>
  <c r="S615" i="1"/>
  <c r="U615" i="1"/>
  <c r="V615" i="1" a="1"/>
  <c r="V615" i="1" s="1"/>
  <c r="AB615" i="1"/>
  <c r="S616" i="1"/>
  <c r="U616" i="1"/>
  <c r="V616" i="1" a="1"/>
  <c r="V616" i="1" s="1"/>
  <c r="AB616" i="1"/>
  <c r="S617" i="1"/>
  <c r="U617" i="1"/>
  <c r="V617" i="1" a="1"/>
  <c r="V617" i="1" s="1"/>
  <c r="AB617" i="1"/>
  <c r="S618" i="1"/>
  <c r="U618" i="1"/>
  <c r="V618" i="1" a="1"/>
  <c r="V618" i="1" s="1"/>
  <c r="AB618" i="1"/>
  <c r="S619" i="1"/>
  <c r="U619" i="1"/>
  <c r="V619" i="1" a="1"/>
  <c r="V619" i="1" s="1"/>
  <c r="AB619" i="1"/>
  <c r="S620" i="1"/>
  <c r="U620" i="1"/>
  <c r="V620" i="1" a="1"/>
  <c r="V620" i="1" s="1"/>
  <c r="AB620" i="1"/>
  <c r="S621" i="1"/>
  <c r="U621" i="1"/>
  <c r="V621" i="1" a="1"/>
  <c r="V621" i="1" s="1"/>
  <c r="AB621" i="1"/>
  <c r="S622" i="1"/>
  <c r="U622" i="1"/>
  <c r="V622" i="1" a="1"/>
  <c r="V622" i="1" s="1"/>
  <c r="AB622" i="1"/>
  <c r="S623" i="1"/>
  <c r="U623" i="1"/>
  <c r="V623" i="1" a="1"/>
  <c r="V623" i="1" s="1"/>
  <c r="AB623" i="1"/>
  <c r="S624" i="1"/>
  <c r="U624" i="1"/>
  <c r="V624" i="1" a="1"/>
  <c r="V624" i="1" s="1"/>
  <c r="AB624" i="1"/>
  <c r="S625" i="1"/>
  <c r="U625" i="1"/>
  <c r="V625" i="1" a="1"/>
  <c r="V625" i="1" s="1"/>
  <c r="AB625" i="1"/>
  <c r="S626" i="1"/>
  <c r="U626" i="1"/>
  <c r="V626" i="1" a="1"/>
  <c r="V626" i="1" s="1"/>
  <c r="AB626" i="1"/>
  <c r="S627" i="1"/>
  <c r="U627" i="1"/>
  <c r="V627" i="1" a="1"/>
  <c r="V627" i="1" s="1"/>
  <c r="AB627" i="1"/>
  <c r="S628" i="1"/>
  <c r="U628" i="1"/>
  <c r="V628" i="1" a="1"/>
  <c r="V628" i="1" s="1"/>
  <c r="AB628" i="1"/>
  <c r="S629" i="1"/>
  <c r="U629" i="1"/>
  <c r="V629" i="1" a="1"/>
  <c r="V629" i="1" s="1"/>
  <c r="AB629" i="1"/>
  <c r="S630" i="1"/>
  <c r="U630" i="1"/>
  <c r="V630" i="1" a="1"/>
  <c r="V630" i="1" s="1"/>
  <c r="AB630" i="1"/>
  <c r="S631" i="1"/>
  <c r="U631" i="1"/>
  <c r="V631" i="1" a="1"/>
  <c r="V631" i="1" s="1"/>
  <c r="AB631" i="1"/>
  <c r="S632" i="1"/>
  <c r="U632" i="1"/>
  <c r="V632" i="1" a="1"/>
  <c r="V632" i="1" s="1"/>
  <c r="AB632" i="1"/>
  <c r="S633" i="1"/>
  <c r="U633" i="1"/>
  <c r="V633" i="1" a="1"/>
  <c r="V633" i="1" s="1"/>
  <c r="AB633" i="1"/>
  <c r="S634" i="1"/>
  <c r="U634" i="1"/>
  <c r="V634" i="1" a="1"/>
  <c r="V634" i="1" s="1"/>
  <c r="AB634" i="1"/>
  <c r="S635" i="1"/>
  <c r="U635" i="1"/>
  <c r="V635" i="1" a="1"/>
  <c r="V635" i="1" s="1"/>
  <c r="AB635" i="1"/>
  <c r="S636" i="1"/>
  <c r="U636" i="1"/>
  <c r="V636" i="1" a="1"/>
  <c r="V636" i="1" s="1"/>
  <c r="AB636" i="1"/>
  <c r="S637" i="1"/>
  <c r="U637" i="1"/>
  <c r="V637" i="1" a="1"/>
  <c r="V637" i="1" s="1"/>
  <c r="AB637" i="1"/>
  <c r="S638" i="1"/>
  <c r="U638" i="1"/>
  <c r="V638" i="1" a="1"/>
  <c r="V638" i="1" s="1"/>
  <c r="AB638" i="1"/>
  <c r="S639" i="1"/>
  <c r="U639" i="1"/>
  <c r="V639" i="1" a="1"/>
  <c r="V639" i="1" s="1"/>
  <c r="AB639" i="1"/>
  <c r="S640" i="1"/>
  <c r="U640" i="1"/>
  <c r="V640" i="1" a="1"/>
  <c r="V640" i="1" s="1"/>
  <c r="AB640" i="1"/>
  <c r="S641" i="1"/>
  <c r="U641" i="1"/>
  <c r="V641" i="1" a="1"/>
  <c r="V641" i="1" s="1"/>
  <c r="AB641" i="1"/>
  <c r="S642" i="1"/>
  <c r="U642" i="1"/>
  <c r="V642" i="1" a="1"/>
  <c r="V642" i="1" s="1"/>
  <c r="AB642" i="1"/>
  <c r="S643" i="1"/>
  <c r="U643" i="1"/>
  <c r="V643" i="1" a="1"/>
  <c r="V643" i="1" s="1"/>
  <c r="AB643" i="1"/>
  <c r="S644" i="1"/>
  <c r="U644" i="1"/>
  <c r="V644" i="1" a="1"/>
  <c r="V644" i="1" s="1"/>
  <c r="AB644" i="1"/>
  <c r="S645" i="1"/>
  <c r="U645" i="1"/>
  <c r="V645" i="1" a="1"/>
  <c r="V645" i="1" s="1"/>
  <c r="AB645" i="1"/>
  <c r="S646" i="1"/>
  <c r="U646" i="1"/>
  <c r="V646" i="1" a="1"/>
  <c r="V646" i="1" s="1"/>
  <c r="AB646" i="1"/>
  <c r="S647" i="1"/>
  <c r="U647" i="1"/>
  <c r="V647" i="1" a="1"/>
  <c r="V647" i="1" s="1"/>
  <c r="AB647" i="1"/>
  <c r="S648" i="1"/>
  <c r="U648" i="1"/>
  <c r="V648" i="1" a="1"/>
  <c r="V648" i="1" s="1"/>
  <c r="AB648" i="1"/>
  <c r="S649" i="1"/>
  <c r="U649" i="1"/>
  <c r="V649" i="1" a="1"/>
  <c r="V649" i="1" s="1"/>
  <c r="AB649" i="1"/>
  <c r="S650" i="1"/>
  <c r="U650" i="1"/>
  <c r="V650" i="1" a="1"/>
  <c r="V650" i="1" s="1"/>
  <c r="AB650" i="1"/>
  <c r="S651" i="1"/>
  <c r="U651" i="1"/>
  <c r="V651" i="1" a="1"/>
  <c r="V651" i="1" s="1"/>
  <c r="AB651" i="1"/>
  <c r="S652" i="1"/>
  <c r="U652" i="1"/>
  <c r="V652" i="1" a="1"/>
  <c r="V652" i="1" s="1"/>
  <c r="AB652" i="1"/>
  <c r="S653" i="1"/>
  <c r="U653" i="1"/>
  <c r="V653" i="1" a="1"/>
  <c r="V653" i="1" s="1"/>
  <c r="AB653" i="1"/>
  <c r="S654" i="1"/>
  <c r="U654" i="1"/>
  <c r="V654" i="1" a="1"/>
  <c r="V654" i="1" s="1"/>
  <c r="AB654" i="1"/>
  <c r="S655" i="1"/>
  <c r="U655" i="1"/>
  <c r="V655" i="1" a="1"/>
  <c r="V655" i="1" s="1"/>
  <c r="AB655" i="1"/>
  <c r="S656" i="1"/>
  <c r="U656" i="1"/>
  <c r="V656" i="1" a="1"/>
  <c r="V656" i="1" s="1"/>
  <c r="AB656" i="1"/>
  <c r="S657" i="1"/>
  <c r="U657" i="1"/>
  <c r="V657" i="1" a="1"/>
  <c r="V657" i="1" s="1"/>
  <c r="AB657" i="1"/>
  <c r="S658" i="1"/>
  <c r="U658" i="1"/>
  <c r="V658" i="1" a="1"/>
  <c r="V658" i="1" s="1"/>
  <c r="AB658" i="1"/>
  <c r="S659" i="1"/>
  <c r="U659" i="1"/>
  <c r="V659" i="1" a="1"/>
  <c r="V659" i="1" s="1"/>
  <c r="AB659" i="1"/>
  <c r="S660" i="1"/>
  <c r="U660" i="1"/>
  <c r="V660" i="1" a="1"/>
  <c r="V660" i="1" s="1"/>
  <c r="AB660" i="1"/>
  <c r="S661" i="1"/>
  <c r="U661" i="1"/>
  <c r="V661" i="1" a="1"/>
  <c r="V661" i="1" s="1"/>
  <c r="AB661" i="1"/>
  <c r="S662" i="1"/>
  <c r="U662" i="1"/>
  <c r="V662" i="1" a="1"/>
  <c r="V662" i="1" s="1"/>
  <c r="AB662" i="1"/>
  <c r="S663" i="1"/>
  <c r="U663" i="1"/>
  <c r="V663" i="1" a="1"/>
  <c r="V663" i="1" s="1"/>
  <c r="AB663" i="1"/>
  <c r="S664" i="1"/>
  <c r="U664" i="1"/>
  <c r="V664" i="1" a="1"/>
  <c r="V664" i="1" s="1"/>
  <c r="AB664" i="1"/>
  <c r="S665" i="1"/>
  <c r="U665" i="1"/>
  <c r="V665" i="1" a="1"/>
  <c r="V665" i="1" s="1"/>
  <c r="AB665" i="1"/>
  <c r="S666" i="1"/>
  <c r="U666" i="1"/>
  <c r="V666" i="1" a="1"/>
  <c r="V666" i="1" s="1"/>
  <c r="AB666" i="1"/>
  <c r="S667" i="1"/>
  <c r="U667" i="1"/>
  <c r="V667" i="1" a="1"/>
  <c r="V667" i="1" s="1"/>
  <c r="AB667" i="1"/>
  <c r="S668" i="1"/>
  <c r="U668" i="1"/>
  <c r="V668" i="1" a="1"/>
  <c r="V668" i="1" s="1"/>
  <c r="AB668" i="1"/>
  <c r="S669" i="1"/>
  <c r="U669" i="1"/>
  <c r="V669" i="1" a="1"/>
  <c r="V669" i="1" s="1"/>
  <c r="AB669" i="1"/>
  <c r="S670" i="1"/>
  <c r="U670" i="1"/>
  <c r="V670" i="1" a="1"/>
  <c r="V670" i="1" s="1"/>
  <c r="AB670" i="1"/>
  <c r="S671" i="1"/>
  <c r="U671" i="1"/>
  <c r="V671" i="1" a="1"/>
  <c r="V671" i="1" s="1"/>
  <c r="AB671" i="1"/>
  <c r="S672" i="1"/>
  <c r="U672" i="1"/>
  <c r="V672" i="1" a="1"/>
  <c r="V672" i="1" s="1"/>
  <c r="AB672" i="1"/>
  <c r="S673" i="1"/>
  <c r="U673" i="1"/>
  <c r="V673" i="1" a="1"/>
  <c r="V673" i="1" s="1"/>
  <c r="AB673" i="1"/>
  <c r="S674" i="1"/>
  <c r="U674" i="1"/>
  <c r="V674" i="1" a="1"/>
  <c r="V674" i="1" s="1"/>
  <c r="AB674" i="1"/>
  <c r="S675" i="1"/>
  <c r="U675" i="1"/>
  <c r="V675" i="1" a="1"/>
  <c r="V675" i="1" s="1"/>
  <c r="AB675" i="1"/>
  <c r="S676" i="1"/>
  <c r="U676" i="1"/>
  <c r="V676" i="1" a="1"/>
  <c r="V676" i="1" s="1"/>
  <c r="AB676" i="1"/>
  <c r="S677" i="1"/>
  <c r="U677" i="1"/>
  <c r="V677" i="1" a="1"/>
  <c r="V677" i="1" s="1"/>
  <c r="AB677" i="1"/>
  <c r="S678" i="1"/>
  <c r="U678" i="1"/>
  <c r="V678" i="1" a="1"/>
  <c r="V678" i="1" s="1"/>
  <c r="AB678" i="1"/>
  <c r="S679" i="1"/>
  <c r="U679" i="1"/>
  <c r="V679" i="1" a="1"/>
  <c r="V679" i="1" s="1"/>
  <c r="AB679" i="1"/>
  <c r="S680" i="1"/>
  <c r="U680" i="1"/>
  <c r="V680" i="1" a="1"/>
  <c r="V680" i="1" s="1"/>
  <c r="AB680" i="1"/>
  <c r="S681" i="1"/>
  <c r="U681" i="1"/>
  <c r="V681" i="1" a="1"/>
  <c r="V681" i="1" s="1"/>
  <c r="AB681" i="1"/>
  <c r="S682" i="1"/>
  <c r="U682" i="1"/>
  <c r="V682" i="1" a="1"/>
  <c r="V682" i="1" s="1"/>
  <c r="AB682" i="1"/>
  <c r="S683" i="1"/>
  <c r="U683" i="1"/>
  <c r="V683" i="1" a="1"/>
  <c r="V683" i="1" s="1"/>
  <c r="AB683" i="1"/>
  <c r="S684" i="1"/>
  <c r="U684" i="1"/>
  <c r="V684" i="1" a="1"/>
  <c r="V684" i="1" s="1"/>
  <c r="AB684" i="1"/>
  <c r="S685" i="1"/>
  <c r="U685" i="1"/>
  <c r="V685" i="1" a="1"/>
  <c r="V685" i="1" s="1"/>
  <c r="AB685" i="1"/>
  <c r="S686" i="1"/>
  <c r="U686" i="1"/>
  <c r="V686" i="1" a="1"/>
  <c r="V686" i="1" s="1"/>
  <c r="AB686" i="1"/>
  <c r="S687" i="1"/>
  <c r="U687" i="1"/>
  <c r="V687" i="1" a="1"/>
  <c r="V687" i="1" s="1"/>
  <c r="AB687" i="1"/>
  <c r="S688" i="1"/>
  <c r="U688" i="1"/>
  <c r="V688" i="1" a="1"/>
  <c r="V688" i="1" s="1"/>
  <c r="AB688" i="1"/>
  <c r="S689" i="1"/>
  <c r="U689" i="1"/>
  <c r="V689" i="1" a="1"/>
  <c r="V689" i="1" s="1"/>
  <c r="AB689" i="1"/>
  <c r="S690" i="1"/>
  <c r="U690" i="1"/>
  <c r="V690" i="1" a="1"/>
  <c r="V690" i="1" s="1"/>
  <c r="AB690" i="1"/>
  <c r="S691" i="1"/>
  <c r="U691" i="1"/>
  <c r="V691" i="1" a="1"/>
  <c r="V691" i="1" s="1"/>
  <c r="AB691" i="1"/>
  <c r="S692" i="1"/>
  <c r="U692" i="1"/>
  <c r="V692" i="1" a="1"/>
  <c r="V692" i="1" s="1"/>
  <c r="AB692" i="1"/>
  <c r="S693" i="1"/>
  <c r="U693" i="1"/>
  <c r="V693" i="1" a="1"/>
  <c r="V693" i="1" s="1"/>
  <c r="AB693" i="1"/>
  <c r="S694" i="1"/>
  <c r="U694" i="1"/>
  <c r="V694" i="1" a="1"/>
  <c r="V694" i="1" s="1"/>
  <c r="AB694" i="1"/>
  <c r="S695" i="1"/>
  <c r="U695" i="1"/>
  <c r="V695" i="1" a="1"/>
  <c r="V695" i="1" s="1"/>
  <c r="AB695" i="1"/>
  <c r="S696" i="1"/>
  <c r="U696" i="1"/>
  <c r="V696" i="1" a="1"/>
  <c r="V696" i="1" s="1"/>
  <c r="AB696" i="1"/>
  <c r="S697" i="1"/>
  <c r="U697" i="1"/>
  <c r="V697" i="1" a="1"/>
  <c r="V697" i="1" s="1"/>
  <c r="AB697" i="1"/>
  <c r="S698" i="1"/>
  <c r="U698" i="1"/>
  <c r="V698" i="1" a="1"/>
  <c r="V698" i="1" s="1"/>
  <c r="AB698" i="1"/>
  <c r="S699" i="1"/>
  <c r="U699" i="1"/>
  <c r="V699" i="1" a="1"/>
  <c r="V699" i="1" s="1"/>
  <c r="AB699" i="1"/>
  <c r="S700" i="1"/>
  <c r="U700" i="1"/>
  <c r="V700" i="1" a="1"/>
  <c r="V700" i="1" s="1"/>
  <c r="AB700" i="1"/>
  <c r="S701" i="1"/>
  <c r="U701" i="1"/>
  <c r="V701" i="1" a="1"/>
  <c r="V701" i="1" s="1"/>
  <c r="AB701" i="1"/>
  <c r="S702" i="1"/>
  <c r="U702" i="1"/>
  <c r="V702" i="1" a="1"/>
  <c r="V702" i="1" s="1"/>
  <c r="AB702" i="1"/>
  <c r="S703" i="1"/>
  <c r="U703" i="1"/>
  <c r="V703" i="1" a="1"/>
  <c r="V703" i="1" s="1"/>
  <c r="AB703" i="1"/>
  <c r="S704" i="1"/>
  <c r="U704" i="1"/>
  <c r="V704" i="1" a="1"/>
  <c r="V704" i="1" s="1"/>
  <c r="AB704" i="1"/>
  <c r="S705" i="1"/>
  <c r="U705" i="1"/>
  <c r="V705" i="1" a="1"/>
  <c r="V705" i="1" s="1"/>
  <c r="AB705" i="1"/>
  <c r="S706" i="1"/>
  <c r="U706" i="1"/>
  <c r="V706" i="1" a="1"/>
  <c r="V706" i="1" s="1"/>
  <c r="AB706" i="1"/>
  <c r="S707" i="1"/>
  <c r="U707" i="1"/>
  <c r="V707" i="1" a="1"/>
  <c r="V707" i="1" s="1"/>
  <c r="AB707" i="1"/>
  <c r="S708" i="1"/>
  <c r="U708" i="1"/>
  <c r="V708" i="1" a="1"/>
  <c r="V708" i="1" s="1"/>
  <c r="AB708" i="1"/>
  <c r="S709" i="1"/>
  <c r="U709" i="1"/>
  <c r="V709" i="1" a="1"/>
  <c r="V709" i="1" s="1"/>
  <c r="AB709" i="1"/>
  <c r="S710" i="1"/>
  <c r="U710" i="1"/>
  <c r="V710" i="1" a="1"/>
  <c r="V710" i="1" s="1"/>
  <c r="AB710" i="1"/>
  <c r="S711" i="1"/>
  <c r="U711" i="1"/>
  <c r="V711" i="1" a="1"/>
  <c r="V711" i="1" s="1"/>
  <c r="AB711" i="1"/>
  <c r="S712" i="1"/>
  <c r="U712" i="1"/>
  <c r="V712" i="1" a="1"/>
  <c r="V712" i="1" s="1"/>
  <c r="AB712" i="1"/>
  <c r="S713" i="1"/>
  <c r="U713" i="1"/>
  <c r="V713" i="1" a="1"/>
  <c r="V713" i="1" s="1"/>
  <c r="AB713" i="1"/>
  <c r="S714" i="1"/>
  <c r="U714" i="1"/>
  <c r="V714" i="1" a="1"/>
  <c r="V714" i="1" s="1"/>
  <c r="AB714" i="1"/>
  <c r="S715" i="1"/>
  <c r="U715" i="1"/>
  <c r="V715" i="1" a="1"/>
  <c r="V715" i="1" s="1"/>
  <c r="AB715" i="1"/>
  <c r="S716" i="1"/>
  <c r="U716" i="1"/>
  <c r="V716" i="1" a="1"/>
  <c r="V716" i="1" s="1"/>
  <c r="AB716" i="1"/>
  <c r="S717" i="1"/>
  <c r="U717" i="1"/>
  <c r="V717" i="1" a="1"/>
  <c r="V717" i="1" s="1"/>
  <c r="AB717" i="1"/>
  <c r="S718" i="1"/>
  <c r="U718" i="1"/>
  <c r="V718" i="1" a="1"/>
  <c r="V718" i="1" s="1"/>
  <c r="AB718" i="1"/>
  <c r="S719" i="1"/>
  <c r="U719" i="1"/>
  <c r="V719" i="1" a="1"/>
  <c r="V719" i="1" s="1"/>
  <c r="AB719" i="1"/>
  <c r="S720" i="1"/>
  <c r="U720" i="1"/>
  <c r="V720" i="1" a="1"/>
  <c r="V720" i="1" s="1"/>
  <c r="AB720" i="1"/>
  <c r="S721" i="1"/>
  <c r="U721" i="1"/>
  <c r="V721" i="1" a="1"/>
  <c r="V721" i="1" s="1"/>
  <c r="AB721" i="1"/>
  <c r="S722" i="1"/>
  <c r="U722" i="1"/>
  <c r="V722" i="1" a="1"/>
  <c r="V722" i="1" s="1"/>
  <c r="AB722" i="1"/>
  <c r="S723" i="1"/>
  <c r="U723" i="1"/>
  <c r="V723" i="1" a="1"/>
  <c r="V723" i="1" s="1"/>
  <c r="AB723" i="1"/>
  <c r="S724" i="1"/>
  <c r="U724" i="1"/>
  <c r="V724" i="1" a="1"/>
  <c r="V724" i="1" s="1"/>
  <c r="AB724" i="1"/>
  <c r="S725" i="1"/>
  <c r="U725" i="1"/>
  <c r="V725" i="1" a="1"/>
  <c r="V725" i="1" s="1"/>
  <c r="AB725" i="1"/>
  <c r="S726" i="1"/>
  <c r="U726" i="1"/>
  <c r="V726" i="1" a="1"/>
  <c r="V726" i="1" s="1"/>
  <c r="AB726" i="1"/>
  <c r="S727" i="1"/>
  <c r="AB727" i="1"/>
  <c r="U727" i="1"/>
  <c r="V727" i="1" a="1"/>
  <c r="V727" i="1" s="1"/>
  <c r="S728" i="1"/>
  <c r="U728" i="1"/>
  <c r="V728" i="1" a="1"/>
  <c r="V728" i="1" s="1"/>
  <c r="AB728" i="1"/>
  <c r="S729" i="1"/>
  <c r="U729" i="1"/>
  <c r="V729" i="1" a="1"/>
  <c r="V729" i="1" s="1"/>
  <c r="AB729" i="1"/>
  <c r="S730" i="1"/>
  <c r="U730" i="1"/>
  <c r="V730" i="1" a="1"/>
  <c r="V730" i="1" s="1"/>
  <c r="AB730" i="1"/>
  <c r="S731" i="1"/>
  <c r="AB731" i="1"/>
  <c r="U731" i="1"/>
  <c r="V731" i="1" a="1"/>
  <c r="V731" i="1" s="1"/>
  <c r="S732" i="1"/>
  <c r="U732" i="1"/>
  <c r="V732" i="1" a="1"/>
  <c r="V732" i="1" s="1"/>
  <c r="AB732" i="1"/>
  <c r="S733" i="1"/>
  <c r="AB733" i="1"/>
  <c r="U733" i="1"/>
  <c r="V733" i="1" a="1"/>
  <c r="V733" i="1" s="1"/>
  <c r="S734" i="1"/>
  <c r="U734" i="1"/>
  <c r="V734" i="1" a="1"/>
  <c r="V734" i="1" s="1"/>
  <c r="AB734" i="1"/>
  <c r="S735" i="1"/>
  <c r="U735" i="1"/>
  <c r="V735" i="1" a="1"/>
  <c r="V735" i="1" s="1"/>
  <c r="AB735" i="1"/>
  <c r="S736" i="1"/>
  <c r="AB736" i="1"/>
  <c r="U736" i="1"/>
  <c r="V736" i="1" a="1"/>
  <c r="V736" i="1" s="1"/>
  <c r="S737" i="1"/>
  <c r="U737" i="1"/>
  <c r="V737" i="1" a="1"/>
  <c r="V737" i="1" s="1"/>
  <c r="AB737" i="1"/>
  <c r="S738" i="1"/>
  <c r="AB738" i="1"/>
  <c r="U738" i="1"/>
  <c r="V738" i="1" a="1"/>
  <c r="V738" i="1" s="1"/>
  <c r="S739" i="1"/>
  <c r="U739" i="1"/>
  <c r="V739" i="1" a="1"/>
  <c r="V739" i="1" s="1"/>
  <c r="AB739" i="1"/>
  <c r="S740" i="1"/>
  <c r="AB740" i="1"/>
  <c r="U740" i="1"/>
  <c r="V740" i="1" a="1"/>
  <c r="V740" i="1" s="1"/>
  <c r="S741" i="1"/>
  <c r="U741" i="1"/>
  <c r="V741" i="1" a="1"/>
  <c r="V741" i="1" s="1"/>
  <c r="AB741" i="1"/>
  <c r="S742" i="1"/>
  <c r="AB742" i="1"/>
  <c r="U742" i="1"/>
  <c r="V742" i="1" a="1"/>
  <c r="V742" i="1" s="1"/>
  <c r="S743" i="1"/>
  <c r="U743" i="1"/>
  <c r="V743" i="1" a="1"/>
  <c r="V743" i="1" s="1"/>
  <c r="AB743" i="1"/>
  <c r="S744" i="1"/>
  <c r="U744" i="1"/>
  <c r="V744" i="1" a="1"/>
  <c r="V744" i="1" s="1"/>
  <c r="AB744" i="1"/>
  <c r="S745" i="1"/>
  <c r="AB745" i="1"/>
  <c r="U745" i="1"/>
  <c r="V745" i="1" a="1"/>
  <c r="V745" i="1" s="1"/>
  <c r="S746" i="1"/>
  <c r="U746" i="1"/>
  <c r="V746" i="1" a="1"/>
  <c r="V746" i="1" s="1"/>
  <c r="AB746" i="1"/>
  <c r="S747" i="1"/>
  <c r="AB747" i="1"/>
  <c r="U747" i="1"/>
  <c r="V747" i="1" a="1"/>
  <c r="V747" i="1" s="1"/>
  <c r="S748" i="1"/>
  <c r="U748" i="1"/>
  <c r="V748" i="1" a="1"/>
  <c r="V748" i="1" s="1"/>
  <c r="AB748" i="1"/>
  <c r="S749" i="1"/>
  <c r="AB749" i="1"/>
  <c r="U749" i="1"/>
  <c r="V749" i="1" a="1"/>
  <c r="V749" i="1" s="1"/>
  <c r="S750" i="1"/>
  <c r="U750" i="1"/>
  <c r="V750" i="1" a="1"/>
  <c r="V750" i="1" s="1"/>
  <c r="AB750" i="1"/>
  <c r="S751" i="1"/>
  <c r="AB751" i="1"/>
  <c r="U751" i="1"/>
  <c r="V751" i="1" a="1"/>
  <c r="V751" i="1" s="1"/>
  <c r="S752" i="1"/>
  <c r="U752" i="1"/>
  <c r="V752" i="1" a="1"/>
  <c r="V752" i="1" s="1"/>
  <c r="AB752" i="1"/>
  <c r="S753" i="1"/>
  <c r="AB753" i="1"/>
  <c r="U753" i="1"/>
  <c r="V753" i="1" a="1"/>
  <c r="V753" i="1" s="1"/>
  <c r="S754" i="1"/>
  <c r="U754" i="1"/>
  <c r="V754" i="1" a="1"/>
  <c r="V754" i="1" s="1"/>
  <c r="AB754" i="1"/>
  <c r="S755" i="1"/>
  <c r="AB755" i="1"/>
  <c r="U755" i="1"/>
  <c r="V755" i="1" a="1"/>
  <c r="V755" i="1" s="1"/>
  <c r="S756" i="1"/>
  <c r="U756" i="1"/>
  <c r="V756" i="1" a="1"/>
  <c r="V756" i="1" s="1"/>
  <c r="AB756" i="1"/>
  <c r="S757" i="1"/>
  <c r="AB757" i="1"/>
  <c r="U757" i="1"/>
  <c r="V757" i="1" a="1"/>
  <c r="V757" i="1" s="1"/>
  <c r="S758" i="1"/>
  <c r="U758" i="1"/>
  <c r="V758" i="1" a="1"/>
  <c r="V758" i="1" s="1"/>
  <c r="AB758" i="1"/>
  <c r="S759" i="1"/>
  <c r="U759" i="1"/>
  <c r="V759" i="1" a="1"/>
  <c r="V759" i="1" s="1"/>
  <c r="AB759" i="1"/>
  <c r="S760" i="1"/>
  <c r="AB760" i="1"/>
  <c r="U760" i="1"/>
  <c r="V760" i="1" a="1"/>
  <c r="V760" i="1" s="1"/>
  <c r="S761" i="1"/>
  <c r="U761" i="1"/>
  <c r="V761" i="1" a="1"/>
  <c r="V761" i="1" s="1"/>
  <c r="AB761" i="1"/>
  <c r="S762" i="1"/>
  <c r="AB762" i="1"/>
  <c r="U762" i="1"/>
  <c r="V762" i="1" a="1"/>
  <c r="V762" i="1" s="1"/>
  <c r="S763" i="1"/>
  <c r="U763" i="1"/>
  <c r="V763" i="1" a="1"/>
  <c r="V763" i="1" s="1"/>
  <c r="AB763" i="1"/>
  <c r="S764" i="1"/>
  <c r="AB764" i="1"/>
  <c r="U764" i="1"/>
  <c r="V764" i="1" a="1"/>
  <c r="V764" i="1" s="1"/>
  <c r="S765" i="1"/>
  <c r="U765" i="1"/>
  <c r="V765" i="1" a="1"/>
  <c r="V765" i="1" s="1"/>
  <c r="AB765" i="1"/>
  <c r="S766" i="1"/>
  <c r="AB766" i="1"/>
  <c r="U766" i="1"/>
  <c r="V766" i="1" a="1"/>
  <c r="V766" i="1" s="1"/>
  <c r="S767" i="1"/>
  <c r="AB767" i="1"/>
  <c r="U767" i="1"/>
  <c r="V767" i="1" a="1"/>
  <c r="V767" i="1" s="1"/>
  <c r="S768" i="1"/>
  <c r="U768" i="1"/>
  <c r="V768" i="1" a="1"/>
  <c r="V768" i="1" s="1"/>
  <c r="AB768" i="1"/>
  <c r="S769" i="1"/>
  <c r="AB769" i="1"/>
  <c r="U769" i="1"/>
  <c r="V769" i="1" a="1"/>
  <c r="V769" i="1" s="1"/>
  <c r="S770" i="1"/>
  <c r="U770" i="1"/>
  <c r="V770" i="1" a="1"/>
  <c r="V770" i="1" s="1"/>
  <c r="AB770" i="1"/>
  <c r="S771" i="1"/>
  <c r="AB771" i="1"/>
  <c r="U771" i="1"/>
  <c r="V771" i="1" a="1"/>
  <c r="V771" i="1" s="1"/>
  <c r="S772" i="1"/>
  <c r="U772" i="1"/>
  <c r="V772" i="1" a="1"/>
  <c r="V772" i="1" s="1"/>
  <c r="AB772" i="1"/>
  <c r="S773" i="1"/>
  <c r="U773" i="1"/>
  <c r="V773" i="1" a="1"/>
  <c r="V773" i="1" s="1"/>
  <c r="AB773" i="1"/>
  <c r="S774" i="1"/>
  <c r="U774" i="1"/>
  <c r="V774" i="1" a="1"/>
  <c r="V774" i="1" s="1"/>
  <c r="AB774" i="1"/>
  <c r="S775" i="1"/>
  <c r="U775" i="1"/>
  <c r="V775" i="1" a="1"/>
  <c r="V775" i="1" s="1"/>
  <c r="AB775" i="1"/>
  <c r="S776" i="1"/>
  <c r="U776" i="1"/>
  <c r="V776" i="1" a="1"/>
  <c r="V776" i="1" s="1"/>
  <c r="AB776" i="1"/>
  <c r="S777" i="1"/>
  <c r="U777" i="1"/>
  <c r="V777" i="1" a="1"/>
  <c r="V777" i="1" s="1"/>
  <c r="AB777" i="1"/>
  <c r="S778" i="1"/>
  <c r="U778" i="1"/>
  <c r="V778" i="1" a="1"/>
  <c r="V778" i="1" s="1"/>
  <c r="AB778" i="1"/>
  <c r="S779" i="1"/>
  <c r="U779" i="1"/>
  <c r="V779" i="1" a="1"/>
  <c r="V779" i="1" s="1"/>
  <c r="AB779" i="1"/>
  <c r="S780" i="1"/>
  <c r="U780" i="1"/>
  <c r="V780" i="1" a="1"/>
  <c r="V780" i="1" s="1"/>
  <c r="AB780" i="1"/>
  <c r="S781" i="1"/>
  <c r="U781" i="1"/>
  <c r="V781" i="1" a="1"/>
  <c r="V781" i="1" s="1"/>
  <c r="AB781" i="1"/>
  <c r="S782" i="1"/>
  <c r="U782" i="1"/>
  <c r="V782" i="1" a="1"/>
  <c r="V782" i="1" s="1"/>
  <c r="AB782" i="1"/>
  <c r="AB783" i="1"/>
  <c r="S783" i="1"/>
  <c r="U783" i="1"/>
  <c r="V783" i="1" a="1"/>
  <c r="V783" i="1" s="1"/>
  <c r="S784" i="1"/>
  <c r="U784" i="1"/>
  <c r="V784" i="1" a="1"/>
  <c r="V784" i="1" s="1"/>
  <c r="AB784" i="1"/>
  <c r="S785" i="1"/>
  <c r="U785" i="1"/>
  <c r="V785" i="1" a="1"/>
  <c r="V785" i="1" s="1"/>
  <c r="AB785" i="1"/>
  <c r="S786" i="1"/>
  <c r="U786" i="1"/>
  <c r="V786" i="1" a="1"/>
  <c r="V786" i="1" s="1"/>
  <c r="AB786" i="1"/>
  <c r="S787" i="1"/>
  <c r="U787" i="1"/>
  <c r="V787" i="1" a="1"/>
  <c r="V787" i="1" s="1"/>
  <c r="AB787" i="1"/>
  <c r="S788" i="1"/>
  <c r="U788" i="1"/>
  <c r="V788" i="1" a="1"/>
  <c r="V788" i="1" s="1"/>
  <c r="AB788" i="1"/>
  <c r="AB789" i="1"/>
  <c r="S789" i="1"/>
  <c r="U789" i="1"/>
  <c r="V789" i="1" a="1"/>
  <c r="V789" i="1" s="1"/>
  <c r="S790" i="1"/>
  <c r="U790" i="1"/>
  <c r="V790" i="1" a="1"/>
  <c r="V790" i="1" s="1"/>
  <c r="AB790" i="1"/>
  <c r="S791" i="1"/>
  <c r="AB791" i="1"/>
  <c r="U791" i="1"/>
  <c r="V791" i="1" a="1"/>
  <c r="V791" i="1" s="1"/>
  <c r="S792" i="1"/>
  <c r="U792" i="1"/>
  <c r="V792" i="1" a="1"/>
  <c r="V792" i="1" s="1"/>
  <c r="AB792" i="1"/>
  <c r="AB793" i="1"/>
  <c r="S793" i="1"/>
  <c r="U793" i="1"/>
  <c r="V793" i="1" a="1"/>
  <c r="V793" i="1" s="1"/>
  <c r="S794" i="1"/>
  <c r="U794" i="1"/>
  <c r="V794" i="1" a="1"/>
  <c r="V794" i="1" s="1"/>
  <c r="AB794" i="1"/>
  <c r="S795" i="1"/>
  <c r="AB795" i="1"/>
  <c r="U795" i="1"/>
  <c r="V795" i="1" a="1"/>
  <c r="V795" i="1" s="1"/>
  <c r="S796" i="1"/>
  <c r="U796" i="1"/>
  <c r="V796" i="1" a="1"/>
  <c r="V796" i="1" s="1"/>
  <c r="AB796" i="1"/>
  <c r="AB797" i="1"/>
  <c r="S797" i="1"/>
  <c r="U797" i="1"/>
  <c r="V797" i="1" a="1"/>
  <c r="V797" i="1" s="1"/>
  <c r="S798" i="1"/>
  <c r="AB798" i="1"/>
  <c r="U798" i="1"/>
  <c r="V798" i="1" a="1"/>
  <c r="V798" i="1" s="1"/>
  <c r="S799" i="1"/>
  <c r="U799" i="1"/>
  <c r="V799" i="1" a="1"/>
  <c r="V799" i="1" s="1"/>
  <c r="AB799" i="1"/>
  <c r="S800" i="1"/>
  <c r="AB800" i="1"/>
  <c r="U800" i="1"/>
  <c r="V800" i="1" a="1"/>
  <c r="V800" i="1" s="1"/>
  <c r="AB801" i="1"/>
  <c r="S801" i="1"/>
  <c r="U801" i="1"/>
  <c r="V801" i="1" a="1"/>
  <c r="V801" i="1" s="1"/>
  <c r="S802" i="1"/>
  <c r="U802" i="1"/>
  <c r="V802" i="1" a="1"/>
  <c r="V802" i="1" s="1"/>
  <c r="AB802" i="1"/>
  <c r="S803" i="1"/>
  <c r="AB803" i="1"/>
  <c r="U803" i="1"/>
  <c r="V803" i="1" a="1"/>
  <c r="V803" i="1" s="1"/>
  <c r="S804" i="1"/>
  <c r="U804" i="1"/>
  <c r="V804" i="1" a="1"/>
  <c r="V804" i="1" s="1"/>
  <c r="AB804" i="1"/>
  <c r="AB805" i="1"/>
  <c r="S805" i="1"/>
  <c r="U805" i="1"/>
  <c r="V805" i="1" a="1"/>
  <c r="V805" i="1" s="1"/>
  <c r="S806" i="1"/>
  <c r="U806" i="1"/>
  <c r="V806" i="1" a="1"/>
  <c r="V806" i="1" s="1"/>
  <c r="AB806" i="1"/>
  <c r="S807" i="1"/>
  <c r="AB807" i="1"/>
  <c r="U807" i="1"/>
  <c r="V807" i="1" a="1"/>
  <c r="V807" i="1" s="1"/>
  <c r="S808" i="1"/>
  <c r="U808" i="1"/>
  <c r="V808" i="1" a="1"/>
  <c r="V808" i="1" s="1"/>
  <c r="AB808" i="1"/>
  <c r="S809" i="1"/>
  <c r="AB809" i="1"/>
  <c r="U809" i="1"/>
  <c r="V809" i="1" a="1"/>
  <c r="V809" i="1" s="1"/>
  <c r="AB810" i="1"/>
  <c r="S810" i="1"/>
  <c r="U810" i="1"/>
  <c r="V810" i="1" a="1"/>
  <c r="V810" i="1" s="1"/>
  <c r="S811" i="1"/>
  <c r="AB811" i="1"/>
  <c r="U811" i="1"/>
  <c r="V811" i="1" a="1"/>
  <c r="V811" i="1" s="1"/>
  <c r="S812" i="1"/>
  <c r="U812" i="1"/>
  <c r="V812" i="1" a="1"/>
  <c r="V812" i="1" s="1"/>
  <c r="AB812" i="1"/>
  <c r="AB813" i="1"/>
  <c r="S813" i="1"/>
  <c r="U813" i="1"/>
  <c r="V813" i="1" a="1"/>
  <c r="V813" i="1" s="1"/>
  <c r="S814" i="1"/>
  <c r="U814" i="1"/>
  <c r="V814" i="1" a="1"/>
  <c r="V814" i="1" s="1"/>
  <c r="AB814" i="1"/>
  <c r="S815" i="1"/>
  <c r="AB815" i="1"/>
  <c r="U815" i="1"/>
  <c r="V815" i="1" a="1"/>
  <c r="V815" i="1" s="1"/>
  <c r="S816" i="1"/>
  <c r="U816" i="1"/>
  <c r="V816" i="1" a="1"/>
  <c r="V816" i="1" s="1"/>
  <c r="AB816" i="1"/>
  <c r="S817" i="1"/>
  <c r="AB817" i="1"/>
  <c r="U817" i="1"/>
  <c r="V817" i="1" a="1"/>
  <c r="V817" i="1" s="1"/>
  <c r="S818" i="1"/>
  <c r="U818" i="1"/>
  <c r="V818" i="1" a="1"/>
  <c r="V818" i="1" s="1"/>
  <c r="AB818" i="1"/>
  <c r="AB819" i="1"/>
  <c r="S819" i="1"/>
  <c r="U819" i="1"/>
  <c r="V819" i="1" a="1"/>
  <c r="V819" i="1" s="1"/>
  <c r="S820" i="1"/>
  <c r="AB820" i="1"/>
  <c r="U820" i="1"/>
  <c r="V820" i="1" a="1"/>
  <c r="V820" i="1" s="1"/>
  <c r="S821" i="1"/>
  <c r="U821" i="1"/>
  <c r="V821" i="1" a="1"/>
  <c r="V821" i="1" s="1"/>
  <c r="AB821" i="1"/>
  <c r="S822" i="1"/>
  <c r="AB822" i="1"/>
  <c r="U822" i="1"/>
  <c r="V822" i="1" a="1"/>
  <c r="V822" i="1" s="1"/>
  <c r="AB823" i="1"/>
  <c r="S823" i="1"/>
  <c r="U823" i="1"/>
  <c r="V823" i="1" a="1"/>
  <c r="V823" i="1" s="1"/>
  <c r="S824" i="1"/>
  <c r="AB824" i="1"/>
  <c r="U824" i="1"/>
  <c r="V824" i="1" a="1"/>
  <c r="V824" i="1" s="1"/>
  <c r="S825" i="1"/>
  <c r="U825" i="1"/>
  <c r="V825" i="1" a="1"/>
  <c r="V825" i="1" s="1"/>
  <c r="AB825" i="1"/>
  <c r="S826" i="1"/>
  <c r="AB826" i="1"/>
  <c r="U826" i="1"/>
  <c r="V826" i="1" a="1"/>
  <c r="V826" i="1" s="1"/>
  <c r="S827" i="1"/>
  <c r="U827" i="1"/>
  <c r="V827" i="1" a="1"/>
  <c r="V827" i="1" s="1"/>
  <c r="AB827" i="1"/>
  <c r="AB828" i="1"/>
  <c r="S828" i="1"/>
  <c r="U828" i="1"/>
  <c r="V828" i="1" a="1"/>
  <c r="V828" i="1" s="1"/>
  <c r="S829" i="1"/>
  <c r="U829" i="1"/>
  <c r="V829" i="1" a="1"/>
  <c r="V829" i="1" s="1"/>
  <c r="AB829" i="1"/>
  <c r="S830" i="1"/>
  <c r="AB830" i="1"/>
  <c r="U830" i="1"/>
  <c r="V830" i="1" a="1"/>
  <c r="V830" i="1" s="1"/>
  <c r="AB831" i="1"/>
  <c r="S831" i="1"/>
  <c r="U831" i="1"/>
  <c r="V831" i="1" a="1"/>
  <c r="V831" i="1" s="1"/>
  <c r="S832" i="1"/>
  <c r="U832" i="1"/>
  <c r="V832" i="1" a="1"/>
  <c r="V832" i="1" s="1"/>
  <c r="AB832" i="1"/>
  <c r="AB833" i="1"/>
  <c r="S833" i="1"/>
  <c r="U833" i="1"/>
  <c r="V833" i="1" a="1"/>
  <c r="V833" i="1" s="1"/>
  <c r="S834" i="1"/>
  <c r="AB834" i="1"/>
  <c r="U834" i="1"/>
  <c r="V834" i="1" a="1"/>
  <c r="V834" i="1" s="1"/>
  <c r="S835" i="1"/>
  <c r="U835" i="1"/>
  <c r="V835" i="1" a="1"/>
  <c r="V835" i="1" s="1"/>
  <c r="AB835" i="1"/>
  <c r="AB836" i="1"/>
  <c r="S836" i="1"/>
  <c r="U836" i="1"/>
  <c r="V836" i="1" a="1"/>
  <c r="V836" i="1" s="1"/>
  <c r="S837" i="1"/>
  <c r="AB837" i="1"/>
  <c r="U837" i="1"/>
  <c r="V837" i="1" a="1"/>
  <c r="V837" i="1" s="1"/>
  <c r="S838" i="1"/>
  <c r="AB838" i="1"/>
  <c r="U838" i="1"/>
  <c r="V838" i="1" a="1"/>
  <c r="V838" i="1" s="1"/>
  <c r="S839" i="1"/>
  <c r="U839" i="1"/>
  <c r="V839" i="1" a="1"/>
  <c r="V839" i="1" s="1"/>
  <c r="AB839" i="1"/>
  <c r="AB840" i="1"/>
  <c r="S840" i="1"/>
  <c r="U840" i="1"/>
  <c r="V840" i="1" a="1"/>
  <c r="V840" i="1" s="1"/>
  <c r="S841" i="1"/>
  <c r="AB841" i="1"/>
  <c r="U841" i="1"/>
  <c r="V841" i="1" a="1"/>
  <c r="V841" i="1" s="1"/>
  <c r="S842" i="1"/>
  <c r="U842" i="1"/>
  <c r="V842" i="1" a="1"/>
  <c r="V842" i="1" s="1"/>
  <c r="AB842" i="1"/>
  <c r="S843" i="1"/>
  <c r="AB843" i="1"/>
  <c r="U843" i="1"/>
  <c r="V843" i="1" a="1"/>
  <c r="V843" i="1" s="1"/>
  <c r="AB844" i="1"/>
  <c r="S844" i="1"/>
  <c r="U844" i="1"/>
  <c r="V844" i="1" a="1"/>
  <c r="V844" i="1" s="1"/>
  <c r="S845" i="1"/>
  <c r="AB845" i="1"/>
  <c r="U845" i="1"/>
  <c r="V845" i="1" a="1"/>
  <c r="V845" i="1" s="1"/>
  <c r="S846" i="1"/>
  <c r="U846" i="1"/>
  <c r="V846" i="1" a="1"/>
  <c r="V846" i="1" s="1"/>
  <c r="AB846" i="1"/>
  <c r="S847" i="1"/>
  <c r="AB847" i="1"/>
  <c r="U847" i="1"/>
  <c r="V847" i="1" a="1"/>
  <c r="V847" i="1" s="1"/>
  <c r="S848" i="1"/>
  <c r="U848" i="1"/>
  <c r="V848" i="1" a="1"/>
  <c r="V848" i="1" s="1"/>
  <c r="AB848" i="1"/>
  <c r="AB849" i="1"/>
  <c r="S849" i="1"/>
  <c r="U849" i="1"/>
  <c r="V849" i="1" a="1"/>
  <c r="V849" i="1" s="1"/>
  <c r="S850" i="1"/>
  <c r="AB850" i="1"/>
  <c r="U850" i="1"/>
  <c r="V850" i="1" a="1"/>
  <c r="V850" i="1" s="1"/>
  <c r="S851" i="1"/>
  <c r="AB851" i="1"/>
  <c r="U851" i="1"/>
  <c r="V851" i="1" a="1"/>
  <c r="V851" i="1" s="1"/>
  <c r="S852" i="1"/>
  <c r="U852" i="1"/>
  <c r="V852" i="1" a="1"/>
  <c r="V852" i="1" s="1"/>
  <c r="AB852" i="1"/>
  <c r="AB853" i="1"/>
  <c r="S853" i="1"/>
  <c r="U853" i="1"/>
  <c r="V853" i="1" a="1"/>
  <c r="V853" i="1" s="1"/>
  <c r="S854" i="1"/>
  <c r="U854" i="1"/>
  <c r="V854" i="1" a="1"/>
  <c r="V854" i="1" s="1"/>
  <c r="AB854" i="1"/>
  <c r="S855" i="1"/>
  <c r="AB855" i="1"/>
  <c r="U855" i="1"/>
  <c r="V855" i="1" a="1"/>
  <c r="V855" i="1" s="1"/>
  <c r="AB856" i="1"/>
  <c r="S856" i="1"/>
  <c r="U856" i="1"/>
  <c r="V856" i="1" a="1"/>
  <c r="V856" i="1" s="1"/>
  <c r="S857" i="1"/>
  <c r="AB857" i="1"/>
  <c r="U857" i="1"/>
  <c r="V857" i="1" a="1"/>
  <c r="V857" i="1" s="1"/>
  <c r="S858" i="1"/>
  <c r="U858" i="1"/>
  <c r="V858" i="1" a="1"/>
  <c r="V858" i="1" s="1"/>
  <c r="AB858" i="1"/>
  <c r="S859" i="1"/>
  <c r="AB859" i="1"/>
  <c r="U859" i="1"/>
  <c r="V859" i="1" a="1"/>
  <c r="V859" i="1" s="1"/>
  <c r="S860" i="1"/>
  <c r="U860" i="1"/>
  <c r="V860" i="1" a="1"/>
  <c r="V860" i="1" s="1"/>
  <c r="AB860" i="1"/>
  <c r="AB861" i="1"/>
  <c r="S861" i="1"/>
  <c r="U861" i="1"/>
  <c r="V861" i="1" a="1"/>
  <c r="V861" i="1" s="1"/>
  <c r="S862" i="1"/>
  <c r="U862" i="1"/>
  <c r="V862" i="1" a="1"/>
  <c r="V862" i="1" s="1"/>
  <c r="AB862" i="1"/>
  <c r="S863" i="1"/>
  <c r="AB863" i="1"/>
  <c r="U863" i="1"/>
  <c r="V863" i="1" a="1"/>
  <c r="V863" i="1" s="1"/>
  <c r="S864" i="1"/>
  <c r="U864" i="1"/>
  <c r="V864" i="1" a="1"/>
  <c r="V864" i="1" s="1"/>
  <c r="AB864" i="1"/>
  <c r="AB865" i="1"/>
  <c r="S865" i="1"/>
  <c r="U865" i="1"/>
  <c r="V865" i="1" a="1"/>
  <c r="V865" i="1" s="1"/>
  <c r="S866" i="1"/>
  <c r="AB866" i="1"/>
  <c r="U866" i="1"/>
  <c r="V866" i="1" a="1"/>
  <c r="V866" i="1" s="1"/>
  <c r="S867" i="1"/>
  <c r="U867" i="1"/>
  <c r="V867" i="1" a="1"/>
  <c r="V867" i="1" s="1"/>
  <c r="AB867" i="1"/>
  <c r="S868" i="1"/>
  <c r="AB868" i="1"/>
  <c r="U868" i="1"/>
  <c r="V868" i="1" a="1"/>
  <c r="V868" i="1" s="1"/>
  <c r="AB869" i="1"/>
  <c r="S869" i="1"/>
  <c r="U869" i="1"/>
  <c r="V869" i="1" a="1"/>
  <c r="V869" i="1" s="1"/>
  <c r="S870" i="1"/>
  <c r="U870" i="1"/>
  <c r="V870" i="1" a="1"/>
  <c r="V870" i="1" s="1"/>
  <c r="AB870" i="1"/>
  <c r="S871" i="1"/>
  <c r="AB871" i="1"/>
  <c r="U871" i="1"/>
  <c r="V871" i="1" a="1"/>
  <c r="V871" i="1" s="1"/>
  <c r="AB872" i="1"/>
  <c r="S872" i="1"/>
  <c r="U872" i="1"/>
  <c r="V872" i="1" a="1"/>
  <c r="V872" i="1" s="1"/>
  <c r="S873" i="1"/>
  <c r="U873" i="1"/>
  <c r="V873" i="1" a="1"/>
  <c r="V873" i="1" s="1"/>
  <c r="AB873" i="1"/>
  <c r="S874" i="1"/>
  <c r="AB874" i="1"/>
  <c r="U874" i="1"/>
  <c r="V874" i="1" a="1"/>
  <c r="V874" i="1" s="1"/>
  <c r="S875" i="1"/>
  <c r="U875" i="1"/>
  <c r="V875" i="1" a="1"/>
  <c r="V875" i="1" s="1"/>
  <c r="AB875" i="1"/>
  <c r="AB876" i="1"/>
  <c r="S876" i="1"/>
  <c r="U876" i="1"/>
  <c r="V876" i="1" a="1"/>
  <c r="V876" i="1" s="1"/>
  <c r="S877" i="1"/>
  <c r="U877" i="1"/>
  <c r="V877" i="1" a="1"/>
  <c r="V877" i="1" s="1"/>
  <c r="AB877" i="1"/>
  <c r="AB878" i="1"/>
  <c r="S878" i="1"/>
  <c r="U878" i="1"/>
  <c r="V878" i="1" a="1"/>
  <c r="V878" i="1" s="1"/>
  <c r="S879" i="1"/>
  <c r="AB879" i="1"/>
  <c r="U879" i="1"/>
  <c r="V879" i="1" a="1"/>
  <c r="V879" i="1" s="1"/>
  <c r="S880" i="1"/>
  <c r="U880" i="1"/>
  <c r="V880" i="1" a="1"/>
  <c r="V880" i="1" s="1"/>
  <c r="AB880" i="1"/>
  <c r="AB881" i="1"/>
  <c r="S881" i="1"/>
  <c r="U881" i="1"/>
  <c r="V881" i="1" a="1"/>
  <c r="V881" i="1" s="1"/>
  <c r="S882" i="1"/>
  <c r="AB882" i="1"/>
  <c r="U882" i="1"/>
  <c r="V882" i="1" a="1"/>
  <c r="V882" i="1" s="1"/>
  <c r="S883" i="1"/>
  <c r="U883" i="1"/>
  <c r="V883" i="1" a="1"/>
  <c r="V883" i="1" s="1"/>
  <c r="AB883" i="1"/>
  <c r="AB884" i="1"/>
  <c r="S884" i="1"/>
  <c r="U884" i="1"/>
  <c r="V884" i="1" a="1"/>
  <c r="V884" i="1" s="1"/>
  <c r="S885" i="1"/>
  <c r="AB885" i="1"/>
  <c r="U885" i="1"/>
  <c r="V885" i="1" a="1"/>
  <c r="V885" i="1" s="1"/>
  <c r="S886" i="1"/>
  <c r="U886" i="1"/>
  <c r="V886" i="1" a="1"/>
  <c r="V886" i="1" s="1"/>
  <c r="AB886" i="1"/>
  <c r="AB887" i="1"/>
  <c r="S887" i="1"/>
  <c r="U887" i="1"/>
  <c r="V887" i="1" a="1"/>
  <c r="V887" i="1" s="1"/>
  <c r="S888" i="1"/>
  <c r="U888" i="1"/>
  <c r="V888" i="1" a="1"/>
  <c r="V888" i="1" s="1"/>
  <c r="AB888" i="1"/>
  <c r="AB889" i="1"/>
  <c r="S889" i="1"/>
  <c r="U889" i="1"/>
  <c r="V889" i="1" a="1"/>
  <c r="V889" i="1" s="1"/>
  <c r="S890" i="1"/>
  <c r="AB890" i="1"/>
  <c r="U890" i="1"/>
  <c r="V890" i="1" a="1"/>
  <c r="V890" i="1" s="1"/>
  <c r="S891" i="1"/>
  <c r="AB891" i="1"/>
  <c r="U891" i="1"/>
  <c r="V891" i="1" a="1"/>
  <c r="V891" i="1" s="1"/>
  <c r="S892" i="1"/>
  <c r="U892" i="1"/>
  <c r="V892" i="1" a="1"/>
  <c r="V892" i="1" s="1"/>
  <c r="AB892" i="1"/>
  <c r="S893" i="1"/>
  <c r="AB893" i="1"/>
  <c r="U893" i="1"/>
  <c r="V893" i="1" a="1"/>
  <c r="V893" i="1" s="1"/>
  <c r="S894" i="1"/>
  <c r="U894" i="1"/>
  <c r="V894" i="1" a="1"/>
  <c r="V894" i="1" s="1"/>
  <c r="AB894" i="1"/>
  <c r="AB895" i="1"/>
  <c r="S895" i="1"/>
  <c r="U895" i="1"/>
  <c r="V895" i="1" a="1"/>
  <c r="V895" i="1" s="1"/>
  <c r="S896" i="1"/>
  <c r="U896" i="1"/>
  <c r="V896" i="1" a="1"/>
  <c r="V896" i="1" s="1"/>
  <c r="AB896" i="1"/>
  <c r="S897" i="1"/>
  <c r="AB897" i="1"/>
  <c r="U897" i="1"/>
  <c r="V897" i="1" a="1"/>
  <c r="V897" i="1" s="1"/>
  <c r="AB898" i="1"/>
  <c r="S898" i="1"/>
  <c r="U898" i="1"/>
  <c r="V898" i="1" a="1"/>
  <c r="V898" i="1" s="1"/>
  <c r="S899" i="1"/>
  <c r="U899" i="1"/>
  <c r="V899" i="1" a="1"/>
  <c r="V899" i="1" s="1"/>
  <c r="AB899" i="1"/>
  <c r="S900" i="1"/>
  <c r="AB900" i="1"/>
  <c r="U900" i="1"/>
  <c r="V900" i="1" a="1"/>
  <c r="V900" i="1" s="1"/>
  <c r="AB901" i="1"/>
  <c r="S901" i="1"/>
  <c r="U901" i="1"/>
  <c r="V901" i="1" a="1"/>
  <c r="V901" i="1" s="1"/>
  <c r="S902" i="1"/>
  <c r="AB902" i="1"/>
  <c r="U902" i="1"/>
  <c r="V902" i="1" a="1"/>
  <c r="V902" i="1" s="1"/>
  <c r="S903" i="1"/>
  <c r="U903" i="1"/>
  <c r="V903" i="1" a="1"/>
  <c r="V903" i="1" s="1"/>
  <c r="AB903" i="1"/>
  <c r="S904" i="1"/>
  <c r="AB904" i="1"/>
  <c r="U904" i="1"/>
  <c r="V904" i="1" a="1"/>
  <c r="V904" i="1" s="1"/>
  <c r="AB905" i="1"/>
  <c r="S905" i="1"/>
  <c r="U905" i="1"/>
  <c r="V905" i="1" a="1"/>
  <c r="V905" i="1" s="1"/>
  <c r="S906" i="1"/>
  <c r="AB906" i="1"/>
  <c r="U906" i="1"/>
  <c r="V906" i="1" a="1"/>
  <c r="V906" i="1" s="1"/>
  <c r="S907" i="1"/>
  <c r="U907" i="1"/>
  <c r="V907" i="1" a="1"/>
  <c r="V907" i="1" s="1"/>
  <c r="AB907" i="1"/>
  <c r="S908" i="1"/>
  <c r="AB908" i="1"/>
  <c r="U908" i="1"/>
  <c r="V908" i="1" a="1"/>
  <c r="V908" i="1" s="1"/>
  <c r="S909" i="1"/>
  <c r="U909" i="1"/>
  <c r="V909" i="1" a="1"/>
  <c r="V909" i="1" s="1"/>
  <c r="AB909" i="1"/>
  <c r="S910" i="1"/>
  <c r="AB910" i="1"/>
  <c r="U910" i="1"/>
  <c r="V910" i="1" a="1"/>
  <c r="V910" i="1" s="1"/>
  <c r="AB911" i="1"/>
  <c r="S911" i="1"/>
  <c r="U911" i="1"/>
  <c r="V911" i="1" a="1"/>
  <c r="V911" i="1" s="1"/>
  <c r="S912" i="1"/>
  <c r="AB912" i="1"/>
  <c r="U912" i="1"/>
  <c r="V912" i="1" a="1"/>
  <c r="V912" i="1" s="1"/>
  <c r="S913" i="1"/>
  <c r="U913" i="1"/>
  <c r="V913" i="1" a="1"/>
  <c r="V913" i="1" s="1"/>
  <c r="AB913" i="1"/>
  <c r="AB914" i="1"/>
  <c r="S914" i="1"/>
  <c r="U914" i="1"/>
  <c r="V914" i="1" a="1"/>
  <c r="V914" i="1" s="1"/>
  <c r="S915" i="1"/>
  <c r="U915" i="1"/>
  <c r="V915" i="1" a="1"/>
  <c r="V915" i="1" s="1"/>
  <c r="AB915" i="1"/>
  <c r="S916" i="1"/>
  <c r="AB916" i="1"/>
  <c r="U916" i="1"/>
  <c r="V916" i="1" a="1"/>
  <c r="V916" i="1" s="1"/>
  <c r="AB917" i="1"/>
  <c r="S917" i="1"/>
  <c r="U917" i="1"/>
  <c r="V917" i="1" a="1"/>
  <c r="V917" i="1" s="1"/>
  <c r="S918" i="1"/>
  <c r="U918" i="1"/>
  <c r="V918" i="1" a="1"/>
  <c r="V918" i="1" s="1"/>
  <c r="AB918" i="1"/>
  <c r="AB919" i="1"/>
  <c r="S919" i="1"/>
  <c r="U919" i="1"/>
  <c r="V919" i="1" a="1"/>
  <c r="V919" i="1" s="1"/>
  <c r="S920" i="1"/>
  <c r="U920" i="1"/>
  <c r="V920" i="1" a="1"/>
  <c r="V920" i="1" s="1"/>
  <c r="AB920" i="1"/>
  <c r="AB921" i="1"/>
  <c r="S921" i="1"/>
  <c r="U921" i="1"/>
  <c r="V921" i="1" a="1"/>
  <c r="V921" i="1" s="1"/>
  <c r="S922" i="1"/>
  <c r="AB922" i="1"/>
  <c r="U922" i="1"/>
  <c r="V922" i="1" a="1"/>
  <c r="V922" i="1" s="1"/>
  <c r="AB923" i="1"/>
  <c r="S923" i="1"/>
  <c r="U923" i="1"/>
  <c r="V923" i="1" a="1"/>
  <c r="V923" i="1" s="1"/>
  <c r="S924" i="1"/>
  <c r="U924" i="1"/>
  <c r="V924" i="1" a="1"/>
  <c r="V924" i="1" s="1"/>
  <c r="AB924" i="1"/>
  <c r="S925" i="1"/>
  <c r="AB925" i="1"/>
  <c r="U925" i="1"/>
  <c r="V925" i="1" a="1"/>
  <c r="V925" i="1" s="1"/>
  <c r="AB926" i="1"/>
  <c r="S926" i="1"/>
  <c r="U926" i="1"/>
  <c r="V926" i="1" a="1"/>
  <c r="V926" i="1" s="1"/>
  <c r="S927" i="1"/>
  <c r="U927" i="1"/>
  <c r="V927" i="1" a="1"/>
  <c r="V927" i="1" s="1"/>
  <c r="AB927" i="1"/>
  <c r="S928" i="1"/>
  <c r="AB928" i="1"/>
  <c r="U928" i="1"/>
  <c r="V928" i="1" a="1"/>
  <c r="V928" i="1" s="1"/>
  <c r="AB929" i="1"/>
  <c r="S929" i="1"/>
  <c r="U929" i="1"/>
  <c r="V929" i="1" a="1"/>
  <c r="V929" i="1" s="1"/>
  <c r="S930" i="1"/>
  <c r="AB930" i="1"/>
  <c r="U930" i="1"/>
  <c r="V930" i="1" a="1"/>
  <c r="V930" i="1" s="1"/>
  <c r="S931" i="1"/>
  <c r="U931" i="1"/>
  <c r="V931" i="1" a="1"/>
  <c r="V931" i="1" s="1"/>
  <c r="AB931" i="1"/>
  <c r="AB932" i="1"/>
  <c r="S932" i="1"/>
  <c r="U932" i="1"/>
  <c r="V932" i="1" a="1"/>
  <c r="V932" i="1" s="1"/>
  <c r="S933" i="1"/>
  <c r="AB933" i="1"/>
  <c r="U933" i="1"/>
  <c r="V933" i="1" a="1"/>
  <c r="V933" i="1" s="1"/>
  <c r="S934" i="1"/>
  <c r="U934" i="1"/>
  <c r="V934" i="1" a="1"/>
  <c r="V934" i="1" s="1"/>
  <c r="AB934" i="1"/>
  <c r="AB935" i="1"/>
  <c r="S935" i="1"/>
  <c r="U935" i="1"/>
  <c r="V935" i="1" a="1"/>
  <c r="V935" i="1" s="1"/>
  <c r="S936" i="1"/>
  <c r="U936" i="1"/>
  <c r="V936" i="1" a="1"/>
  <c r="V936" i="1" s="1"/>
  <c r="AB936" i="1"/>
  <c r="S937" i="1"/>
  <c r="AB937" i="1"/>
  <c r="U937" i="1"/>
  <c r="V937" i="1" a="1"/>
  <c r="V937" i="1" s="1"/>
  <c r="S938" i="1"/>
  <c r="U938" i="1"/>
  <c r="V938" i="1" a="1"/>
  <c r="V938" i="1" s="1"/>
  <c r="AB938" i="1"/>
  <c r="S939" i="1"/>
  <c r="AB939" i="1"/>
  <c r="U939" i="1"/>
  <c r="V939" i="1" a="1"/>
  <c r="V939" i="1" s="1"/>
  <c r="AB940" i="1"/>
  <c r="S940" i="1"/>
  <c r="U940" i="1"/>
  <c r="V940" i="1" a="1"/>
  <c r="V940" i="1" s="1"/>
  <c r="S941" i="1"/>
  <c r="AB941" i="1"/>
  <c r="U941" i="1"/>
  <c r="V941" i="1" a="1"/>
  <c r="V941" i="1" s="1"/>
  <c r="S942" i="1"/>
  <c r="U942" i="1"/>
  <c r="V942" i="1" a="1"/>
  <c r="V942" i="1" s="1"/>
  <c r="AB942" i="1"/>
  <c r="S943" i="1"/>
  <c r="AB943" i="1"/>
  <c r="U943" i="1"/>
  <c r="V943" i="1" a="1"/>
  <c r="V943" i="1" s="1"/>
  <c r="AB944" i="1"/>
  <c r="S944" i="1"/>
  <c r="U944" i="1"/>
  <c r="V944" i="1" a="1"/>
  <c r="V944" i="1" s="1"/>
  <c r="S945" i="1"/>
  <c r="U945" i="1"/>
  <c r="V945" i="1" a="1"/>
  <c r="V945" i="1" s="1"/>
  <c r="AB945" i="1"/>
  <c r="S946" i="1"/>
  <c r="AB946" i="1"/>
  <c r="U946" i="1"/>
  <c r="V946" i="1" a="1"/>
  <c r="V946" i="1" s="1"/>
  <c r="S947" i="1"/>
  <c r="U947" i="1"/>
  <c r="V947" i="1" a="1"/>
  <c r="V947" i="1" s="1"/>
  <c r="AB947" i="1"/>
  <c r="AB948" i="1"/>
  <c r="S948" i="1"/>
  <c r="U948" i="1"/>
  <c r="V948" i="1" a="1"/>
  <c r="V948" i="1" s="1"/>
  <c r="S949" i="1"/>
  <c r="AB949" i="1"/>
  <c r="U949" i="1"/>
  <c r="V949" i="1" a="1"/>
  <c r="V949" i="1" s="1"/>
  <c r="S950" i="1"/>
  <c r="U950" i="1"/>
  <c r="V950" i="1" a="1"/>
  <c r="V950" i="1" s="1"/>
  <c r="AB950" i="1"/>
  <c r="S951" i="1"/>
  <c r="AB951" i="1"/>
  <c r="U951" i="1"/>
  <c r="V951" i="1" a="1"/>
  <c r="V951" i="1" s="1"/>
  <c r="S952" i="1"/>
  <c r="U952" i="1"/>
  <c r="V952" i="1" a="1"/>
  <c r="V952" i="1" s="1"/>
  <c r="AB952" i="1"/>
  <c r="AB953" i="1"/>
  <c r="S953" i="1"/>
  <c r="U953" i="1"/>
  <c r="V953" i="1" a="1"/>
  <c r="V953" i="1" s="1"/>
  <c r="S954" i="1"/>
  <c r="U954" i="1"/>
  <c r="V954" i="1" a="1"/>
  <c r="V954" i="1" s="1"/>
  <c r="AB954" i="1"/>
  <c r="S955" i="1"/>
  <c r="AB955" i="1"/>
  <c r="U955" i="1"/>
  <c r="V955" i="1" a="1"/>
  <c r="V955" i="1" s="1"/>
  <c r="AB956" i="1"/>
  <c r="S956" i="1"/>
  <c r="U956" i="1"/>
  <c r="V956" i="1" a="1"/>
  <c r="V956" i="1" s="1"/>
  <c r="S957" i="1"/>
  <c r="U957" i="1"/>
  <c r="V957" i="1" a="1"/>
  <c r="V957" i="1" s="1"/>
  <c r="AB957" i="1"/>
  <c r="S958" i="1"/>
  <c r="AB958" i="1"/>
  <c r="U958" i="1"/>
  <c r="V958" i="1" a="1"/>
  <c r="V958" i="1" s="1"/>
  <c r="S959" i="1"/>
  <c r="U959" i="1"/>
  <c r="V959" i="1" a="1"/>
  <c r="V959" i="1" s="1"/>
  <c r="AB959" i="1"/>
  <c r="S960" i="1"/>
  <c r="AB960" i="1"/>
  <c r="U960" i="1"/>
  <c r="V960" i="1" a="1"/>
  <c r="V960" i="1" s="1"/>
  <c r="AB961" i="1"/>
  <c r="S961" i="1"/>
  <c r="U961" i="1"/>
  <c r="V961" i="1" a="1"/>
  <c r="V961" i="1" s="1"/>
  <c r="S962" i="1"/>
  <c r="AB962" i="1"/>
  <c r="U962" i="1"/>
  <c r="V962" i="1" a="1"/>
  <c r="V962" i="1" s="1"/>
  <c r="S963" i="1"/>
  <c r="U963" i="1"/>
  <c r="V963" i="1" a="1"/>
  <c r="V963" i="1" s="1"/>
  <c r="AB963" i="1"/>
  <c r="AB964" i="1"/>
  <c r="S964" i="1"/>
  <c r="U964" i="1"/>
  <c r="V964" i="1" a="1"/>
  <c r="V964" i="1" s="1"/>
  <c r="S965" i="1"/>
  <c r="AB965" i="1"/>
  <c r="U965" i="1"/>
  <c r="V965" i="1" a="1"/>
  <c r="V965" i="1" s="1"/>
  <c r="S966" i="1"/>
  <c r="AB966" i="1"/>
  <c r="U966" i="1"/>
  <c r="V966" i="1" a="1"/>
  <c r="V966" i="1" s="1"/>
  <c r="AB967" i="1"/>
  <c r="S967" i="1"/>
  <c r="U967" i="1"/>
  <c r="V967" i="1" a="1"/>
  <c r="V967" i="1" s="1"/>
  <c r="S968" i="1"/>
  <c r="U968" i="1"/>
  <c r="V968" i="1" a="1"/>
  <c r="V968" i="1" s="1"/>
  <c r="AB968" i="1"/>
  <c r="S969" i="1"/>
  <c r="AB969" i="1"/>
  <c r="U969" i="1"/>
  <c r="V969" i="1" a="1"/>
  <c r="V969" i="1" s="1"/>
  <c r="AB970" i="1"/>
  <c r="S970" i="1"/>
  <c r="U970" i="1"/>
  <c r="V970" i="1" a="1"/>
  <c r="V970" i="1" s="1"/>
  <c r="S971" i="1"/>
  <c r="AB971" i="1"/>
  <c r="U971" i="1"/>
  <c r="V971" i="1" a="1"/>
  <c r="V971" i="1" s="1"/>
  <c r="S972" i="1"/>
  <c r="U972" i="1"/>
  <c r="V972" i="1" a="1"/>
  <c r="V972" i="1" s="1"/>
  <c r="AB972" i="1"/>
  <c r="AB973" i="1"/>
  <c r="S973" i="1"/>
  <c r="U973" i="1"/>
  <c r="V973" i="1" a="1"/>
  <c r="V973" i="1" s="1"/>
  <c r="S974" i="1"/>
  <c r="U974" i="1"/>
  <c r="V974" i="1" a="1"/>
  <c r="V974" i="1" s="1"/>
  <c r="AB974" i="1"/>
  <c r="S975" i="1"/>
  <c r="AB975" i="1"/>
  <c r="U975" i="1"/>
  <c r="V975" i="1" a="1"/>
  <c r="V975" i="1" s="1"/>
  <c r="S976" i="1"/>
  <c r="U976" i="1"/>
  <c r="V976" i="1" a="1"/>
  <c r="V976" i="1" s="1"/>
  <c r="AB976" i="1"/>
  <c r="S977" i="1"/>
  <c r="AB977" i="1"/>
  <c r="U977" i="1"/>
  <c r="V977" i="1" a="1"/>
  <c r="V977" i="1" s="1"/>
  <c r="S978" i="1"/>
  <c r="U978" i="1"/>
  <c r="V978" i="1" a="1"/>
  <c r="V978" i="1" s="1"/>
  <c r="AB978" i="1"/>
  <c r="AB979" i="1"/>
  <c r="S979" i="1"/>
  <c r="U979" i="1"/>
  <c r="V979" i="1" a="1"/>
  <c r="V979" i="1" s="1"/>
  <c r="S980" i="1"/>
  <c r="AB980" i="1"/>
  <c r="U980" i="1"/>
  <c r="V980" i="1" a="1"/>
  <c r="V980" i="1" s="1"/>
  <c r="AB981" i="1"/>
  <c r="S981" i="1"/>
  <c r="U981" i="1"/>
  <c r="V981" i="1" a="1"/>
  <c r="V981" i="1" s="1"/>
  <c r="S982" i="1"/>
  <c r="U982" i="1"/>
  <c r="V982" i="1" a="1"/>
  <c r="V982" i="1" s="1"/>
  <c r="AB982" i="1"/>
  <c r="S983" i="1"/>
  <c r="AB983" i="1"/>
  <c r="U983" i="1"/>
  <c r="V983" i="1" a="1"/>
  <c r="V983" i="1" s="1"/>
  <c r="S984" i="1"/>
  <c r="U984" i="1"/>
  <c r="V984" i="1" a="1"/>
  <c r="V984" i="1" s="1"/>
  <c r="AB984" i="1"/>
  <c r="S985" i="1"/>
  <c r="AB985" i="1"/>
  <c r="U985" i="1"/>
  <c r="V985" i="1" a="1"/>
  <c r="V985" i="1" s="1"/>
  <c r="S986" i="1"/>
  <c r="U986" i="1"/>
  <c r="V986" i="1" a="1"/>
  <c r="V986" i="1" s="1"/>
  <c r="AB986" i="1"/>
  <c r="S987" i="1"/>
  <c r="AB987" i="1"/>
  <c r="U987" i="1"/>
  <c r="V987" i="1" a="1"/>
  <c r="V987" i="1" s="1"/>
  <c r="AB988" i="1"/>
  <c r="S988" i="1"/>
  <c r="U988" i="1"/>
  <c r="V988" i="1" a="1"/>
  <c r="V988" i="1" s="1"/>
  <c r="S989" i="1"/>
  <c r="AB989" i="1"/>
  <c r="U989" i="1"/>
  <c r="V989" i="1" a="1"/>
  <c r="V989" i="1" s="1"/>
  <c r="S990" i="1"/>
  <c r="U990" i="1"/>
  <c r="V990" i="1" a="1"/>
  <c r="V990" i="1" s="1"/>
  <c r="AB990" i="1"/>
  <c r="S991" i="1"/>
  <c r="AB991" i="1"/>
  <c r="U991" i="1"/>
  <c r="V991" i="1" a="1"/>
  <c r="V991" i="1" s="1"/>
  <c r="S992" i="1"/>
  <c r="U992" i="1"/>
  <c r="V992" i="1" a="1"/>
  <c r="V992" i="1" s="1"/>
  <c r="AB992" i="1"/>
  <c r="S993" i="1"/>
  <c r="AB993" i="1"/>
  <c r="U993" i="1"/>
  <c r="V993" i="1" a="1"/>
  <c r="V993" i="1" s="1"/>
  <c r="AB994" i="1"/>
  <c r="S994" i="1"/>
  <c r="U994" i="1"/>
  <c r="V994" i="1" a="1"/>
  <c r="V994" i="1" s="1"/>
  <c r="S995" i="1"/>
  <c r="U995" i="1"/>
  <c r="V995" i="1" a="1"/>
  <c r="V995" i="1" s="1"/>
  <c r="AB995" i="1"/>
  <c r="S996" i="1"/>
  <c r="AB996" i="1"/>
  <c r="U996" i="1"/>
  <c r="V996" i="1" a="1"/>
  <c r="V996" i="1" s="1"/>
  <c r="S997" i="1"/>
  <c r="U997" i="1"/>
  <c r="V997" i="1" a="1"/>
  <c r="V997" i="1" s="1"/>
  <c r="AB997" i="1"/>
  <c r="S998" i="1"/>
  <c r="AB998" i="1"/>
  <c r="U998" i="1"/>
  <c r="V998" i="1" a="1"/>
  <c r="V998" i="1" s="1"/>
  <c r="AB999" i="1"/>
  <c r="S999" i="1"/>
  <c r="U999" i="1"/>
  <c r="V999" i="1" a="1"/>
  <c r="V999" i="1" s="1"/>
  <c r="S1000" i="1"/>
  <c r="U1000" i="1"/>
  <c r="V1000" i="1" a="1"/>
  <c r="V1000" i="1" s="1"/>
  <c r="AB1000" i="1"/>
  <c r="AB1001" i="1"/>
  <c r="S1001" i="1"/>
  <c r="U1001" i="1"/>
  <c r="V1001" i="1" a="1"/>
  <c r="V1001" i="1" s="1"/>
  <c r="AB165" i="1"/>
  <c r="AB163" i="1"/>
  <c r="AB161" i="1"/>
  <c r="AB159" i="1"/>
  <c r="AB157" i="1"/>
  <c r="AB155" i="1"/>
  <c r="AB153" i="1"/>
  <c r="AB152" i="1"/>
  <c r="AB150" i="1"/>
  <c r="AB148" i="1"/>
  <c r="AB147" i="1"/>
  <c r="AB146" i="1"/>
  <c r="AB145" i="1"/>
  <c r="AB143" i="1"/>
  <c r="AB142" i="1"/>
  <c r="AB141" i="1"/>
  <c r="AB140" i="1"/>
  <c r="AB139" i="1"/>
  <c r="AB138" i="1"/>
  <c r="AB137" i="1"/>
  <c r="AB136" i="1"/>
  <c r="AB135" i="1"/>
  <c r="AB134" i="1"/>
  <c r="AB133" i="1"/>
  <c r="AB132" i="1"/>
  <c r="AB131" i="1"/>
  <c r="AB130" i="1"/>
  <c r="AB129" i="1"/>
  <c r="AB128" i="1"/>
  <c r="AB127" i="1"/>
  <c r="AB126" i="1"/>
  <c r="AB125" i="1"/>
  <c r="AB124" i="1"/>
  <c r="AB123" i="1"/>
  <c r="AB122" i="1"/>
  <c r="AB121" i="1"/>
  <c r="AB120" i="1"/>
  <c r="AB119" i="1"/>
  <c r="AB118" i="1"/>
  <c r="AB117" i="1"/>
  <c r="AB113" i="1"/>
  <c r="S2" i="1"/>
  <c r="U2" i="1"/>
  <c r="V2" i="1" a="1"/>
  <c r="V2" i="1" s="1"/>
  <c r="AB2" i="1"/>
  <c r="AB164" i="1"/>
  <c r="AB162" i="1"/>
  <c r="AB160" i="1"/>
  <c r="AB158" i="1"/>
  <c r="AB156" i="1"/>
  <c r="AB154" i="1"/>
  <c r="AB151" i="1"/>
  <c r="AB149" i="1"/>
  <c r="AB144" i="1"/>
  <c r="AB112" i="1"/>
  <c r="AB115" i="1"/>
  <c r="AB114" i="1"/>
  <c r="AB116" i="1"/>
  <c r="S3" i="1"/>
  <c r="U3" i="1"/>
  <c r="V3" i="1" a="1"/>
  <c r="V3" i="1" s="1"/>
  <c r="AB3" i="1"/>
  <c r="S4" i="1"/>
  <c r="U4" i="1"/>
  <c r="AB4" i="1"/>
  <c r="V4" i="1" a="1"/>
  <c r="V4" i="1" s="1"/>
  <c r="S5" i="1"/>
  <c r="U5" i="1"/>
  <c r="V5" i="1" a="1"/>
  <c r="V5" i="1" s="1"/>
  <c r="AB5" i="1"/>
  <c r="S6" i="1"/>
  <c r="U6" i="1"/>
  <c r="AB6" i="1"/>
  <c r="V6" i="1" a="1"/>
  <c r="V6" i="1" s="1"/>
  <c r="S7" i="1"/>
  <c r="U7" i="1"/>
  <c r="V7" i="1" a="1"/>
  <c r="V7" i="1" s="1"/>
  <c r="AB7" i="1"/>
  <c r="S8" i="1"/>
  <c r="U8" i="1"/>
  <c r="V8" i="1" a="1"/>
  <c r="V8" i="1" s="1"/>
  <c r="AB8" i="1"/>
  <c r="S9" i="1"/>
  <c r="U9" i="1"/>
  <c r="AB9" i="1"/>
  <c r="V9" i="1" a="1"/>
  <c r="V9" i="1" s="1"/>
  <c r="S10" i="1"/>
  <c r="U10" i="1"/>
  <c r="V10" i="1" a="1"/>
  <c r="V10" i="1" s="1"/>
  <c r="AB10" i="1"/>
  <c r="S11" i="1"/>
  <c r="U11" i="1"/>
  <c r="AB11" i="1"/>
  <c r="V11" i="1" a="1"/>
  <c r="V11" i="1" s="1"/>
  <c r="S12" i="1"/>
  <c r="U12" i="1"/>
  <c r="V12" i="1" a="1"/>
  <c r="V12" i="1" s="1"/>
  <c r="AB12" i="1"/>
  <c r="S13" i="1"/>
  <c r="U13" i="1"/>
  <c r="AB13" i="1"/>
  <c r="V13" i="1" a="1"/>
  <c r="V13" i="1" s="1"/>
  <c r="S14" i="1"/>
  <c r="U14" i="1"/>
  <c r="V14" i="1" a="1"/>
  <c r="V14" i="1" s="1"/>
  <c r="AB14" i="1"/>
  <c r="S15" i="1"/>
  <c r="U15" i="1"/>
  <c r="AB15" i="1"/>
  <c r="V15" i="1" a="1"/>
  <c r="V15" i="1" s="1"/>
  <c r="S16" i="1"/>
  <c r="U16" i="1"/>
  <c r="AB16" i="1"/>
  <c r="V16" i="1" a="1"/>
  <c r="V16" i="1" s="1"/>
  <c r="S17" i="1"/>
  <c r="U17" i="1"/>
  <c r="AB17" i="1"/>
  <c r="V17" i="1" a="1"/>
  <c r="V17" i="1" s="1"/>
  <c r="S18" i="1"/>
  <c r="U18" i="1"/>
  <c r="AB18" i="1"/>
  <c r="V18" i="1" a="1"/>
  <c r="V18" i="1" s="1"/>
  <c r="S19" i="1"/>
  <c r="U19" i="1"/>
  <c r="AB19" i="1"/>
  <c r="V19" i="1" a="1"/>
  <c r="V19" i="1" s="1"/>
  <c r="S20" i="1"/>
  <c r="U20" i="1"/>
  <c r="V20" i="1" a="1"/>
  <c r="V20" i="1" s="1"/>
  <c r="AB20" i="1"/>
  <c r="S21" i="1"/>
  <c r="U21" i="1"/>
  <c r="AB21" i="1"/>
  <c r="V21" i="1" a="1"/>
  <c r="V21" i="1" s="1"/>
  <c r="S22" i="1"/>
  <c r="U22" i="1"/>
  <c r="AB22" i="1"/>
  <c r="V22" i="1" a="1"/>
  <c r="V22" i="1" s="1"/>
  <c r="S23" i="1"/>
  <c r="U23" i="1"/>
  <c r="V23" i="1" a="1"/>
  <c r="V23" i="1" s="1"/>
  <c r="AB23" i="1"/>
  <c r="S24" i="1"/>
  <c r="U24" i="1"/>
  <c r="AB24" i="1"/>
  <c r="V24" i="1" a="1"/>
  <c r="V24" i="1" s="1"/>
  <c r="S25" i="1"/>
  <c r="U25" i="1"/>
  <c r="V25" i="1" a="1"/>
  <c r="V25" i="1" s="1"/>
  <c r="AB25" i="1"/>
  <c r="S26" i="1"/>
  <c r="U26" i="1"/>
  <c r="AB26" i="1"/>
  <c r="V26" i="1" a="1"/>
  <c r="V26" i="1" s="1"/>
  <c r="S27" i="1"/>
  <c r="U27" i="1"/>
  <c r="AB27" i="1"/>
  <c r="V27" i="1" a="1"/>
  <c r="V27" i="1" s="1"/>
  <c r="S28" i="1"/>
  <c r="U28" i="1"/>
  <c r="V28" i="1" a="1"/>
  <c r="V28" i="1" s="1"/>
  <c r="AB28" i="1"/>
  <c r="S29" i="1"/>
  <c r="U29" i="1"/>
  <c r="V29" i="1" a="1"/>
  <c r="V29" i="1" s="1"/>
  <c r="AB29" i="1"/>
  <c r="S30" i="1"/>
  <c r="U30" i="1"/>
  <c r="AB30" i="1"/>
  <c r="V30" i="1" a="1"/>
  <c r="V30" i="1" s="1"/>
  <c r="S31" i="1"/>
  <c r="U31" i="1"/>
  <c r="V31" i="1" a="1"/>
  <c r="V31" i="1" s="1"/>
  <c r="AB31" i="1"/>
  <c r="S32" i="1"/>
  <c r="U32" i="1"/>
  <c r="AB32" i="1"/>
  <c r="V32" i="1" a="1"/>
  <c r="V32" i="1" s="1"/>
  <c r="S33" i="1"/>
  <c r="U33" i="1"/>
  <c r="V33" i="1" a="1"/>
  <c r="V33" i="1" s="1"/>
  <c r="AB33" i="1"/>
  <c r="S34" i="1"/>
  <c r="U34" i="1"/>
  <c r="AB34" i="1"/>
  <c r="V34" i="1" a="1"/>
  <c r="V34" i="1" s="1"/>
  <c r="S35" i="1"/>
  <c r="U35" i="1"/>
  <c r="V35" i="1" a="1"/>
  <c r="V35" i="1" s="1"/>
  <c r="AB35" i="1"/>
  <c r="S36" i="1"/>
  <c r="U36" i="1"/>
  <c r="AB36" i="1"/>
  <c r="V36" i="1" a="1"/>
  <c r="V36" i="1" s="1"/>
  <c r="S37" i="1"/>
  <c r="U37" i="1"/>
  <c r="V37" i="1" a="1"/>
  <c r="V37" i="1" s="1"/>
  <c r="AB37" i="1"/>
  <c r="S38" i="1"/>
  <c r="U38" i="1"/>
  <c r="AB38" i="1"/>
  <c r="V38" i="1" a="1"/>
  <c r="V38" i="1" s="1"/>
  <c r="S39" i="1"/>
  <c r="U39" i="1"/>
  <c r="AB39" i="1"/>
  <c r="V39" i="1" a="1"/>
  <c r="V39" i="1" s="1"/>
  <c r="S40" i="1"/>
  <c r="U40" i="1"/>
  <c r="V40" i="1" a="1"/>
  <c r="V40" i="1" s="1"/>
  <c r="AB40" i="1"/>
  <c r="S41" i="1"/>
  <c r="U41" i="1"/>
  <c r="AB41" i="1"/>
  <c r="V41" i="1" a="1"/>
  <c r="V41" i="1" s="1"/>
  <c r="S42" i="1"/>
  <c r="U42" i="1"/>
  <c r="V42" i="1" a="1"/>
  <c r="V42" i="1" s="1"/>
  <c r="AB42" i="1"/>
  <c r="S43" i="1"/>
  <c r="U43" i="1"/>
  <c r="AB43" i="1"/>
  <c r="V43" i="1" a="1"/>
  <c r="V43" i="1" s="1"/>
  <c r="S44" i="1"/>
  <c r="U44" i="1"/>
  <c r="V44" i="1" a="1"/>
  <c r="V44" i="1" s="1"/>
  <c r="AB44" i="1"/>
  <c r="S45" i="1"/>
  <c r="U45" i="1"/>
  <c r="AB45" i="1"/>
  <c r="V45" i="1" a="1"/>
  <c r="V45" i="1" s="1"/>
  <c r="S46" i="1"/>
  <c r="U46" i="1"/>
  <c r="AB46" i="1"/>
  <c r="V46" i="1" a="1"/>
  <c r="V46" i="1" s="1"/>
  <c r="S47" i="1"/>
  <c r="U47" i="1"/>
  <c r="V47" i="1" a="1"/>
  <c r="V47" i="1" s="1"/>
  <c r="AB47" i="1"/>
  <c r="S48" i="1"/>
  <c r="U48" i="1"/>
  <c r="AB48" i="1"/>
  <c r="V48" i="1" a="1"/>
  <c r="V48" i="1" s="1"/>
  <c r="S49" i="1"/>
  <c r="U49" i="1"/>
  <c r="AB49" i="1"/>
  <c r="V49" i="1" a="1"/>
  <c r="V49" i="1" s="1"/>
  <c r="S50" i="1"/>
  <c r="U50" i="1"/>
  <c r="V50" i="1" a="1"/>
  <c r="V50" i="1" s="1"/>
  <c r="AB50" i="1"/>
  <c r="S51" i="1"/>
  <c r="U51" i="1"/>
  <c r="AB51" i="1"/>
  <c r="V51" i="1" a="1"/>
  <c r="V51" i="1" s="1"/>
  <c r="S52" i="1"/>
  <c r="U52" i="1"/>
  <c r="V52" i="1" a="1"/>
  <c r="V52" i="1" s="1"/>
  <c r="AB52" i="1"/>
  <c r="S53" i="1"/>
  <c r="U53" i="1"/>
  <c r="AB53" i="1"/>
  <c r="V53" i="1" a="1"/>
  <c r="V53" i="1" s="1"/>
  <c r="S54" i="1"/>
  <c r="U54" i="1"/>
  <c r="V54" i="1" a="1"/>
  <c r="V54" i="1" s="1"/>
  <c r="AB54" i="1"/>
  <c r="S55" i="1"/>
  <c r="U55" i="1"/>
  <c r="AB55" i="1"/>
  <c r="V55" i="1" a="1"/>
  <c r="V55" i="1" s="1"/>
  <c r="S56" i="1"/>
  <c r="U56" i="1"/>
  <c r="V56" i="1" a="1"/>
  <c r="V56" i="1" s="1"/>
  <c r="AB56" i="1"/>
  <c r="S57" i="1"/>
  <c r="U57" i="1"/>
  <c r="AB57" i="1"/>
  <c r="V57" i="1" a="1"/>
  <c r="V57" i="1" s="1"/>
  <c r="S58" i="1"/>
  <c r="U58" i="1"/>
  <c r="AB58" i="1"/>
  <c r="V58" i="1" a="1"/>
  <c r="V58" i="1" s="1"/>
  <c r="S59" i="1"/>
  <c r="U59" i="1"/>
  <c r="V59" i="1" a="1"/>
  <c r="V59" i="1" s="1"/>
  <c r="AB59" i="1"/>
  <c r="S60" i="1"/>
  <c r="U60" i="1"/>
  <c r="AB60" i="1"/>
  <c r="V60" i="1" a="1"/>
  <c r="V60" i="1" s="1"/>
  <c r="S61" i="1"/>
  <c r="U61" i="1"/>
  <c r="V61" i="1" a="1"/>
  <c r="V61" i="1" s="1"/>
  <c r="AB61" i="1"/>
  <c r="S62" i="1"/>
  <c r="U62" i="1"/>
  <c r="AB62" i="1"/>
  <c r="V62" i="1" a="1"/>
  <c r="V62" i="1" s="1"/>
  <c r="S63" i="1"/>
  <c r="U63" i="1"/>
  <c r="V63" i="1" a="1"/>
  <c r="V63" i="1" s="1"/>
  <c r="AB63" i="1"/>
  <c r="S64" i="1"/>
  <c r="U64" i="1"/>
  <c r="AB64" i="1"/>
  <c r="V64" i="1" a="1"/>
  <c r="V64" i="1" s="1"/>
  <c r="S65" i="1"/>
  <c r="U65" i="1"/>
  <c r="V65" i="1" a="1"/>
  <c r="V65" i="1" s="1"/>
  <c r="AB65" i="1"/>
  <c r="S66" i="1"/>
  <c r="U66" i="1"/>
  <c r="AB66" i="1"/>
  <c r="V66" i="1" a="1"/>
  <c r="V66" i="1" s="1"/>
  <c r="S67" i="1"/>
  <c r="U67" i="1"/>
  <c r="V67" i="1" a="1"/>
  <c r="V67" i="1" s="1"/>
  <c r="AB67" i="1"/>
  <c r="S68" i="1"/>
  <c r="U68" i="1"/>
  <c r="AB68" i="1"/>
  <c r="V68" i="1" a="1"/>
  <c r="V68" i="1" s="1"/>
  <c r="S69" i="1"/>
  <c r="U69" i="1"/>
  <c r="AB69" i="1"/>
  <c r="V69" i="1" a="1"/>
  <c r="V69" i="1" s="1"/>
  <c r="S70" i="1"/>
  <c r="U70" i="1"/>
  <c r="AB70" i="1"/>
  <c r="V70" i="1" a="1"/>
  <c r="V70" i="1" s="1"/>
  <c r="S71" i="1"/>
  <c r="U71" i="1"/>
  <c r="V71" i="1" a="1"/>
  <c r="V71" i="1" s="1"/>
  <c r="AB71" i="1"/>
  <c r="S72" i="1"/>
  <c r="U72" i="1"/>
  <c r="AB72" i="1"/>
  <c r="V72" i="1" a="1"/>
  <c r="V72" i="1" s="1"/>
  <c r="S73" i="1"/>
  <c r="U73" i="1"/>
  <c r="V73" i="1" a="1"/>
  <c r="V73" i="1" s="1"/>
  <c r="AB73" i="1"/>
  <c r="S74" i="1"/>
  <c r="U74" i="1"/>
  <c r="V74" i="1" a="1"/>
  <c r="V74" i="1" s="1"/>
  <c r="AB74" i="1"/>
  <c r="S75" i="1"/>
  <c r="U75" i="1"/>
  <c r="V75" i="1" a="1"/>
  <c r="V75" i="1" s="1"/>
  <c r="AB75" i="1"/>
  <c r="S76" i="1"/>
  <c r="U76" i="1"/>
  <c r="V76" i="1" a="1"/>
  <c r="V76" i="1" s="1"/>
  <c r="AB76" i="1"/>
  <c r="S77" i="1"/>
  <c r="U77" i="1"/>
  <c r="AB77" i="1"/>
  <c r="V77" i="1" a="1"/>
  <c r="V77" i="1" s="1"/>
  <c r="S78" i="1"/>
  <c r="U78" i="1"/>
  <c r="AB78" i="1"/>
  <c r="V78" i="1" a="1"/>
  <c r="V78" i="1" s="1"/>
  <c r="S79" i="1"/>
  <c r="U79" i="1"/>
  <c r="AB79" i="1"/>
  <c r="V79" i="1" a="1"/>
  <c r="V79" i="1" s="1"/>
  <c r="S80" i="1"/>
  <c r="U80" i="1"/>
  <c r="V80" i="1" a="1"/>
  <c r="V80" i="1" s="1"/>
  <c r="AB80" i="1"/>
  <c r="S81" i="1"/>
  <c r="U81" i="1"/>
  <c r="AB81" i="1"/>
  <c r="V81" i="1" a="1"/>
  <c r="V81" i="1" s="1"/>
  <c r="S82" i="1"/>
  <c r="U82" i="1"/>
  <c r="V82" i="1" a="1"/>
  <c r="V82" i="1" s="1"/>
  <c r="AB82" i="1"/>
  <c r="S83" i="1"/>
  <c r="U83" i="1"/>
  <c r="AB83" i="1"/>
  <c r="V83" i="1" a="1"/>
  <c r="V83" i="1" s="1"/>
  <c r="S84" i="1"/>
  <c r="U84" i="1"/>
  <c r="AB84" i="1"/>
  <c r="V84" i="1" a="1"/>
  <c r="V84" i="1" s="1"/>
  <c r="S85" i="1"/>
  <c r="U85" i="1"/>
  <c r="V85" i="1" a="1"/>
  <c r="V85" i="1" s="1"/>
  <c r="AB85" i="1"/>
  <c r="S86" i="1"/>
  <c r="U86" i="1"/>
  <c r="AB86" i="1"/>
  <c r="V86" i="1" a="1"/>
  <c r="V86" i="1" s="1"/>
  <c r="S87" i="1"/>
  <c r="U87" i="1"/>
  <c r="V87" i="1" a="1"/>
  <c r="V87" i="1" s="1"/>
  <c r="AB87" i="1"/>
  <c r="S88" i="1"/>
  <c r="U88" i="1"/>
  <c r="AB88" i="1"/>
  <c r="V88" i="1" a="1"/>
  <c r="V88" i="1" s="1"/>
  <c r="S89" i="1"/>
  <c r="U89" i="1"/>
  <c r="AB89" i="1"/>
  <c r="V89" i="1" a="1"/>
  <c r="V89" i="1" s="1"/>
  <c r="S90" i="1"/>
  <c r="U90" i="1"/>
  <c r="AB90" i="1"/>
  <c r="V90" i="1" a="1"/>
  <c r="V90" i="1" s="1"/>
  <c r="S91" i="1"/>
  <c r="U91" i="1"/>
  <c r="AB91" i="1"/>
  <c r="V91" i="1" a="1"/>
  <c r="V91" i="1" s="1"/>
  <c r="S92" i="1"/>
  <c r="U92" i="1"/>
  <c r="AB92" i="1"/>
  <c r="V92" i="1" a="1"/>
  <c r="V92" i="1" s="1"/>
  <c r="S93" i="1"/>
  <c r="U93" i="1"/>
  <c r="AB93" i="1"/>
  <c r="V93" i="1" a="1"/>
  <c r="V93" i="1" s="1"/>
  <c r="S94" i="1"/>
  <c r="U94" i="1"/>
  <c r="AB94" i="1"/>
  <c r="V94" i="1" a="1"/>
  <c r="V94" i="1" s="1"/>
  <c r="S95" i="1"/>
  <c r="U95" i="1"/>
  <c r="AB95" i="1"/>
  <c r="V95" i="1" a="1"/>
  <c r="V95" i="1" s="1"/>
  <c r="S96" i="1"/>
  <c r="U96" i="1"/>
  <c r="AB96" i="1"/>
  <c r="V96" i="1" a="1"/>
  <c r="V96" i="1" s="1"/>
  <c r="S97" i="1"/>
  <c r="U97" i="1"/>
  <c r="AB97" i="1"/>
  <c r="V97" i="1" a="1"/>
  <c r="V97" i="1" s="1"/>
  <c r="S98" i="1"/>
  <c r="U98" i="1"/>
  <c r="AB98" i="1"/>
  <c r="V98" i="1" a="1"/>
  <c r="V98" i="1" s="1"/>
  <c r="S99" i="1"/>
  <c r="U99" i="1"/>
  <c r="AB99" i="1"/>
  <c r="V99" i="1" a="1"/>
  <c r="V99" i="1" s="1"/>
  <c r="S100" i="1"/>
  <c r="U100" i="1"/>
  <c r="AB100" i="1"/>
  <c r="V100" i="1" a="1"/>
  <c r="V100" i="1" s="1"/>
  <c r="S101" i="1"/>
  <c r="U101" i="1"/>
  <c r="AB101" i="1"/>
  <c r="V101" i="1" a="1"/>
  <c r="V101" i="1" s="1"/>
  <c r="S102" i="1"/>
  <c r="U102" i="1"/>
  <c r="AB102" i="1"/>
  <c r="V102" i="1" a="1"/>
  <c r="V102" i="1" s="1"/>
  <c r="S103" i="1"/>
  <c r="U103" i="1"/>
  <c r="AB103" i="1"/>
  <c r="V103" i="1" a="1"/>
  <c r="V103" i="1" s="1"/>
  <c r="S104" i="1"/>
  <c r="U104" i="1"/>
  <c r="AB104" i="1"/>
  <c r="V104" i="1" a="1"/>
  <c r="V104" i="1" s="1"/>
  <c r="S105" i="1"/>
  <c r="U105" i="1"/>
  <c r="AB105" i="1"/>
  <c r="V105" i="1" a="1"/>
  <c r="V105" i="1" s="1"/>
  <c r="S106" i="1"/>
  <c r="U106" i="1"/>
  <c r="V106" i="1" a="1"/>
  <c r="V106" i="1" s="1"/>
  <c r="AB106" i="1"/>
  <c r="S107" i="1"/>
  <c r="U107" i="1"/>
  <c r="AB107" i="1"/>
  <c r="V107" i="1" a="1"/>
  <c r="V107" i="1" s="1"/>
  <c r="S108" i="1"/>
  <c r="U108" i="1"/>
  <c r="V108" i="1" a="1"/>
  <c r="V108" i="1" s="1"/>
  <c r="AB108" i="1"/>
  <c r="S109" i="1"/>
  <c r="U109" i="1"/>
  <c r="AB109" i="1"/>
  <c r="V109" i="1" a="1"/>
  <c r="V109" i="1" s="1"/>
  <c r="S110" i="1"/>
  <c r="U110" i="1"/>
  <c r="V110" i="1" a="1"/>
  <c r="V110" i="1" s="1"/>
  <c r="AB110" i="1"/>
  <c r="S111" i="1"/>
  <c r="U111" i="1"/>
  <c r="AB111" i="1"/>
  <c r="V111" i="1" a="1"/>
  <c r="V11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<sst xmlns="http://schemas.openxmlformats.org/spreadsheetml/2006/main" count="5108" uniqueCount="476">
  <si>
    <t>Order_ID</t>
  </si>
  <si>
    <t>Date</t>
  </si>
  <si>
    <t>Region</t>
  </si>
  <si>
    <t>Salesperson</t>
  </si>
  <si>
    <t>Customer_ID</t>
  </si>
  <si>
    <t>Product_Code</t>
  </si>
  <si>
    <t>Units</t>
  </si>
  <si>
    <t>Unit_Price</t>
  </si>
  <si>
    <t>Discount_%</t>
  </si>
  <si>
    <t>Principal</t>
  </si>
  <si>
    <t>Rate</t>
  </si>
  <si>
    <t>Time_Years</t>
  </si>
  <si>
    <t>19-12-2025</t>
  </si>
  <si>
    <t>West</t>
  </si>
  <si>
    <t>Arjun</t>
  </si>
  <si>
    <t>C1016</t>
  </si>
  <si>
    <t>P108</t>
  </si>
  <si>
    <t>05-09-2025</t>
  </si>
  <si>
    <t>North</t>
  </si>
  <si>
    <t>Priya</t>
  </si>
  <si>
    <t>C1003</t>
  </si>
  <si>
    <t>P104</t>
  </si>
  <si>
    <t>09-01-2025</t>
  </si>
  <si>
    <t>Meera</t>
  </si>
  <si>
    <t>C1029</t>
  </si>
  <si>
    <t>P103</t>
  </si>
  <si>
    <t>17-06-2025</t>
  </si>
  <si>
    <t>C1007</t>
  </si>
  <si>
    <t>P110</t>
  </si>
  <si>
    <t>09-05-2025</t>
  </si>
  <si>
    <t>South</t>
  </si>
  <si>
    <t>C1025</t>
  </si>
  <si>
    <t>04-11-2025</t>
  </si>
  <si>
    <t>Sneha</t>
  </si>
  <si>
    <t>C1036</t>
  </si>
  <si>
    <t>29-09-2025</t>
  </si>
  <si>
    <t>P101</t>
  </si>
  <si>
    <t>20-11-2025</t>
  </si>
  <si>
    <t>C1009</t>
  </si>
  <si>
    <t>P109</t>
  </si>
  <si>
    <t>12-12-2025</t>
  </si>
  <si>
    <t>C1023</t>
  </si>
  <si>
    <t>P106</t>
  </si>
  <si>
    <t>31-12-2025</t>
  </si>
  <si>
    <t>C1028</t>
  </si>
  <si>
    <t>20-10-2025</t>
  </si>
  <si>
    <t>Rahul</t>
  </si>
  <si>
    <t>C1030</t>
  </si>
  <si>
    <t>17-08-2025</t>
  </si>
  <si>
    <t>15-11-2025</t>
  </si>
  <si>
    <t>Anita</t>
  </si>
  <si>
    <t>C1002</t>
  </si>
  <si>
    <t>P102</t>
  </si>
  <si>
    <t>07-07-2025</t>
  </si>
  <si>
    <t>C1034</t>
  </si>
  <si>
    <t>10-02-2025</t>
  </si>
  <si>
    <t>24-11-2025</t>
  </si>
  <si>
    <t>C1012</t>
  </si>
  <si>
    <t>11-11-2025</t>
  </si>
  <si>
    <t>Kiran</t>
  </si>
  <si>
    <t>C1018</t>
  </si>
  <si>
    <t>28-03-2025</t>
  </si>
  <si>
    <t>East</t>
  </si>
  <si>
    <t>C1035</t>
  </si>
  <si>
    <t>29-04-2025</t>
  </si>
  <si>
    <t>03-12-2025</t>
  </si>
  <si>
    <t>C1010</t>
  </si>
  <si>
    <t>07-05-2025</t>
  </si>
  <si>
    <t>C1043</t>
  </si>
  <si>
    <t>P105</t>
  </si>
  <si>
    <t>11-03-2025</t>
  </si>
  <si>
    <t>C1019</t>
  </si>
  <si>
    <t>22-10-2025</t>
  </si>
  <si>
    <t>C1014</t>
  </si>
  <si>
    <t>P107</t>
  </si>
  <si>
    <t>08-02-2025</t>
  </si>
  <si>
    <t>28-09-2025</t>
  </si>
  <si>
    <t>C1020</t>
  </si>
  <si>
    <t>28-05-2025</t>
  </si>
  <si>
    <t>29-03-2025</t>
  </si>
  <si>
    <t>11-02-2025</t>
  </si>
  <si>
    <t>11-12-2025</t>
  </si>
  <si>
    <t>C1045</t>
  </si>
  <si>
    <t>16-01-2025</t>
  </si>
  <si>
    <t>03-08-2025</t>
  </si>
  <si>
    <t>C1005</t>
  </si>
  <si>
    <t>05-03-2025</t>
  </si>
  <si>
    <t>12-09-2025</t>
  </si>
  <si>
    <t>29-05-2025</t>
  </si>
  <si>
    <t>C1022</t>
  </si>
  <si>
    <t>12-05-2025</t>
  </si>
  <si>
    <t>John</t>
  </si>
  <si>
    <t>05-05-2025</t>
  </si>
  <si>
    <t>26-11-2025</t>
  </si>
  <si>
    <t>C1027</t>
  </si>
  <si>
    <t>13-03-2025</t>
  </si>
  <si>
    <t>04-04-2025</t>
  </si>
  <si>
    <t>31-07-2025</t>
  </si>
  <si>
    <t>04-12-2025</t>
  </si>
  <si>
    <t>C1050</t>
  </si>
  <si>
    <t>05-04-2025</t>
  </si>
  <si>
    <t>13-10-2025</t>
  </si>
  <si>
    <t>C1049</t>
  </si>
  <si>
    <t>25-09-2025</t>
  </si>
  <si>
    <t>12-02-2025</t>
  </si>
  <si>
    <t>27-05-2025</t>
  </si>
  <si>
    <t>C1004</t>
  </si>
  <si>
    <t>20-07-2025</t>
  </si>
  <si>
    <t>C1031</t>
  </si>
  <si>
    <t>16-05-2025</t>
  </si>
  <si>
    <t>21-06-2025</t>
  </si>
  <si>
    <t>27-12-2025</t>
  </si>
  <si>
    <t>C1048</t>
  </si>
  <si>
    <t>31-10-2025</t>
  </si>
  <si>
    <t>21-11-2025</t>
  </si>
  <si>
    <t>C1026</t>
  </si>
  <si>
    <t>13-05-2025</t>
  </si>
  <si>
    <t>19-08-2025</t>
  </si>
  <si>
    <t>02-03-2025</t>
  </si>
  <si>
    <t>29-01-2025</t>
  </si>
  <si>
    <t>11-05-2025</t>
  </si>
  <si>
    <t>18-12-2025</t>
  </si>
  <si>
    <t>C1046</t>
  </si>
  <si>
    <t>18-02-2025</t>
  </si>
  <si>
    <t>07-10-2025</t>
  </si>
  <si>
    <t>C1039</t>
  </si>
  <si>
    <t>23-06-2025</t>
  </si>
  <si>
    <t>05-07-2025</t>
  </si>
  <si>
    <t>C1013</t>
  </si>
  <si>
    <t>27-03-2025</t>
  </si>
  <si>
    <t>18-07-2025</t>
  </si>
  <si>
    <t>C1047</t>
  </si>
  <si>
    <t>23-09-2025</t>
  </si>
  <si>
    <t>C1021</t>
  </si>
  <si>
    <t>26-10-2025</t>
  </si>
  <si>
    <t>06-05-2025</t>
  </si>
  <si>
    <t>31-05-2025</t>
  </si>
  <si>
    <t>28-02-2025</t>
  </si>
  <si>
    <t>18-05-2025</t>
  </si>
  <si>
    <t>30-10-2025</t>
  </si>
  <si>
    <t>C1011</t>
  </si>
  <si>
    <t>08-11-2025</t>
  </si>
  <si>
    <t>08-01-2025</t>
  </si>
  <si>
    <t>03-02-2025</t>
  </si>
  <si>
    <t>11-06-2025</t>
  </si>
  <si>
    <t>25-03-2025</t>
  </si>
  <si>
    <t>C1017</t>
  </si>
  <si>
    <t>01-08-2025</t>
  </si>
  <si>
    <t>03-05-2025</t>
  </si>
  <si>
    <t>26-06-2025</t>
  </si>
  <si>
    <t>21-07-2025</t>
  </si>
  <si>
    <t>C1001</t>
  </si>
  <si>
    <t>25-10-2025</t>
  </si>
  <si>
    <t>09-06-2025</t>
  </si>
  <si>
    <t>17-03-2025</t>
  </si>
  <si>
    <t>29-07-2025</t>
  </si>
  <si>
    <t>14-02-2025</t>
  </si>
  <si>
    <t>C1024</t>
  </si>
  <si>
    <t>08-09-2025</t>
  </si>
  <si>
    <t>09-03-2025</t>
  </si>
  <si>
    <t>C1040</t>
  </si>
  <si>
    <t>08-07-2025</t>
  </si>
  <si>
    <t>25-06-2025</t>
  </si>
  <si>
    <t>03-04-2025</t>
  </si>
  <si>
    <t>05-02-2025</t>
  </si>
  <si>
    <t>C1042</t>
  </si>
  <si>
    <t>26-12-2025</t>
  </si>
  <si>
    <t>05-11-2025</t>
  </si>
  <si>
    <t>16-06-2025</t>
  </si>
  <si>
    <t>C1038</t>
  </si>
  <si>
    <t>11-01-2025</t>
  </si>
  <si>
    <t>24-02-2025</t>
  </si>
  <si>
    <t>C1033</t>
  </si>
  <si>
    <t>21-10-2025</t>
  </si>
  <si>
    <t>C1044</t>
  </si>
  <si>
    <t>19-07-2025</t>
  </si>
  <si>
    <t>05-01-2025</t>
  </si>
  <si>
    <t>15-05-2025</t>
  </si>
  <si>
    <t>14-06-2025</t>
  </si>
  <si>
    <t>16-08-2025</t>
  </si>
  <si>
    <t>04-06-2025</t>
  </si>
  <si>
    <t>14-04-2025</t>
  </si>
  <si>
    <t>15-03-2025</t>
  </si>
  <si>
    <t>C1008</t>
  </si>
  <si>
    <t>06-02-2025</t>
  </si>
  <si>
    <t>25-08-2025</t>
  </si>
  <si>
    <t>21-01-2025</t>
  </si>
  <si>
    <t>C1041</t>
  </si>
  <si>
    <t>16-11-2025</t>
  </si>
  <si>
    <t>C1015</t>
  </si>
  <si>
    <t>10-04-2025</t>
  </si>
  <si>
    <t>03-06-2025</t>
  </si>
  <si>
    <t>22-02-2025</t>
  </si>
  <si>
    <t>15-08-2025</t>
  </si>
  <si>
    <t>19-10-2025</t>
  </si>
  <si>
    <t>01-04-2025</t>
  </si>
  <si>
    <t>C1032</t>
  </si>
  <si>
    <t>01-02-2025</t>
  </si>
  <si>
    <t>10-05-2025</t>
  </si>
  <si>
    <t>26-07-2025</t>
  </si>
  <si>
    <t>08-05-2025</t>
  </si>
  <si>
    <t>19-05-2025</t>
  </si>
  <si>
    <t>26-03-2025</t>
  </si>
  <si>
    <t>C1037</t>
  </si>
  <si>
    <t>23-11-2025</t>
  </si>
  <si>
    <t>14-08-2025</t>
  </si>
  <si>
    <t>20-01-2025</t>
  </si>
  <si>
    <t>19-01-2025</t>
  </si>
  <si>
    <t>28-06-2025</t>
  </si>
  <si>
    <t>13-12-2025</t>
  </si>
  <si>
    <t>21-12-2025</t>
  </si>
  <si>
    <t>20-09-2025</t>
  </si>
  <si>
    <t>13-09-2025</t>
  </si>
  <si>
    <t>26-05-2025</t>
  </si>
  <si>
    <t>14-12-2025</t>
  </si>
  <si>
    <t>08-03-2025</t>
  </si>
  <si>
    <t>13-02-2025</t>
  </si>
  <si>
    <t>30-08-2025</t>
  </si>
  <si>
    <t>04-07-2025</t>
  </si>
  <si>
    <t>11-09-2025</t>
  </si>
  <si>
    <t>08-10-2025</t>
  </si>
  <si>
    <t>12-08-2025</t>
  </si>
  <si>
    <t>29-06-2025</t>
  </si>
  <si>
    <t>27-04-2025</t>
  </si>
  <si>
    <t>30-11-2025</t>
  </si>
  <si>
    <t>22-09-2025</t>
  </si>
  <si>
    <t>06-07-2025</t>
  </si>
  <si>
    <t>14-05-2025</t>
  </si>
  <si>
    <t>29-08-2025</t>
  </si>
  <si>
    <t>26-01-2025</t>
  </si>
  <si>
    <t>24-12-2025</t>
  </si>
  <si>
    <t>C1006</t>
  </si>
  <si>
    <t>13-04-2025</t>
  </si>
  <si>
    <t>09-10-2025</t>
  </si>
  <si>
    <t>14-09-2025</t>
  </si>
  <si>
    <t>26-02-2025</t>
  </si>
  <si>
    <t>02-04-2025</t>
  </si>
  <si>
    <t>19-04-2025</t>
  </si>
  <si>
    <t>02-02-2025</t>
  </si>
  <si>
    <t>28-11-2025</t>
  </si>
  <si>
    <t>23-07-2025</t>
  </si>
  <si>
    <t>08-12-2025</t>
  </si>
  <si>
    <t>22-04-2025</t>
  </si>
  <si>
    <t>18-04-2025</t>
  </si>
  <si>
    <t>03-03-2025</t>
  </si>
  <si>
    <t>21-02-2025</t>
  </si>
  <si>
    <t>21-09-2025</t>
  </si>
  <si>
    <t>16-03-2025</t>
  </si>
  <si>
    <t>06-04-2025</t>
  </si>
  <si>
    <t>16-12-2025</t>
  </si>
  <si>
    <t>23-04-2025</t>
  </si>
  <si>
    <t>24-08-2025</t>
  </si>
  <si>
    <t>01-11-2025</t>
  </si>
  <si>
    <t>24-09-2025</t>
  </si>
  <si>
    <t>28-08-2025</t>
  </si>
  <si>
    <t>27-06-2025</t>
  </si>
  <si>
    <t>06-06-2025</t>
  </si>
  <si>
    <t>08-08-2025</t>
  </si>
  <si>
    <t>18-06-2025</t>
  </si>
  <si>
    <t>15-12-2025</t>
  </si>
  <si>
    <t>07-04-2025</t>
  </si>
  <si>
    <t>09-12-2025</t>
  </si>
  <si>
    <t>04-10-2025</t>
  </si>
  <si>
    <t>25-05-2025</t>
  </si>
  <si>
    <t>25-07-2025</t>
  </si>
  <si>
    <t>24-05-2025</t>
  </si>
  <si>
    <t>23-02-2025</t>
  </si>
  <si>
    <t>05-06-2025</t>
  </si>
  <si>
    <t>02-09-2025</t>
  </si>
  <si>
    <t>15-06-2025</t>
  </si>
  <si>
    <t>01-09-2025</t>
  </si>
  <si>
    <t>17-09-2025</t>
  </si>
  <si>
    <t>26-04-2025</t>
  </si>
  <si>
    <t>01-03-2025</t>
  </si>
  <si>
    <t>09-04-2025</t>
  </si>
  <si>
    <t>04-08-2025</t>
  </si>
  <si>
    <t>28-04-2025</t>
  </si>
  <si>
    <t>19-11-2025</t>
  </si>
  <si>
    <t>15-02-2025</t>
  </si>
  <si>
    <t>24-03-2025</t>
  </si>
  <si>
    <t>25-01-2025</t>
  </si>
  <si>
    <t>11-10-2025</t>
  </si>
  <si>
    <t>12-03-2025</t>
  </si>
  <si>
    <t>14-01-2025</t>
  </si>
  <si>
    <t>08-06-2025</t>
  </si>
  <si>
    <t>17-05-2025</t>
  </si>
  <si>
    <t>22-01-2025</t>
  </si>
  <si>
    <t>02-07-2025</t>
  </si>
  <si>
    <t>22-05-2025</t>
  </si>
  <si>
    <t>23-10-2025</t>
  </si>
  <si>
    <t>06-12-2025</t>
  </si>
  <si>
    <t>14-03-2025</t>
  </si>
  <si>
    <t>19-03-2025</t>
  </si>
  <si>
    <t>25-12-2025</t>
  </si>
  <si>
    <t>17-07-2025</t>
  </si>
  <si>
    <t>03-10-2025</t>
  </si>
  <si>
    <t>23-05-2025</t>
  </si>
  <si>
    <t>14-10-2025</t>
  </si>
  <si>
    <t>27-02-2025</t>
  </si>
  <si>
    <t>30-12-2025</t>
  </si>
  <si>
    <t>20-06-2025</t>
  </si>
  <si>
    <t>01-05-2025</t>
  </si>
  <si>
    <t>13-01-2025</t>
  </si>
  <si>
    <t>26-09-2025</t>
  </si>
  <si>
    <t>20-04-2025</t>
  </si>
  <si>
    <t>10-08-2025</t>
  </si>
  <si>
    <t>01-06-2025</t>
  </si>
  <si>
    <t>21-04-2025</t>
  </si>
  <si>
    <t>05-08-2025</t>
  </si>
  <si>
    <t>30-05-2025</t>
  </si>
  <si>
    <t>16-02-2025</t>
  </si>
  <si>
    <t>27-11-2025</t>
  </si>
  <si>
    <t>06-01-2025</t>
  </si>
  <si>
    <t>17-11-2025</t>
  </si>
  <si>
    <t>31-03-2025</t>
  </si>
  <si>
    <t>14-07-2025</t>
  </si>
  <si>
    <t>04-05-2025</t>
  </si>
  <si>
    <t>03-01-2025</t>
  </si>
  <si>
    <t>13-08-2025</t>
  </si>
  <si>
    <t>30-04-2025</t>
  </si>
  <si>
    <t>04-01-2025</t>
  </si>
  <si>
    <t>20-05-2025</t>
  </si>
  <si>
    <t>10-10-2025</t>
  </si>
  <si>
    <t>20-02-2025</t>
  </si>
  <si>
    <t>22-08-2025</t>
  </si>
  <si>
    <t>24-01-2025</t>
  </si>
  <si>
    <t>18-09-2025</t>
  </si>
  <si>
    <t>07-09-2025</t>
  </si>
  <si>
    <t>04-09-2025</t>
  </si>
  <si>
    <t>23-08-2025</t>
  </si>
  <si>
    <t>06-08-2025</t>
  </si>
  <si>
    <t>12-04-2025</t>
  </si>
  <si>
    <t>10-03-2025</t>
  </si>
  <si>
    <t>24-06-2025</t>
  </si>
  <si>
    <t>09-07-2025</t>
  </si>
  <si>
    <t>01-01-2025</t>
  </si>
  <si>
    <t>16-09-2025</t>
  </si>
  <si>
    <t>15-01-2025</t>
  </si>
  <si>
    <t>28-12-2025</t>
  </si>
  <si>
    <t>29-10-2025</t>
  </si>
  <si>
    <t>08-04-2025</t>
  </si>
  <si>
    <t>31-08-2025</t>
  </si>
  <si>
    <t>25-04-2025</t>
  </si>
  <si>
    <t>30-01-2025</t>
  </si>
  <si>
    <t>27-08-2025</t>
  </si>
  <si>
    <t>15-10-2025</t>
  </si>
  <si>
    <t>18-11-2025</t>
  </si>
  <si>
    <t>03-07-2025</t>
  </si>
  <si>
    <t>21-05-2025</t>
  </si>
  <si>
    <t>02-01-2025</t>
  </si>
  <si>
    <t>14-11-2025</t>
  </si>
  <si>
    <t>10-07-2025</t>
  </si>
  <si>
    <t>27-10-2025</t>
  </si>
  <si>
    <t>18-01-2025</t>
  </si>
  <si>
    <t>19-06-2025</t>
  </si>
  <si>
    <t>20-12-2025</t>
  </si>
  <si>
    <t>30-03-2025</t>
  </si>
  <si>
    <t>15-07-2025</t>
  </si>
  <si>
    <t>27-07-2025</t>
  </si>
  <si>
    <t>02-05-2025</t>
  </si>
  <si>
    <t>01-12-2025</t>
  </si>
  <si>
    <t>09-08-2025</t>
  </si>
  <si>
    <t>25-02-2025</t>
  </si>
  <si>
    <t>12-10-2025</t>
  </si>
  <si>
    <t>13-07-2025</t>
  </si>
  <si>
    <t>06-03-2025</t>
  </si>
  <si>
    <t>10-06-2025</t>
  </si>
  <si>
    <t>17-02-2025</t>
  </si>
  <si>
    <t>07-11-2025</t>
  </si>
  <si>
    <t>25-11-2025</t>
  </si>
  <si>
    <t>10-01-2025</t>
  </si>
  <si>
    <t>07-12-2025</t>
  </si>
  <si>
    <t>26-08-2025</t>
  </si>
  <si>
    <t>22-07-2025</t>
  </si>
  <si>
    <t>07-01-2025</t>
  </si>
  <si>
    <t>16-10-2025</t>
  </si>
  <si>
    <t>28-01-2025</t>
  </si>
  <si>
    <t>16-07-2025</t>
  </si>
  <si>
    <t>10-09-2025</t>
  </si>
  <si>
    <t>17-12-2025</t>
  </si>
  <si>
    <t>12-01-2025</t>
  </si>
  <si>
    <t>05-12-2025</t>
  </si>
  <si>
    <t>18-08-2025</t>
  </si>
  <si>
    <t>13-06-2025</t>
  </si>
  <si>
    <t>30-06-2025</t>
  </si>
  <si>
    <t>29-12-2025</t>
  </si>
  <si>
    <t>17-04-2025</t>
  </si>
  <si>
    <t>22-06-2025</t>
  </si>
  <si>
    <t>03-09-2025</t>
  </si>
  <si>
    <t>23-01-2025</t>
  </si>
  <si>
    <t>01-10-2025</t>
  </si>
  <si>
    <t>06-11-2025</t>
  </si>
  <si>
    <t>28-10-2025</t>
  </si>
  <si>
    <t>07-03-2025</t>
  </si>
  <si>
    <t>24-04-2025</t>
  </si>
  <si>
    <t>20-08-2025</t>
  </si>
  <si>
    <t>27-09-2025</t>
  </si>
  <si>
    <t>15-04-2025</t>
  </si>
  <si>
    <t>10-11-2025</t>
  </si>
  <si>
    <t>11-04-2025</t>
  </si>
  <si>
    <t>18-03-2025</t>
  </si>
  <si>
    <t>13-11-2025</t>
  </si>
  <si>
    <t>15-09-2025</t>
  </si>
  <si>
    <t>24-10-2025</t>
  </si>
  <si>
    <t>03-11-2025</t>
  </si>
  <si>
    <t>04-03-2025</t>
  </si>
  <si>
    <t>21-03-2025</t>
  </si>
  <si>
    <t>24-07-2025</t>
  </si>
  <si>
    <t>10-12-2025</t>
  </si>
  <si>
    <t>22-12-2025</t>
  </si>
  <si>
    <t>02-10-2025</t>
  </si>
  <si>
    <t>02-08-2025</t>
  </si>
  <si>
    <t>18-10-2025</t>
  </si>
  <si>
    <t>23-03-2025</t>
  </si>
  <si>
    <t>17-01-2025</t>
  </si>
  <si>
    <t>12-06-2025</t>
  </si>
  <si>
    <t>02-12-2025</t>
  </si>
  <si>
    <t>31-01-2025</t>
  </si>
  <si>
    <t>27-01-2025</t>
  </si>
  <si>
    <t>06-10-2025</t>
  </si>
  <si>
    <t>30-09-2025</t>
  </si>
  <si>
    <t>12-11-2025</t>
  </si>
  <si>
    <t>Product_Name</t>
  </si>
  <si>
    <t>Category</t>
  </si>
  <si>
    <t>Cost_Price</t>
  </si>
  <si>
    <t>Laptop</t>
  </si>
  <si>
    <t>Electronics</t>
  </si>
  <si>
    <t>Mouse</t>
  </si>
  <si>
    <t>Accessories</t>
  </si>
  <si>
    <t>Keyboard</t>
  </si>
  <si>
    <t>Monitor</t>
  </si>
  <si>
    <t>Headset</t>
  </si>
  <si>
    <t>Printer</t>
  </si>
  <si>
    <t>Tablet</t>
  </si>
  <si>
    <t>Speaker</t>
  </si>
  <si>
    <t>Router</t>
  </si>
  <si>
    <t>Webcam</t>
  </si>
  <si>
    <t>Quarter</t>
  </si>
  <si>
    <t>Q1</t>
  </si>
  <si>
    <t>Q2</t>
  </si>
  <si>
    <t>Q3</t>
  </si>
  <si>
    <t>Q4</t>
  </si>
  <si>
    <t>Bonus_%</t>
  </si>
  <si>
    <t>Gross_Sales</t>
  </si>
  <si>
    <t>Discount_Amount</t>
  </si>
  <si>
    <t>Net_Sales</t>
  </si>
  <si>
    <t>Profit</t>
  </si>
  <si>
    <t>Transaction_Id</t>
  </si>
  <si>
    <t>Sales_Type</t>
  </si>
  <si>
    <t>Performance</t>
  </si>
  <si>
    <t>Simple_Interest</t>
  </si>
  <si>
    <t>Emi</t>
  </si>
  <si>
    <t>Sales_Rank</t>
  </si>
  <si>
    <t>Row Labels</t>
  </si>
  <si>
    <t>Grand Total</t>
  </si>
  <si>
    <t>Sum of Net_Sales</t>
  </si>
  <si>
    <t>Month</t>
  </si>
  <si>
    <t>January</t>
  </si>
  <si>
    <t>February</t>
  </si>
  <si>
    <t>March</t>
  </si>
  <si>
    <t>April</t>
  </si>
  <si>
    <t>May</t>
  </si>
  <si>
    <t>June</t>
  </si>
  <si>
    <t>July</t>
  </si>
  <si>
    <t>August</t>
  </si>
  <si>
    <t>September</t>
  </si>
  <si>
    <t>October</t>
  </si>
  <si>
    <t>November</t>
  </si>
  <si>
    <t>December</t>
  </si>
  <si>
    <t>Total Sales</t>
  </si>
  <si>
    <t>Total Profit</t>
  </si>
  <si>
    <t>Total Interest</t>
  </si>
  <si>
    <t>Average Emi</t>
  </si>
  <si>
    <t>Top Region</t>
  </si>
  <si>
    <t>Top Sales Person</t>
  </si>
  <si>
    <t>RETAIL SALES AND LOAN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</si>
</sst>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5" x14ac:knownFonts="1">
    <font>
      <sz val="11"/>
      <color theme="1"/>
      <name val="Calibri"/>
      <family val="2"/>
      <scheme val="minor"/>
    </font>
    <font>
      <b/>
      <sz val="11"/>
      <color theme="1"/>
      <name val="Calibri"/>
      <family val="2"/>
      <scheme val="minor"/>
    </font>
    <font>
      <u/>
      <sz val="11"/>
      <color theme="1"/>
      <name val="Calibri"/>
      <family val="2"/>
      <scheme val="minor"/>
    </font>
    <font>
      <b/>
      <sz val="12"/>
      <color theme="1"/>
      <name val="Calibri"/>
      <family val="2"/>
      <scheme val="minor"/>
    </font>
    <font>
      <b/>
      <u/>
      <sz val="22"/>
      <color theme="1"/>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7">
    <xf numFmtId="0" fontId="0" fillId="0" borderId="0" xfId="0"/>
    <xf numFmtId="8"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1" fillId="0" borderId="1" xfId="0" applyFont="1" applyBorder="1" applyAlignment="1">
      <alignment horizontal="center" wrapText="1"/>
    </xf>
    <xf numFmtId="3" fontId="0" fillId="0" borderId="2" xfId="0" applyNumberFormat="1" applyBorder="1" applyAlignment="1">
      <alignment horizontal="center" wrapText="1"/>
    </xf>
    <xf numFmtId="3" fontId="0" fillId="0" borderId="2" xfId="0" applyNumberFormat="1" applyBorder="1" applyAlignment="1">
      <alignment horizontal="center"/>
    </xf>
    <xf numFmtId="0" fontId="3" fillId="0" borderId="1" xfId="0" applyFont="1" applyBorder="1"/>
    <xf numFmtId="0" fontId="3" fillId="0" borderId="1" xfId="0" applyFont="1" applyBorder="1" applyAlignment="1">
      <alignment horizontal="center" wrapText="1"/>
    </xf>
    <xf numFmtId="8" fontId="0" fillId="0" borderId="2" xfId="0" applyNumberFormat="1" applyBorder="1" applyAlignment="1">
      <alignment horizontal="center"/>
    </xf>
    <xf numFmtId="0" fontId="0" fillId="0" borderId="2" xfId="0" applyBorder="1" applyAlignment="1">
      <alignment horizontal="center" wrapText="1"/>
    </xf>
    <xf numFmtId="0" fontId="3" fillId="0" borderId="1" xfId="0" applyFont="1" applyBorder="1" applyAlignment="1">
      <alignment horizontal="center"/>
    </xf>
    <xf numFmtId="0" fontId="0" fillId="0" borderId="2" xfId="0" applyBorder="1" applyAlignment="1">
      <alignment horizontal="center"/>
    </xf>
    <xf numFmtId="0" fontId="0" fillId="0" borderId="0" xfId="0" applyNumberFormat="1"/>
    <xf numFmtId="0" fontId="4" fillId="0" borderId="0" xfId="0"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[Retail_Sales_Excel_Dashboard.xlsx]Pivot!PivotTable1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East</c:v>
                </c:pt>
                <c:pt idx="1">
                  <c:v>North</c:v>
                </c:pt>
                <c:pt idx="2">
                  <c:v>South</c:v>
                </c:pt>
                <c:pt idx="3">
                  <c:v>West</c:v>
                </c:pt>
              </c:strCache>
            </c:strRef>
          </c:cat>
          <c:val>
            <c:numRef>
              <c:f>Pivot!$B$4:$B$8</c:f>
              <c:numCache>
                <c:formatCode>General</c:formatCode>
                <c:ptCount val="4"/>
                <c:pt idx="0">
                  <c:v>16062919.5</c:v>
                </c:pt>
                <c:pt idx="1">
                  <c:v>16825210</c:v>
                </c:pt>
                <c:pt idx="2">
                  <c:v>13353837</c:v>
                </c:pt>
                <c:pt idx="3">
                  <c:v>14858241</c:v>
                </c:pt>
              </c:numCache>
            </c:numRef>
          </c:val>
          <c:extLst>
            <c:ext xmlns:c16="http://schemas.microsoft.com/office/drawing/2014/chart" uri="{C3380CC4-5D6E-409C-BE32-E72D297353CC}">
              <c16:uniqueId val="{00000000-2460-4C89-9010-CA40AD2F3EA6}"/>
            </c:ext>
          </c:extLst>
        </c:ser>
        <c:dLbls>
          <c:showLegendKey val="0"/>
          <c:showVal val="0"/>
          <c:showCatName val="0"/>
          <c:showSerName val="0"/>
          <c:showPercent val="0"/>
          <c:showBubbleSize val="0"/>
        </c:dLbls>
        <c:gapWidth val="219"/>
        <c:overlap val="-27"/>
        <c:axId val="322220320"/>
        <c:axId val="322221760"/>
      </c:barChart>
      <c:catAx>
        <c:axId val="32222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21760"/>
        <c:crosses val="autoZero"/>
        <c:auto val="1"/>
        <c:lblAlgn val="ctr"/>
        <c:lblOffset val="100"/>
        <c:noMultiLvlLbl val="0"/>
      </c:catAx>
      <c:valAx>
        <c:axId val="32222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2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[Retail_Sales_Excel_Dashboard.xlsx]Pivot!PivotTable2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E8-4B58-9B77-4567B163FA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E8-4B58-9B77-4567B163FAC6}"/>
              </c:ext>
            </c:extLst>
          </c:dPt>
          <c:cat>
            <c:strRef>
              <c:f>Pivot!$D$4:$D$6</c:f>
              <c:strCache>
                <c:ptCount val="2"/>
                <c:pt idx="0">
                  <c:v>Accessories</c:v>
                </c:pt>
                <c:pt idx="1">
                  <c:v>Electronics</c:v>
                </c:pt>
              </c:strCache>
            </c:strRef>
          </c:cat>
          <c:val>
            <c:numRef>
              <c:f>Pivot!$E$4:$E$6</c:f>
              <c:numCache>
                <c:formatCode>General</c:formatCode>
                <c:ptCount val="2"/>
                <c:pt idx="0">
                  <c:v>4151277.5</c:v>
                </c:pt>
                <c:pt idx="1">
                  <c:v>56948930</c:v>
                </c:pt>
              </c:numCache>
            </c:numRef>
          </c:val>
          <c:extLst>
            <c:ext xmlns:c16="http://schemas.microsoft.com/office/drawing/2014/chart" uri="{C3380CC4-5D6E-409C-BE32-E72D297353CC}">
              <c16:uniqueId val="{00000004-5FE8-4B58-9B77-4567B163FA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[Retail_Sales_Excel_Dashboard.xlsx]Pivot!PivotTable3</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Pivot!$B$13</c:f>
              <c:strCache>
                <c:ptCount val="1"/>
                <c:pt idx="0">
                  <c:v>Total</c:v>
                </c:pt>
              </c:strCache>
            </c:strRef>
          </c:tx>
          <c:spPr>
            <a:solidFill>
              <a:schemeClr val="accent1"/>
            </a:solidFill>
            <a:ln>
              <a:noFill/>
            </a:ln>
            <a:effectLst/>
          </c:spPr>
          <c:invertIfNegative val="0"/>
          <c:cat>
            <c:strRef>
              <c:f>Pivot!$A$14:$A$15</c:f>
              <c:strCache>
                <c:ptCount val="1"/>
                <c:pt idx="0">
                  <c:v>Kiran</c:v>
                </c:pt>
              </c:strCache>
            </c:strRef>
          </c:cat>
          <c:val>
            <c:numRef>
              <c:f>Pivot!$B$14:$B$15</c:f>
              <c:numCache>
                <c:formatCode>General</c:formatCode>
                <c:ptCount val="1"/>
                <c:pt idx="0">
                  <c:v>165045</c:v>
                </c:pt>
              </c:numCache>
            </c:numRef>
          </c:val>
          <c:extLst>
            <c:ext xmlns:c16="http://schemas.microsoft.com/office/drawing/2014/chart" uri="{C3380CC4-5D6E-409C-BE32-E72D297353CC}">
              <c16:uniqueId val="{00000000-3222-4AB9-879B-E45C2AFAEF15}"/>
            </c:ext>
          </c:extLst>
        </c:ser>
        <c:dLbls>
          <c:showLegendKey val="0"/>
          <c:showVal val="0"/>
          <c:showCatName val="0"/>
          <c:showSerName val="0"/>
          <c:showPercent val="0"/>
          <c:showBubbleSize val="0"/>
        </c:dLbls>
        <c:gapWidth val="182"/>
        <c:axId val="225422608"/>
        <c:axId val="225420688"/>
      </c:barChart>
      <c:catAx>
        <c:axId val="22542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420688"/>
        <c:crosses val="autoZero"/>
        <c:auto val="1"/>
        <c:lblAlgn val="ctr"/>
        <c:lblOffset val="100"/>
        <c:noMultiLvlLbl val="0"/>
      </c:catAx>
      <c:valAx>
        <c:axId val="22542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42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[Retail_Sales_Excel_Dashboard.xlsx]Pivot!PivotTable6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Pivot!$E$13</c:f>
              <c:strCache>
                <c:ptCount val="1"/>
                <c:pt idx="0">
                  <c:v>Total</c:v>
                </c:pt>
              </c:strCache>
            </c:strRef>
          </c:tx>
          <c:spPr>
            <a:ln w="28575" cap="rnd">
              <a:solidFill>
                <a:schemeClr val="accent1"/>
              </a:solidFill>
              <a:round/>
            </a:ln>
            <a:effectLst/>
          </c:spPr>
          <c:marker>
            <c:symbol val="none"/>
          </c:marker>
          <c:cat>
            <c:strRef>
              <c:f>Pivot!$D$14:$D$26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Pivot!$E$14:$E$26</c:f>
              <c:numCache>
                <c:formatCode>General</c:formatCode>
                <c:ptCount val="12"/>
                <c:pt idx="0">
                  <c:v>4285684.5</c:v>
                </c:pt>
                <c:pt idx="1">
                  <c:v>4403843</c:v>
                </c:pt>
                <c:pt idx="2">
                  <c:v>3705954</c:v>
                </c:pt>
                <c:pt idx="3">
                  <c:v>5093387</c:v>
                </c:pt>
                <c:pt idx="4">
                  <c:v>6426422.5</c:v>
                </c:pt>
                <c:pt idx="5">
                  <c:v>5075197</c:v>
                </c:pt>
                <c:pt idx="6">
                  <c:v>5800485.5</c:v>
                </c:pt>
                <c:pt idx="7">
                  <c:v>4816859</c:v>
                </c:pt>
                <c:pt idx="8">
                  <c:v>3419264.5</c:v>
                </c:pt>
                <c:pt idx="9">
                  <c:v>6858686</c:v>
                </c:pt>
                <c:pt idx="10">
                  <c:v>4889731.5</c:v>
                </c:pt>
                <c:pt idx="11">
                  <c:v>6324693</c:v>
                </c:pt>
              </c:numCache>
            </c:numRef>
          </c:val>
          <c:smooth val="0"/>
          <c:extLst>
            <c:ext xmlns:c16="http://schemas.microsoft.com/office/drawing/2014/chart" uri="{C3380CC4-5D6E-409C-BE32-E72D297353CC}">
              <c16:uniqueId val="{00000000-3509-4DF7-9049-8D8BDD325A7A}"/>
            </c:ext>
          </c:extLst>
        </c:ser>
        <c:dLbls>
          <c:showLegendKey val="0"/>
          <c:showVal val="0"/>
          <c:showCatName val="0"/>
          <c:showSerName val="0"/>
          <c:showPercent val="0"/>
          <c:showBubbleSize val="0"/>
        </c:dLbls>
        <c:smooth val="0"/>
        <c:axId val="237030144"/>
        <c:axId val="237030624"/>
      </c:lineChart>
      <c:catAx>
        <c:axId val="23703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030624"/>
        <c:crosses val="autoZero"/>
        <c:auto val="1"/>
        <c:lblAlgn val="ctr"/>
        <c:lblOffset val="100"/>
        <c:noMultiLvlLbl val="0"/>
      </c:catAx>
      <c:valAx>
        <c:axId val="23703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03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91440</xdr:colOff>
      <xdr:row>7</xdr:row>
      <xdr:rowOff>106680</xdr:rowOff>
    </xdr:from>
    <xdr:to>
      <xdr:col>11</xdr:col>
      <xdr:colOff>22860</xdr:colOff>
      <xdr:row>16</xdr:row>
      <xdr:rowOff>156210</xdr:rowOff>
    </xdr:to>
    <xdr:graphicFrame macro="">
      <xdr:nvGraphicFramePr>
        <xdr:cNvPr id="2" name="Chart 1">
          <a:extLst>
            <a:ext uri="{FF2B5EF4-FFF2-40B4-BE49-F238E27FC236}">
              <a16:creationId xmlns:a16="http://schemas.microsoft.com/office/drawing/2014/main" id="{5AB6F794-A35C-4B13-9659-2A5D468B6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17</xdr:row>
      <xdr:rowOff>0</xdr:rowOff>
    </xdr:from>
    <xdr:to>
      <xdr:col>7</xdr:col>
      <xdr:colOff>533400</xdr:colOff>
      <xdr:row>26</xdr:row>
      <xdr:rowOff>68580</xdr:rowOff>
    </xdr:to>
    <xdr:graphicFrame macro="">
      <xdr:nvGraphicFramePr>
        <xdr:cNvPr id="3" name="Chart 2">
          <a:extLst>
            <a:ext uri="{FF2B5EF4-FFF2-40B4-BE49-F238E27FC236}">
              <a16:creationId xmlns:a16="http://schemas.microsoft.com/office/drawing/2014/main" id="{515F60F6-261E-49DA-B365-87BFE56EC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17</xdr:row>
      <xdr:rowOff>15240</xdr:rowOff>
    </xdr:from>
    <xdr:to>
      <xdr:col>3</xdr:col>
      <xdr:colOff>723900</xdr:colOff>
      <xdr:row>26</xdr:row>
      <xdr:rowOff>106680</xdr:rowOff>
    </xdr:to>
    <xdr:graphicFrame macro="">
      <xdr:nvGraphicFramePr>
        <xdr:cNvPr id="4" name="Chart 3">
          <a:extLst>
            <a:ext uri="{FF2B5EF4-FFF2-40B4-BE49-F238E27FC236}">
              <a16:creationId xmlns:a16="http://schemas.microsoft.com/office/drawing/2014/main" id="{39A4BC8B-2FB0-4471-98F3-BD89DA9EE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251460</xdr:colOff>
      <xdr:row>17</xdr:row>
      <xdr:rowOff>114300</xdr:rowOff>
    </xdr:from>
    <xdr:to>
      <xdr:col>14</xdr:col>
      <xdr:colOff>152400</xdr:colOff>
      <xdr:row>26</xdr:row>
      <xdr:rowOff>144780</xdr:rowOff>
    </xdr:to>
    <xdr:graphicFrame macro="">
      <xdr:nvGraphicFramePr>
        <xdr:cNvPr id="5" name="Chart 4">
          <a:extLst>
            <a:ext uri="{FF2B5EF4-FFF2-40B4-BE49-F238E27FC236}">
              <a16:creationId xmlns:a16="http://schemas.microsoft.com/office/drawing/2014/main" id="{0945811E-7B39-4429-BB58-84A5473A4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281940</xdr:colOff>
      <xdr:row>12</xdr:row>
      <xdr:rowOff>106680</xdr:rowOff>
    </xdr:from>
    <xdr:to>
      <xdr:col>20</xdr:col>
      <xdr:colOff>281940</xdr:colOff>
      <xdr:row>26</xdr:row>
      <xdr:rowOff>13335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E7F5F228-ACA4-4CF5-455A-151997EA4D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84380" y="2362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175260</xdr:colOff>
      <xdr:row>4</xdr:row>
      <xdr:rowOff>38100</xdr:rowOff>
    </xdr:from>
    <xdr:to>
      <xdr:col>14</xdr:col>
      <xdr:colOff>175260</xdr:colOff>
      <xdr:row>17</xdr:row>
      <xdr:rowOff>89535</xdr:rowOff>
    </xdr:to>
    <mc:AlternateContent xmlns:mc="http://schemas.openxmlformats.org/markup-compatibility/2006">
      <mc:Choice xmlns:a14="http://schemas.microsoft.com/office/drawing/2010/main" Requires="a14">
        <xdr:graphicFrame macro="">
          <xdr:nvGraphicFramePr>
            <xdr:cNvPr id="7" name="Salesperson">
              <a:extLst>
                <a:ext uri="{FF2B5EF4-FFF2-40B4-BE49-F238E27FC236}">
                  <a16:creationId xmlns:a16="http://schemas.microsoft.com/office/drawing/2014/main" id="{FBECCBA1-034E-6132-6459-701526014D4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420100" y="792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243840</xdr:colOff>
      <xdr:row>9</xdr:row>
      <xdr:rowOff>106680</xdr:rowOff>
    </xdr:from>
    <xdr:to>
      <xdr:col>17</xdr:col>
      <xdr:colOff>243840</xdr:colOff>
      <xdr:row>23</xdr:row>
      <xdr:rowOff>13335</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E39CF75B-7926-0334-2CCE-516E607733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317480" y="1813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NAKSHI MEENU" refreshedDate="46179.825804976848" createdVersion="8" refreshedVersion="8" minRefreshableVersion="3" recordCount="1000" xr:uid="{C1039E35-3A05-480C-BC09-0303096CBE56}">
  <cacheSource type="worksheet">
    <worksheetSource ref="A1:AB1001" sheet="Sales_Data"/>
  </cacheSource>
  <cacheFields count="28">
    <cacheField name="Order_ID" numFmtId="0">
      <sharedItems containsSemiMixedTypes="0" containsString="0" containsNumber="1" containsInteger="1" minValue="1001" maxValue="2000"/>
    </cacheField>
    <cacheField name="Date" numFmtId="0">
      <sharedItems/>
    </cacheField>
    <cacheField name="Region" numFmtId="0">
      <sharedItems count="4">
        <s v="West"/>
        <s v="North"/>
        <s v="South"/>
        <s v="East"/>
      </sharedItems>
    </cacheField>
    <cacheField name="Salesperson" numFmtId="0">
      <sharedItems count="8">
        <s v="Arjun"/>
        <s v="Priya"/>
        <s v="Meera"/>
        <s v="Sneha"/>
        <s v="Rahul"/>
        <s v="Anita"/>
        <s v="Kiran"/>
        <s v="John"/>
      </sharedItems>
    </cacheField>
    <cacheField name="Customer_ID" numFmtId="0">
      <sharedItems/>
    </cacheField>
    <cacheField name="Product_Code" numFmtId="0">
      <sharedItems/>
    </cacheField>
    <cacheField name="Units" numFmtId="0">
      <sharedItems containsSemiMixedTypes="0" containsString="0" containsNumber="1" containsInteger="1" minValue="1" maxValue="10"/>
    </cacheField>
    <cacheField name="Unit_Price" numFmtId="0">
      <sharedItems containsSemiMixedTypes="0" containsString="0" containsNumber="1" containsInteger="1" minValue="500" maxValue="55000"/>
    </cacheField>
    <cacheField name="Discount_%" numFmtId="0">
      <sharedItems containsSemiMixedTypes="0" containsString="0" containsNumber="1" containsInteger="1" minValue="0" maxValue="15"/>
    </cacheField>
    <cacheField name="Principal" numFmtId="0">
      <sharedItems containsSemiMixedTypes="0" containsString="0" containsNumber="1" containsInteger="1" minValue="50073" maxValue="499781"/>
    </cacheField>
    <cacheField name="Rate" numFmtId="0">
      <sharedItems containsSemiMixedTypes="0" containsString="0" containsNumber="1" containsInteger="1" minValue="7" maxValue="12"/>
    </cacheField>
    <cacheField name="Time_Years" numFmtId="0">
      <sharedItems containsSemiMixedTypes="0" containsString="0" containsNumber="1" containsInteger="1" minValue="1" maxValue="5"/>
    </cacheField>
    <cacheField name="Product_Name" numFmtId="0">
      <sharedItems/>
    </cacheField>
    <cacheField name="Category" numFmtId="0">
      <sharedItems count="2">
        <s v="Accessories"/>
        <s v="Electronics"/>
      </sharedItems>
    </cacheField>
    <cacheField name="Cost_Price" numFmtId="0">
      <sharedItems containsSemiMixedTypes="0" containsString="0" containsNumber="1" containsInteger="1" minValue="350" maxValue="45000"/>
    </cacheField>
    <cacheField name="Gross_Sales" numFmtId="0">
      <sharedItems containsSemiMixedTypes="0" containsString="0" containsNumber="1" containsInteger="1" minValue="500" maxValue="550000"/>
    </cacheField>
    <cacheField name="Discount_Amount" numFmtId="0">
      <sharedItems containsSemiMixedTypes="0" containsString="0" containsNumber="1" minValue="0" maxValue="82500"/>
    </cacheField>
    <cacheField name="Net_Sales" numFmtId="0">
      <sharedItems containsSemiMixedTypes="0" containsString="0" containsNumber="1" minValue="425" maxValue="550000"/>
    </cacheField>
    <cacheField name="Profit" numFmtId="0">
      <sharedItems containsSemiMixedTypes="0" containsString="0" containsNumber="1" minValue="75" maxValue="100000"/>
    </cacheField>
    <cacheField name="Transaction_Id" numFmtId="0">
      <sharedItems/>
    </cacheField>
    <cacheField name="Sales_Type" numFmtId="0">
      <sharedItems/>
    </cacheField>
    <cacheField name="Performance" numFmtId="0">
      <sharedItems/>
    </cacheField>
    <cacheField name="Quarter" numFmtId="0">
      <sharedItems containsSemiMixedTypes="0" containsString="0" containsNumber="1" containsInteger="1" minValue="1" maxValue="4"/>
    </cacheField>
    <cacheField name="Month" numFmtId="0">
      <sharedItems count="12">
        <s v="December"/>
        <s v="September"/>
        <s v="January"/>
        <s v="June"/>
        <s v="May"/>
        <s v="November"/>
        <s v="October"/>
        <s v="August"/>
        <s v="July"/>
        <s v="February"/>
        <s v="March"/>
        <s v="April"/>
      </sharedItems>
    </cacheField>
    <cacheField name="Bonus_%" numFmtId="0">
      <sharedItems containsSemiMixedTypes="0" containsString="0" containsNumber="1" minValue="0.02" maxValue="0.08"/>
    </cacheField>
    <cacheField name="Simple_Interest" numFmtId="0">
      <sharedItems containsSemiMixedTypes="0" containsString="0" containsNumber="1" minValue="3608.36" maxValue="291118.2"/>
    </cacheField>
    <cacheField name="Emi" numFmtId="8">
      <sharedItems containsSemiMixedTypes="0" containsString="0" containsNumber="1" minValue="1073.4975821756711" maxValue="44077.523974577321"/>
    </cacheField>
    <cacheField name="Sales_Rank" numFmtId="0">
      <sharedItems containsSemiMixedTypes="0" containsString="0" containsNumber="1" containsInteger="1" minValue="1" maxValue="999"/>
    </cacheField>
  </cacheFields>
  <extLst>
    <ext xmlns:x14="http://schemas.microsoft.com/office/spreadsheetml/2009/9/main" uri="{725AE2AE-9491-48be-B2B4-4EB974FC3084}">
      <x14:pivotCacheDefinition pivotCacheId="1750696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s v="19-12-2025"/>
    <x v="0"/>
    <x v="0"/>
    <s v="C1016"/>
    <s v="P108"/>
    <n v="7"/>
    <n v="2500"/>
    <n v="0"/>
    <n v="61652"/>
    <n v="10"/>
    <n v="3"/>
    <s v="Speaker"/>
    <x v="0"/>
    <n v="1800"/>
    <n v="17500"/>
    <n v="0"/>
    <n v="17500"/>
    <n v="4900"/>
    <s v="West-C1016-1001"/>
    <s v="Regular"/>
    <s v="Poor"/>
    <n v="4"/>
    <x v="0"/>
    <n v="0.08"/>
    <n v="18495.599999999999"/>
    <n v="1989.3366248744685"/>
    <n v="494"/>
  </r>
  <r>
    <n v="1002"/>
    <s v="05-09-2025"/>
    <x v="1"/>
    <x v="1"/>
    <s v="C1003"/>
    <s v="P104"/>
    <n v="8"/>
    <n v="12000"/>
    <n v="5"/>
    <n v="191001"/>
    <n v="8"/>
    <n v="3"/>
    <s v="Monitor"/>
    <x v="1"/>
    <n v="9000"/>
    <n v="96000"/>
    <n v="4800"/>
    <n v="91200"/>
    <n v="19200"/>
    <s v="North-C1003-1002"/>
    <s v="High Value"/>
    <s v="Good"/>
    <n v="3"/>
    <x v="1"/>
    <n v="0.06"/>
    <n v="45840.24"/>
    <n v="5985.277139498754"/>
    <n v="184"/>
  </r>
  <r>
    <n v="1003"/>
    <s v="09-01-2025"/>
    <x v="1"/>
    <x v="2"/>
    <s v="C1029"/>
    <s v="P103"/>
    <n v="2"/>
    <n v="1500"/>
    <n v="2"/>
    <n v="104983"/>
    <n v="12"/>
    <n v="5"/>
    <s v="Keyboard"/>
    <x v="0"/>
    <n v="1200"/>
    <n v="3000"/>
    <n v="60"/>
    <n v="2940"/>
    <n v="540"/>
    <s v="North-C1029-1003"/>
    <s v="Regular"/>
    <s v="Poor"/>
    <n v="1"/>
    <x v="2"/>
    <n v="0.02"/>
    <n v="62989.8"/>
    <n v="2335.2888513040425"/>
    <n v="883"/>
  </r>
  <r>
    <n v="1004"/>
    <s v="17-06-2025"/>
    <x v="1"/>
    <x v="1"/>
    <s v="C1007"/>
    <s v="P110"/>
    <n v="8"/>
    <n v="950"/>
    <n v="8"/>
    <n v="342031"/>
    <n v="11"/>
    <n v="1"/>
    <s v="Webcam"/>
    <x v="0"/>
    <n v="700"/>
    <n v="7600"/>
    <n v="608"/>
    <n v="6992"/>
    <n v="1392"/>
    <s v="North-C1007-1004"/>
    <s v="Regular"/>
    <s v="Poor"/>
    <n v="2"/>
    <x v="3"/>
    <n v="0.04"/>
    <n v="37623.410000000003"/>
    <n v="30229.26704580275"/>
    <n v="722"/>
  </r>
  <r>
    <n v="1005"/>
    <s v="09-05-2025"/>
    <x v="2"/>
    <x v="2"/>
    <s v="C1025"/>
    <s v="P104"/>
    <n v="5"/>
    <n v="12000"/>
    <n v="8"/>
    <n v="285916"/>
    <n v="7"/>
    <n v="2"/>
    <s v="Monitor"/>
    <x v="1"/>
    <n v="9000"/>
    <n v="60000"/>
    <n v="4800"/>
    <n v="55200"/>
    <n v="10200"/>
    <s v="South-C1025-1005"/>
    <s v="High Value"/>
    <s v="Good"/>
    <n v="2"/>
    <x v="4"/>
    <n v="0.04"/>
    <n v="40028.239999999998"/>
    <n v="12801.196726854925"/>
    <n v="268"/>
  </r>
  <r>
    <n v="1006"/>
    <s v="04-11-2025"/>
    <x v="0"/>
    <x v="3"/>
    <s v="C1036"/>
    <s v="P103"/>
    <n v="10"/>
    <n v="1500"/>
    <n v="2"/>
    <n v="285509"/>
    <n v="10"/>
    <n v="3"/>
    <s v="Keyboard"/>
    <x v="0"/>
    <n v="1200"/>
    <n v="15000"/>
    <n v="300"/>
    <n v="14700"/>
    <n v="2700"/>
    <s v="West-C1036-1006"/>
    <s v="Regular"/>
    <s v="Poor"/>
    <n v="4"/>
    <x v="5"/>
    <n v="0.08"/>
    <n v="85652.7"/>
    <n v="9212.5723485253457"/>
    <n v="532"/>
  </r>
  <r>
    <n v="1007"/>
    <s v="29-09-2025"/>
    <x v="2"/>
    <x v="1"/>
    <s v="C1036"/>
    <s v="P101"/>
    <n v="3"/>
    <n v="55000"/>
    <n v="2"/>
    <n v="251211"/>
    <n v="8"/>
    <n v="2"/>
    <s v="Laptop"/>
    <x v="1"/>
    <n v="45000"/>
    <n v="165000"/>
    <n v="3300"/>
    <n v="161700"/>
    <n v="26700"/>
    <s v="South-C1036-1007"/>
    <s v="High Value"/>
    <s v="Excellent"/>
    <n v="3"/>
    <x v="1"/>
    <n v="0.06"/>
    <n v="40193.760000000002"/>
    <n v="11361.593113999477"/>
    <n v="124"/>
  </r>
  <r>
    <n v="1008"/>
    <s v="20-11-2025"/>
    <x v="1"/>
    <x v="1"/>
    <s v="C1009"/>
    <s v="P109"/>
    <n v="6"/>
    <n v="7000"/>
    <n v="2"/>
    <n v="469345"/>
    <n v="12"/>
    <n v="3"/>
    <s v="Router"/>
    <x v="1"/>
    <n v="5000"/>
    <n v="42000"/>
    <n v="840"/>
    <n v="41160"/>
    <n v="11160"/>
    <s v="North-C1009-1008"/>
    <s v="Regular"/>
    <s v="Average"/>
    <n v="4"/>
    <x v="5"/>
    <n v="0.08"/>
    <n v="168964.2"/>
    <n v="15588.970239112643"/>
    <n v="331"/>
  </r>
  <r>
    <n v="1009"/>
    <s v="12-12-2025"/>
    <x v="2"/>
    <x v="1"/>
    <s v="C1023"/>
    <s v="P106"/>
    <n v="10"/>
    <n v="8000"/>
    <n v="2"/>
    <n v="465202"/>
    <n v="7"/>
    <n v="5"/>
    <s v="Printer"/>
    <x v="1"/>
    <n v="6500"/>
    <n v="80000"/>
    <n v="1600"/>
    <n v="78400"/>
    <n v="13400"/>
    <s v="South-C1023-1009"/>
    <s v="High Value"/>
    <s v="Good"/>
    <n v="4"/>
    <x v="0"/>
    <n v="0.08"/>
    <n v="162820.70000000001"/>
    <n v="9211.5571633676846"/>
    <n v="197"/>
  </r>
  <r>
    <n v="1010"/>
    <s v="31-12-2025"/>
    <x v="1"/>
    <x v="1"/>
    <s v="C1028"/>
    <s v="P106"/>
    <n v="1"/>
    <n v="8000"/>
    <n v="12"/>
    <n v="294026"/>
    <n v="12"/>
    <n v="1"/>
    <s v="Printer"/>
    <x v="1"/>
    <n v="6500"/>
    <n v="8000"/>
    <n v="960"/>
    <n v="7040"/>
    <n v="540"/>
    <s v="North-C1028-1010"/>
    <s v="Regular"/>
    <s v="Poor"/>
    <n v="4"/>
    <x v="0"/>
    <n v="0.08"/>
    <n v="35283.120000000003"/>
    <n v="26123.853939938093"/>
    <n v="718"/>
  </r>
  <r>
    <n v="1011"/>
    <s v="20-10-2025"/>
    <x v="0"/>
    <x v="4"/>
    <s v="C1030"/>
    <s v="P104"/>
    <n v="4"/>
    <n v="12000"/>
    <n v="15"/>
    <n v="154069"/>
    <n v="11"/>
    <n v="2"/>
    <s v="Monitor"/>
    <x v="1"/>
    <n v="9000"/>
    <n v="48000"/>
    <n v="7200"/>
    <n v="40800"/>
    <n v="4800"/>
    <s v="West-C1030-1011"/>
    <s v="Regular"/>
    <s v="Average"/>
    <n v="4"/>
    <x v="6"/>
    <n v="0.08"/>
    <n v="33895.18"/>
    <n v="7180.82302310042"/>
    <n v="334"/>
  </r>
  <r>
    <n v="1012"/>
    <s v="17-08-2025"/>
    <x v="0"/>
    <x v="1"/>
    <s v="C1036"/>
    <s v="P110"/>
    <n v="5"/>
    <n v="950"/>
    <n v="0"/>
    <n v="306780"/>
    <n v="8"/>
    <n v="3"/>
    <s v="Webcam"/>
    <x v="0"/>
    <n v="700"/>
    <n v="4750"/>
    <n v="0"/>
    <n v="4750"/>
    <n v="1250"/>
    <s v="West-C1036-1012"/>
    <s v="Regular"/>
    <s v="Poor"/>
    <n v="3"/>
    <x v="7"/>
    <n v="0.06"/>
    <n v="73627.199999999997"/>
    <n v="9613.3701962577561"/>
    <n v="797"/>
  </r>
  <r>
    <n v="1013"/>
    <s v="15-11-2025"/>
    <x v="2"/>
    <x v="5"/>
    <s v="C1002"/>
    <s v="P102"/>
    <n v="2"/>
    <n v="500"/>
    <n v="8"/>
    <n v="366916"/>
    <n v="7"/>
    <n v="5"/>
    <s v="Mouse"/>
    <x v="0"/>
    <n v="350"/>
    <n v="1000"/>
    <n v="80"/>
    <n v="920"/>
    <n v="220"/>
    <s v="South-C1002-1013"/>
    <s v="Regular"/>
    <s v="Poor"/>
    <n v="4"/>
    <x v="5"/>
    <n v="0.08"/>
    <n v="128420.6"/>
    <n v="7265.3765636308908"/>
    <n v="971"/>
  </r>
  <r>
    <n v="1014"/>
    <s v="07-07-2025"/>
    <x v="0"/>
    <x v="2"/>
    <s v="C1034"/>
    <s v="P101"/>
    <n v="3"/>
    <n v="55000"/>
    <n v="8"/>
    <n v="324906"/>
    <n v="11"/>
    <n v="2"/>
    <s v="Laptop"/>
    <x v="1"/>
    <n v="45000"/>
    <n v="165000"/>
    <n v="13200"/>
    <n v="151800"/>
    <n v="16800"/>
    <s v="West-C1034-1014"/>
    <s v="High Value"/>
    <s v="Excellent"/>
    <n v="3"/>
    <x v="8"/>
    <n v="0.06"/>
    <n v="71479.320000000007"/>
    <n v="15143.166277080172"/>
    <n v="131"/>
  </r>
  <r>
    <n v="1015"/>
    <s v="10-02-2025"/>
    <x v="1"/>
    <x v="4"/>
    <s v="C1028"/>
    <s v="P109"/>
    <n v="6"/>
    <n v="7000"/>
    <n v="10"/>
    <n v="201592"/>
    <n v="11"/>
    <n v="1"/>
    <s v="Router"/>
    <x v="1"/>
    <n v="5000"/>
    <n v="42000"/>
    <n v="4200"/>
    <n v="37800"/>
    <n v="7800"/>
    <s v="North-C1028-1015"/>
    <s v="Regular"/>
    <s v="Average"/>
    <n v="1"/>
    <x v="9"/>
    <n v="0.02"/>
    <n v="22175.119999999999"/>
    <n v="17817.035304687201"/>
    <n v="341"/>
  </r>
  <r>
    <n v="1016"/>
    <s v="24-11-2025"/>
    <x v="2"/>
    <x v="5"/>
    <s v="C1012"/>
    <s v="P104"/>
    <n v="7"/>
    <n v="12000"/>
    <n v="5"/>
    <n v="352309"/>
    <n v="11"/>
    <n v="4"/>
    <s v="Monitor"/>
    <x v="1"/>
    <n v="9000"/>
    <n v="84000"/>
    <n v="4200"/>
    <n v="79800"/>
    <n v="16800"/>
    <s v="South-C1012-1016"/>
    <s v="High Value"/>
    <s v="Good"/>
    <n v="4"/>
    <x v="5"/>
    <n v="0.08"/>
    <n v="155015.96"/>
    <n v="9105.6102257183302"/>
    <n v="194"/>
  </r>
  <r>
    <n v="1017"/>
    <s v="11-11-2025"/>
    <x v="0"/>
    <x v="6"/>
    <s v="C1018"/>
    <s v="P106"/>
    <n v="1"/>
    <n v="8000"/>
    <n v="2"/>
    <n v="266160"/>
    <n v="11"/>
    <n v="2"/>
    <s v="Printer"/>
    <x v="1"/>
    <n v="6500"/>
    <n v="8000"/>
    <n v="160"/>
    <n v="7840"/>
    <n v="1340"/>
    <s v="West-C1018-1017"/>
    <s v="Regular"/>
    <s v="Poor"/>
    <n v="4"/>
    <x v="5"/>
    <n v="0.08"/>
    <n v="58555.199999999997"/>
    <n v="12405.142214387111"/>
    <n v="692"/>
  </r>
  <r>
    <n v="1018"/>
    <s v="28-03-2025"/>
    <x v="3"/>
    <x v="2"/>
    <s v="C1035"/>
    <s v="P101"/>
    <n v="4"/>
    <n v="55000"/>
    <n v="10"/>
    <n v="369334"/>
    <n v="7"/>
    <n v="2"/>
    <s v="Laptop"/>
    <x v="1"/>
    <n v="45000"/>
    <n v="220000"/>
    <n v="22000"/>
    <n v="198000"/>
    <n v="18000"/>
    <s v="East-C1035-1018"/>
    <s v="High Value"/>
    <s v="Excellent"/>
    <n v="1"/>
    <x v="10"/>
    <n v="0.02"/>
    <n v="51706.76"/>
    <n v="16536.035730481108"/>
    <n v="110"/>
  </r>
  <r>
    <n v="1019"/>
    <s v="29-04-2025"/>
    <x v="1"/>
    <x v="0"/>
    <s v="C1028"/>
    <s v="P104"/>
    <n v="3"/>
    <n v="12000"/>
    <n v="0"/>
    <n v="109042"/>
    <n v="8"/>
    <n v="2"/>
    <s v="Monitor"/>
    <x v="1"/>
    <n v="9000"/>
    <n v="36000"/>
    <n v="0"/>
    <n v="36000"/>
    <n v="9000"/>
    <s v="North-C1028-1019"/>
    <s v="Regular"/>
    <s v="Average"/>
    <n v="2"/>
    <x v="11"/>
    <n v="0.04"/>
    <n v="17446.72"/>
    <n v="4931.674314965233"/>
    <n v="344"/>
  </r>
  <r>
    <n v="1020"/>
    <s v="03-12-2025"/>
    <x v="1"/>
    <x v="0"/>
    <s v="C1010"/>
    <s v="P106"/>
    <n v="1"/>
    <n v="8000"/>
    <n v="8"/>
    <n v="478128"/>
    <n v="8"/>
    <n v="1"/>
    <s v="Printer"/>
    <x v="1"/>
    <n v="6500"/>
    <n v="8000"/>
    <n v="640"/>
    <n v="7360"/>
    <n v="860"/>
    <s v="North-C1010-1020"/>
    <s v="Regular"/>
    <s v="Poor"/>
    <n v="4"/>
    <x v="0"/>
    <n v="0.08"/>
    <n v="38250.239999999998"/>
    <n v="41591.603621754199"/>
    <n v="709"/>
  </r>
  <r>
    <n v="1021"/>
    <s v="07-05-2025"/>
    <x v="3"/>
    <x v="5"/>
    <s v="C1043"/>
    <s v="P105"/>
    <n v="9"/>
    <n v="2000"/>
    <n v="5"/>
    <n v="341887"/>
    <n v="7"/>
    <n v="1"/>
    <s v="Headset"/>
    <x v="0"/>
    <n v="1500"/>
    <n v="18000"/>
    <n v="900"/>
    <n v="17100"/>
    <n v="3600"/>
    <s v="East-C1043-1021"/>
    <s v="Regular"/>
    <s v="Poor"/>
    <n v="2"/>
    <x v="4"/>
    <n v="0.04"/>
    <n v="23932.09"/>
    <n v="29582.369643254122"/>
    <n v="501"/>
  </r>
  <r>
    <n v="1022"/>
    <s v="11-03-2025"/>
    <x v="2"/>
    <x v="5"/>
    <s v="C1019"/>
    <s v="P101"/>
    <n v="1"/>
    <n v="55000"/>
    <n v="2"/>
    <n v="355252"/>
    <n v="8"/>
    <n v="1"/>
    <s v="Laptop"/>
    <x v="1"/>
    <n v="45000"/>
    <n v="55000"/>
    <n v="1100"/>
    <n v="53900"/>
    <n v="8900"/>
    <s v="South-C1019-1022"/>
    <s v="High Value"/>
    <s v="Good"/>
    <n v="1"/>
    <x v="10"/>
    <n v="0.02"/>
    <n v="28420.16"/>
    <n v="30902.813409454004"/>
    <n v="277"/>
  </r>
  <r>
    <n v="1023"/>
    <s v="22-10-2025"/>
    <x v="3"/>
    <x v="6"/>
    <s v="C1014"/>
    <s v="P107"/>
    <n v="5"/>
    <n v="35000"/>
    <n v="10"/>
    <n v="340565"/>
    <n v="12"/>
    <n v="4"/>
    <s v="Tablet"/>
    <x v="1"/>
    <n v="29000"/>
    <n v="175000"/>
    <n v="17500"/>
    <n v="157500"/>
    <n v="12500"/>
    <s v="East-C1014-1023"/>
    <s v="High Value"/>
    <s v="Excellent"/>
    <n v="4"/>
    <x v="6"/>
    <n v="0.08"/>
    <n v="163471.20000000001"/>
    <n v="8968.3826638744795"/>
    <n v="126"/>
  </r>
  <r>
    <n v="1024"/>
    <s v="08-02-2025"/>
    <x v="3"/>
    <x v="0"/>
    <s v="C1035"/>
    <s v="P107"/>
    <n v="8"/>
    <n v="35000"/>
    <n v="10"/>
    <n v="306409"/>
    <n v="10"/>
    <n v="4"/>
    <s v="Tablet"/>
    <x v="1"/>
    <n v="29000"/>
    <n v="280000"/>
    <n v="28000"/>
    <n v="252000"/>
    <n v="20000"/>
    <s v="East-C1035-1024"/>
    <s v="High Value"/>
    <s v="Excellent"/>
    <n v="1"/>
    <x v="9"/>
    <n v="0.02"/>
    <n v="122563.6"/>
    <n v="7771.3238276574521"/>
    <n v="76"/>
  </r>
  <r>
    <n v="1025"/>
    <s v="28-09-2025"/>
    <x v="2"/>
    <x v="5"/>
    <s v="C1020"/>
    <s v="P105"/>
    <n v="4"/>
    <n v="2000"/>
    <n v="10"/>
    <n v="74460"/>
    <n v="11"/>
    <n v="1"/>
    <s v="Headset"/>
    <x v="0"/>
    <n v="1500"/>
    <n v="8000"/>
    <n v="800"/>
    <n v="7200"/>
    <n v="1200"/>
    <s v="South-C1020-1025"/>
    <s v="Regular"/>
    <s v="Poor"/>
    <n v="3"/>
    <x v="1"/>
    <n v="0.06"/>
    <n v="8190.6"/>
    <n v="6580.8982935186368"/>
    <n v="716"/>
  </r>
  <r>
    <n v="1026"/>
    <s v="28-05-2025"/>
    <x v="0"/>
    <x v="4"/>
    <s v="C1025"/>
    <s v="P108"/>
    <n v="1"/>
    <n v="2500"/>
    <n v="2"/>
    <n v="268610"/>
    <n v="12"/>
    <n v="3"/>
    <s v="Speaker"/>
    <x v="0"/>
    <n v="1800"/>
    <n v="2500"/>
    <n v="50"/>
    <n v="2450"/>
    <n v="650"/>
    <s v="West-C1025-1026"/>
    <s v="Regular"/>
    <s v="Poor"/>
    <n v="2"/>
    <x v="4"/>
    <n v="0.04"/>
    <n v="96699.6"/>
    <n v="8921.6957588299592"/>
    <n v="908"/>
  </r>
  <r>
    <n v="1027"/>
    <s v="29-03-2025"/>
    <x v="2"/>
    <x v="1"/>
    <s v="C1036"/>
    <s v="P102"/>
    <n v="6"/>
    <n v="500"/>
    <n v="2"/>
    <n v="378489"/>
    <n v="12"/>
    <n v="5"/>
    <s v="Mouse"/>
    <x v="0"/>
    <n v="350"/>
    <n v="3000"/>
    <n v="60"/>
    <n v="2940"/>
    <n v="840"/>
    <s v="South-C1036-1027"/>
    <s v="Regular"/>
    <s v="Poor"/>
    <n v="1"/>
    <x v="10"/>
    <n v="0.02"/>
    <n v="227093.4"/>
    <n v="8419.278759810788"/>
    <n v="883"/>
  </r>
  <r>
    <n v="1028"/>
    <s v="11-02-2025"/>
    <x v="0"/>
    <x v="6"/>
    <s v="C1023"/>
    <s v="P108"/>
    <n v="9"/>
    <n v="2500"/>
    <n v="10"/>
    <n v="233620"/>
    <n v="11"/>
    <n v="3"/>
    <s v="Speaker"/>
    <x v="0"/>
    <n v="1800"/>
    <n v="22500"/>
    <n v="2250"/>
    <n v="20250"/>
    <n v="4050"/>
    <s v="West-C1023-1028"/>
    <s v="Regular"/>
    <s v="Average"/>
    <n v="1"/>
    <x v="9"/>
    <n v="0.02"/>
    <n v="77094.600000000006"/>
    <n v="7648.4190928740163"/>
    <n v="449"/>
  </r>
  <r>
    <n v="1029"/>
    <s v="11-12-2025"/>
    <x v="1"/>
    <x v="2"/>
    <s v="C1045"/>
    <s v="P104"/>
    <n v="10"/>
    <n v="12000"/>
    <n v="2"/>
    <n v="384840"/>
    <n v="9"/>
    <n v="1"/>
    <s v="Monitor"/>
    <x v="1"/>
    <n v="9000"/>
    <n v="120000"/>
    <n v="2400"/>
    <n v="117600"/>
    <n v="27600"/>
    <s v="North-C1045-1029"/>
    <s v="High Value"/>
    <s v="Excellent"/>
    <n v="4"/>
    <x v="0"/>
    <n v="0.08"/>
    <n v="34635.599999999999"/>
    <n v="33654.826320136563"/>
    <n v="147"/>
  </r>
  <r>
    <n v="1030"/>
    <s v="16-01-2025"/>
    <x v="3"/>
    <x v="3"/>
    <s v="C1002"/>
    <s v="P102"/>
    <n v="5"/>
    <n v="500"/>
    <n v="15"/>
    <n v="321824"/>
    <n v="7"/>
    <n v="2"/>
    <s v="Mouse"/>
    <x v="0"/>
    <n v="350"/>
    <n v="2500"/>
    <n v="375"/>
    <n v="2125"/>
    <n v="375"/>
    <s v="East-C1002-1030"/>
    <s v="Regular"/>
    <s v="Poor"/>
    <n v="1"/>
    <x v="2"/>
    <n v="0.02"/>
    <n v="45055.360000000001"/>
    <n v="14408.890497290671"/>
    <n v="923"/>
  </r>
  <r>
    <n v="1031"/>
    <s v="03-08-2025"/>
    <x v="0"/>
    <x v="5"/>
    <s v="C1005"/>
    <s v="P109"/>
    <n v="6"/>
    <n v="7000"/>
    <n v="8"/>
    <n v="148793"/>
    <n v="10"/>
    <n v="3"/>
    <s v="Router"/>
    <x v="1"/>
    <n v="5000"/>
    <n v="42000"/>
    <n v="3360"/>
    <n v="38640"/>
    <n v="8640"/>
    <s v="West-C1005-1031"/>
    <s v="Regular"/>
    <s v="Average"/>
    <n v="3"/>
    <x v="7"/>
    <n v="0.06"/>
    <n v="44637.9"/>
    <n v="4801.1315841326605"/>
    <n v="338"/>
  </r>
  <r>
    <n v="1032"/>
    <s v="05-03-2025"/>
    <x v="3"/>
    <x v="6"/>
    <s v="C1029"/>
    <s v="P108"/>
    <n v="8"/>
    <n v="2500"/>
    <n v="5"/>
    <n v="134960"/>
    <n v="8"/>
    <n v="5"/>
    <s v="Speaker"/>
    <x v="0"/>
    <n v="1800"/>
    <n v="20000"/>
    <n v="1000"/>
    <n v="19000"/>
    <n v="4600"/>
    <s v="East-C1029-1032"/>
    <s v="Regular"/>
    <s v="Poor"/>
    <n v="1"/>
    <x v="10"/>
    <n v="0.02"/>
    <n v="53984"/>
    <n v="2736.5021731643101"/>
    <n v="465"/>
  </r>
  <r>
    <n v="1033"/>
    <s v="12-09-2025"/>
    <x v="2"/>
    <x v="4"/>
    <s v="C1010"/>
    <s v="P106"/>
    <n v="5"/>
    <n v="8000"/>
    <n v="12"/>
    <n v="129967"/>
    <n v="11"/>
    <n v="1"/>
    <s v="Printer"/>
    <x v="1"/>
    <n v="6500"/>
    <n v="40000"/>
    <n v="4800"/>
    <n v="35200"/>
    <n v="2700"/>
    <s v="South-C1010-1033"/>
    <s v="Regular"/>
    <s v="Average"/>
    <n v="3"/>
    <x v="1"/>
    <n v="0.06"/>
    <n v="14296.37"/>
    <n v="11486.699013077312"/>
    <n v="350"/>
  </r>
  <r>
    <n v="1034"/>
    <s v="29-05-2025"/>
    <x v="3"/>
    <x v="4"/>
    <s v="C1022"/>
    <s v="P102"/>
    <n v="6"/>
    <n v="500"/>
    <n v="0"/>
    <n v="175210"/>
    <n v="8"/>
    <n v="4"/>
    <s v="Mouse"/>
    <x v="0"/>
    <n v="350"/>
    <n v="3000"/>
    <n v="0"/>
    <n v="3000"/>
    <n v="900"/>
    <s v="East-C1022-1034"/>
    <s v="Regular"/>
    <s v="Poor"/>
    <n v="2"/>
    <x v="4"/>
    <n v="0.04"/>
    <n v="56067.199999999997"/>
    <n v="4277.3881234546507"/>
    <n v="877"/>
  </r>
  <r>
    <n v="1035"/>
    <s v="12-05-2025"/>
    <x v="3"/>
    <x v="7"/>
    <s v="C1002"/>
    <s v="P105"/>
    <n v="9"/>
    <n v="2000"/>
    <n v="8"/>
    <n v="237465"/>
    <n v="10"/>
    <n v="1"/>
    <s v="Headset"/>
    <x v="0"/>
    <n v="1500"/>
    <n v="18000"/>
    <n v="1440"/>
    <n v="16560"/>
    <n v="3060"/>
    <s v="East-C1002-1035"/>
    <s v="Regular"/>
    <s v="Poor"/>
    <n v="2"/>
    <x v="4"/>
    <n v="0.04"/>
    <n v="23746.5"/>
    <n v="20876.946161074229"/>
    <n v="508"/>
  </r>
  <r>
    <n v="1036"/>
    <s v="05-05-2025"/>
    <x v="2"/>
    <x v="5"/>
    <s v="C1012"/>
    <s v="P109"/>
    <n v="3"/>
    <n v="7000"/>
    <n v="2"/>
    <n v="478324"/>
    <n v="10"/>
    <n v="3"/>
    <s v="Router"/>
    <x v="1"/>
    <n v="5000"/>
    <n v="21000"/>
    <n v="420"/>
    <n v="20580"/>
    <n v="5580"/>
    <s v="South-C1012-1036"/>
    <s v="Regular"/>
    <s v="Average"/>
    <n v="2"/>
    <x v="4"/>
    <n v="0.04"/>
    <n v="143497.20000000001"/>
    <n v="15434.170047305121"/>
    <n v="442"/>
  </r>
  <r>
    <n v="1037"/>
    <s v="26-11-2025"/>
    <x v="3"/>
    <x v="2"/>
    <s v="C1027"/>
    <s v="P102"/>
    <n v="8"/>
    <n v="500"/>
    <n v="2"/>
    <n v="321699"/>
    <n v="9"/>
    <n v="5"/>
    <s v="Mouse"/>
    <x v="0"/>
    <n v="350"/>
    <n v="4000"/>
    <n v="80"/>
    <n v="3920"/>
    <n v="1120"/>
    <s v="East-C1027-1037"/>
    <s v="Regular"/>
    <s v="Poor"/>
    <n v="4"/>
    <x v="5"/>
    <n v="0.08"/>
    <n v="144764.54999999999"/>
    <n v="6677.942117962858"/>
    <n v="846"/>
  </r>
  <r>
    <n v="1038"/>
    <s v="13-03-2025"/>
    <x v="1"/>
    <x v="5"/>
    <s v="C1016"/>
    <s v="P110"/>
    <n v="1"/>
    <n v="950"/>
    <n v="15"/>
    <n v="79743"/>
    <n v="12"/>
    <n v="5"/>
    <s v="Webcam"/>
    <x v="0"/>
    <n v="700"/>
    <n v="950"/>
    <n v="142.5"/>
    <n v="807.5"/>
    <n v="107.5"/>
    <s v="North-C1016-1038"/>
    <s v="Regular"/>
    <s v="Poor"/>
    <n v="1"/>
    <x v="10"/>
    <n v="0.02"/>
    <n v="47845.8"/>
    <n v="1773.8389917371221"/>
    <n v="991"/>
  </r>
  <r>
    <n v="1039"/>
    <s v="04-04-2025"/>
    <x v="1"/>
    <x v="1"/>
    <s v="C1014"/>
    <s v="P103"/>
    <n v="6"/>
    <n v="1500"/>
    <n v="2"/>
    <n v="398253"/>
    <n v="7"/>
    <n v="5"/>
    <s v="Keyboard"/>
    <x v="0"/>
    <n v="1200"/>
    <n v="9000"/>
    <n v="180"/>
    <n v="8820"/>
    <n v="1620"/>
    <s v="North-C1014-1039"/>
    <s v="Regular"/>
    <s v="Poor"/>
    <n v="2"/>
    <x v="11"/>
    <n v="0.04"/>
    <n v="139388.54999999999"/>
    <n v="7885.8867222898234"/>
    <n v="669"/>
  </r>
  <r>
    <n v="1040"/>
    <s v="31-07-2025"/>
    <x v="2"/>
    <x v="1"/>
    <s v="C1019"/>
    <s v="P110"/>
    <n v="1"/>
    <n v="950"/>
    <n v="15"/>
    <n v="355591"/>
    <n v="8"/>
    <n v="1"/>
    <s v="Webcam"/>
    <x v="0"/>
    <n v="700"/>
    <n v="950"/>
    <n v="142.5"/>
    <n v="807.5"/>
    <n v="107.5"/>
    <s v="South-C1019-1040"/>
    <s v="Regular"/>
    <s v="Poor"/>
    <n v="3"/>
    <x v="8"/>
    <n v="0.06"/>
    <n v="28447.279999999999"/>
    <n v="30932.302486913963"/>
    <n v="991"/>
  </r>
  <r>
    <n v="1041"/>
    <s v="28-03-2025"/>
    <x v="2"/>
    <x v="2"/>
    <s v="C1045"/>
    <s v="P105"/>
    <n v="4"/>
    <n v="2000"/>
    <n v="15"/>
    <n v="441609"/>
    <n v="11"/>
    <n v="2"/>
    <s v="Headset"/>
    <x v="0"/>
    <n v="1500"/>
    <n v="8000"/>
    <n v="1200"/>
    <n v="6800"/>
    <n v="800"/>
    <s v="South-C1045-1041"/>
    <s v="Regular"/>
    <s v="Poor"/>
    <n v="1"/>
    <x v="10"/>
    <n v="0.02"/>
    <n v="97153.98"/>
    <n v="20582.440818129235"/>
    <n v="729"/>
  </r>
  <r>
    <n v="1042"/>
    <s v="04-12-2025"/>
    <x v="2"/>
    <x v="7"/>
    <s v="C1050"/>
    <s v="P102"/>
    <n v="4"/>
    <n v="500"/>
    <n v="8"/>
    <n v="461032"/>
    <n v="11"/>
    <n v="4"/>
    <s v="Mouse"/>
    <x v="0"/>
    <n v="350"/>
    <n v="2000"/>
    <n v="160"/>
    <n v="1840"/>
    <n v="440"/>
    <s v="South-C1050-1042"/>
    <s v="Regular"/>
    <s v="Poor"/>
    <n v="4"/>
    <x v="0"/>
    <n v="0.08"/>
    <n v="202854.08"/>
    <n v="11915.612980603313"/>
    <n v="937"/>
  </r>
  <r>
    <n v="1043"/>
    <s v="05-04-2025"/>
    <x v="1"/>
    <x v="4"/>
    <s v="C1019"/>
    <s v="P105"/>
    <n v="10"/>
    <n v="2000"/>
    <n v="0"/>
    <n v="81417"/>
    <n v="9"/>
    <n v="1"/>
    <s v="Headset"/>
    <x v="0"/>
    <n v="1500"/>
    <n v="20000"/>
    <n v="0"/>
    <n v="20000"/>
    <n v="5000"/>
    <s v="North-C1019-1043"/>
    <s v="Regular"/>
    <s v="Average"/>
    <n v="2"/>
    <x v="11"/>
    <n v="0.04"/>
    <n v="7327.53"/>
    <n v="7120.0368841766931"/>
    <n v="453"/>
  </r>
  <r>
    <n v="1044"/>
    <s v="13-10-2025"/>
    <x v="0"/>
    <x v="4"/>
    <s v="C1049"/>
    <s v="P104"/>
    <n v="3"/>
    <n v="12000"/>
    <n v="5"/>
    <n v="118777"/>
    <n v="8"/>
    <n v="1"/>
    <s v="Monitor"/>
    <x v="1"/>
    <n v="9000"/>
    <n v="36000"/>
    <n v="1800"/>
    <n v="34200"/>
    <n v="7200"/>
    <s v="West-C1049-1044"/>
    <s v="Regular"/>
    <s v="Average"/>
    <n v="4"/>
    <x v="6"/>
    <n v="0.08"/>
    <n v="9502.16"/>
    <n v="10332.224641479057"/>
    <n v="355"/>
  </r>
  <r>
    <n v="1045"/>
    <s v="25-09-2025"/>
    <x v="0"/>
    <x v="5"/>
    <s v="C1028"/>
    <s v="P104"/>
    <n v="10"/>
    <n v="12000"/>
    <n v="10"/>
    <n v="469890"/>
    <n v="11"/>
    <n v="2"/>
    <s v="Monitor"/>
    <x v="1"/>
    <n v="9000"/>
    <n v="120000"/>
    <n v="12000"/>
    <n v="108000"/>
    <n v="18000"/>
    <s v="West-C1028-1045"/>
    <s v="High Value"/>
    <s v="Excellent"/>
    <n v="3"/>
    <x v="1"/>
    <n v="0.06"/>
    <n v="103375.8"/>
    <n v="21900.557090165159"/>
    <n v="154"/>
  </r>
  <r>
    <n v="1046"/>
    <s v="12-02-2025"/>
    <x v="3"/>
    <x v="3"/>
    <s v="C1005"/>
    <s v="P106"/>
    <n v="7"/>
    <n v="8000"/>
    <n v="8"/>
    <n v="201840"/>
    <n v="8"/>
    <n v="1"/>
    <s v="Printer"/>
    <x v="1"/>
    <n v="6500"/>
    <n v="56000"/>
    <n v="4480"/>
    <n v="51520"/>
    <n v="6020"/>
    <s v="East-C1005-1046"/>
    <s v="High Value"/>
    <s v="Good"/>
    <n v="1"/>
    <x v="9"/>
    <n v="0.02"/>
    <n v="16147.2"/>
    <n v="17557.744526601389"/>
    <n v="287"/>
  </r>
  <r>
    <n v="1047"/>
    <s v="27-05-2025"/>
    <x v="3"/>
    <x v="7"/>
    <s v="C1004"/>
    <s v="P110"/>
    <n v="3"/>
    <n v="950"/>
    <n v="10"/>
    <n v="196549"/>
    <n v="10"/>
    <n v="5"/>
    <s v="Webcam"/>
    <x v="0"/>
    <n v="700"/>
    <n v="2850"/>
    <n v="285"/>
    <n v="2565"/>
    <n v="465"/>
    <s v="East-C1004-1047"/>
    <s v="Regular"/>
    <s v="Poor"/>
    <n v="2"/>
    <x v="4"/>
    <n v="0.04"/>
    <n v="98274.5"/>
    <n v="4176.0853909550688"/>
    <n v="901"/>
  </r>
  <r>
    <n v="1048"/>
    <s v="20-07-2025"/>
    <x v="3"/>
    <x v="0"/>
    <s v="C1031"/>
    <s v="P110"/>
    <n v="4"/>
    <n v="950"/>
    <n v="15"/>
    <n v="142418"/>
    <n v="12"/>
    <n v="4"/>
    <s v="Webcam"/>
    <x v="0"/>
    <n v="700"/>
    <n v="3800"/>
    <n v="570"/>
    <n v="3230"/>
    <n v="430"/>
    <s v="East-C1031-1048"/>
    <s v="Regular"/>
    <s v="Poor"/>
    <n v="3"/>
    <x v="8"/>
    <n v="0.06"/>
    <n v="68360.639999999999"/>
    <n v="3750.4121745442885"/>
    <n v="871"/>
  </r>
  <r>
    <n v="1049"/>
    <s v="16-05-2025"/>
    <x v="3"/>
    <x v="3"/>
    <s v="C1016"/>
    <s v="P105"/>
    <n v="5"/>
    <n v="2000"/>
    <n v="5"/>
    <n v="264092"/>
    <n v="8"/>
    <n v="3"/>
    <s v="Headset"/>
    <x v="0"/>
    <n v="1500"/>
    <n v="10000"/>
    <n v="500"/>
    <n v="9500"/>
    <n v="2000"/>
    <s v="East-C1016-1049"/>
    <s v="Regular"/>
    <s v="Poor"/>
    <n v="2"/>
    <x v="4"/>
    <n v="0.04"/>
    <n v="63382.080000000002"/>
    <n v="8275.6834274401954"/>
    <n v="651"/>
  </r>
  <r>
    <n v="1050"/>
    <s v="21-06-2025"/>
    <x v="2"/>
    <x v="0"/>
    <s v="C1028"/>
    <s v="P106"/>
    <n v="6"/>
    <n v="8000"/>
    <n v="2"/>
    <n v="232335"/>
    <n v="7"/>
    <n v="2"/>
    <s v="Printer"/>
    <x v="1"/>
    <n v="6500"/>
    <n v="48000"/>
    <n v="960"/>
    <n v="47040"/>
    <n v="8040"/>
    <s v="South-C1028-1050"/>
    <s v="Regular"/>
    <s v="Average"/>
    <n v="2"/>
    <x v="3"/>
    <n v="0.04"/>
    <n v="32526.9"/>
    <n v="10402.237165929289"/>
    <n v="310"/>
  </r>
  <r>
    <n v="1051"/>
    <s v="27-12-2025"/>
    <x v="3"/>
    <x v="7"/>
    <s v="C1048"/>
    <s v="P103"/>
    <n v="7"/>
    <n v="1500"/>
    <n v="15"/>
    <n v="369836"/>
    <n v="7"/>
    <n v="5"/>
    <s v="Keyboard"/>
    <x v="0"/>
    <n v="1200"/>
    <n v="10500"/>
    <n v="1575"/>
    <n v="8925"/>
    <n v="525"/>
    <s v="East-C1048-1051"/>
    <s v="Regular"/>
    <s v="Poor"/>
    <n v="4"/>
    <x v="0"/>
    <n v="0.08"/>
    <n v="129442.6"/>
    <n v="7323.1960633687104"/>
    <n v="668"/>
  </r>
  <r>
    <n v="1052"/>
    <s v="31-10-2025"/>
    <x v="2"/>
    <x v="6"/>
    <s v="C1034"/>
    <s v="P103"/>
    <n v="6"/>
    <n v="1500"/>
    <n v="5"/>
    <n v="479666"/>
    <n v="9"/>
    <n v="5"/>
    <s v="Keyboard"/>
    <x v="0"/>
    <n v="1200"/>
    <n v="9000"/>
    <n v="450"/>
    <n v="8550"/>
    <n v="1350"/>
    <s v="South-C1034-1052"/>
    <s v="Regular"/>
    <s v="Poor"/>
    <n v="4"/>
    <x v="6"/>
    <n v="0.08"/>
    <n v="215849.7"/>
    <n v="9957.0772180043223"/>
    <n v="675"/>
  </r>
  <r>
    <n v="1053"/>
    <s v="21-11-2025"/>
    <x v="3"/>
    <x v="2"/>
    <s v="C1026"/>
    <s v="P104"/>
    <n v="1"/>
    <n v="12000"/>
    <n v="15"/>
    <n v="91852"/>
    <n v="9"/>
    <n v="1"/>
    <s v="Monitor"/>
    <x v="1"/>
    <n v="9000"/>
    <n v="12000"/>
    <n v="1800"/>
    <n v="10200"/>
    <n v="1200"/>
    <s v="East-C1026-1053"/>
    <s v="Regular"/>
    <s v="Poor"/>
    <n v="4"/>
    <x v="5"/>
    <n v="0.08"/>
    <n v="8266.68"/>
    <n v="8032.5930442708232"/>
    <n v="630"/>
  </r>
  <r>
    <n v="1054"/>
    <s v="13-05-2025"/>
    <x v="2"/>
    <x v="7"/>
    <s v="C1031"/>
    <s v="P102"/>
    <n v="8"/>
    <n v="500"/>
    <n v="15"/>
    <n v="145417"/>
    <n v="7"/>
    <n v="5"/>
    <s v="Mouse"/>
    <x v="0"/>
    <n v="350"/>
    <n v="4000"/>
    <n v="600"/>
    <n v="3400"/>
    <n v="600"/>
    <s v="South-C1031-1054"/>
    <s v="Regular"/>
    <s v="Poor"/>
    <n v="2"/>
    <x v="4"/>
    <n v="0.04"/>
    <n v="50895.95"/>
    <n v="2879.4308881420084"/>
    <n v="868"/>
  </r>
  <r>
    <n v="1055"/>
    <s v="19-08-2025"/>
    <x v="2"/>
    <x v="6"/>
    <s v="C1007"/>
    <s v="P108"/>
    <n v="3"/>
    <n v="2500"/>
    <n v="0"/>
    <n v="388246"/>
    <n v="9"/>
    <n v="1"/>
    <s v="Speaker"/>
    <x v="0"/>
    <n v="1800"/>
    <n v="7500"/>
    <n v="0"/>
    <n v="7500"/>
    <n v="2100"/>
    <s v="South-C1007-1055"/>
    <s v="Regular"/>
    <s v="Poor"/>
    <n v="3"/>
    <x v="7"/>
    <n v="0.06"/>
    <n v="34942.14"/>
    <n v="33952.686050014912"/>
    <n v="705"/>
  </r>
  <r>
    <n v="1056"/>
    <s v="09-01-2025"/>
    <x v="0"/>
    <x v="3"/>
    <s v="C1030"/>
    <s v="P110"/>
    <n v="10"/>
    <n v="950"/>
    <n v="8"/>
    <n v="169994"/>
    <n v="11"/>
    <n v="4"/>
    <s v="Webcam"/>
    <x v="0"/>
    <n v="700"/>
    <n v="9500"/>
    <n v="760"/>
    <n v="8740"/>
    <n v="1740"/>
    <s v="West-C1030-1056"/>
    <s v="Regular"/>
    <s v="Poor"/>
    <n v="1"/>
    <x v="2"/>
    <n v="0.02"/>
    <n v="74797.36"/>
    <n v="4393.5837708113095"/>
    <n v="674"/>
  </r>
  <r>
    <n v="1057"/>
    <s v="02-03-2025"/>
    <x v="3"/>
    <x v="1"/>
    <s v="C1025"/>
    <s v="P107"/>
    <n v="10"/>
    <n v="35000"/>
    <n v="5"/>
    <n v="350515"/>
    <n v="12"/>
    <n v="5"/>
    <s v="Tablet"/>
    <x v="1"/>
    <n v="29000"/>
    <n v="350000"/>
    <n v="17500"/>
    <n v="332500"/>
    <n v="42500"/>
    <s v="East-C1025-1057"/>
    <s v="High Value"/>
    <s v="Excellent"/>
    <n v="1"/>
    <x v="10"/>
    <n v="0.02"/>
    <n v="210309"/>
    <n v="7797.0125802733446"/>
    <n v="38"/>
  </r>
  <r>
    <n v="1058"/>
    <s v="29-01-2025"/>
    <x v="1"/>
    <x v="5"/>
    <s v="C1002"/>
    <s v="P105"/>
    <n v="7"/>
    <n v="2000"/>
    <n v="0"/>
    <n v="286706"/>
    <n v="12"/>
    <n v="4"/>
    <s v="Headset"/>
    <x v="0"/>
    <n v="1500"/>
    <n v="14000"/>
    <n v="0"/>
    <n v="14000"/>
    <n v="3500"/>
    <s v="North-C1002-1058"/>
    <s v="Regular"/>
    <s v="Poor"/>
    <n v="1"/>
    <x v="2"/>
    <n v="0.02"/>
    <n v="137618.88"/>
    <n v="7550.0686213462823"/>
    <n v="539"/>
  </r>
  <r>
    <n v="1059"/>
    <s v="11-05-2025"/>
    <x v="1"/>
    <x v="3"/>
    <s v="C1016"/>
    <s v="P109"/>
    <n v="1"/>
    <n v="7000"/>
    <n v="2"/>
    <n v="246918"/>
    <n v="7"/>
    <n v="5"/>
    <s v="Router"/>
    <x v="1"/>
    <n v="5000"/>
    <n v="7000"/>
    <n v="140"/>
    <n v="6860"/>
    <n v="1860"/>
    <s v="North-C1016-1059"/>
    <s v="Regular"/>
    <s v="Poor"/>
    <n v="2"/>
    <x v="4"/>
    <n v="0.04"/>
    <n v="86421.3"/>
    <n v="4889.272341186027"/>
    <n v="727"/>
  </r>
  <r>
    <n v="1060"/>
    <s v="18-12-2025"/>
    <x v="1"/>
    <x v="2"/>
    <s v="C1046"/>
    <s v="P109"/>
    <n v="6"/>
    <n v="7000"/>
    <n v="5"/>
    <n v="323659"/>
    <n v="10"/>
    <n v="3"/>
    <s v="Router"/>
    <x v="1"/>
    <n v="5000"/>
    <n v="42000"/>
    <n v="2100"/>
    <n v="39900"/>
    <n v="9900"/>
    <s v="North-C1046-1060"/>
    <s v="Regular"/>
    <s v="Average"/>
    <n v="4"/>
    <x v="0"/>
    <n v="0.08"/>
    <n v="97097.7"/>
    <n v="10443.565539970246"/>
    <n v="337"/>
  </r>
  <r>
    <n v="1061"/>
    <s v="18-02-2025"/>
    <x v="0"/>
    <x v="4"/>
    <s v="C1020"/>
    <s v="P110"/>
    <n v="9"/>
    <n v="950"/>
    <n v="8"/>
    <n v="459664"/>
    <n v="8"/>
    <n v="1"/>
    <s v="Webcam"/>
    <x v="0"/>
    <n v="700"/>
    <n v="8550"/>
    <n v="684"/>
    <n v="7866"/>
    <n v="1566"/>
    <s v="West-C1020-1061"/>
    <s v="Regular"/>
    <s v="Poor"/>
    <n v="1"/>
    <x v="9"/>
    <n v="0.02"/>
    <n v="36773.120000000003"/>
    <n v="39985.449267120988"/>
    <n v="690"/>
  </r>
  <r>
    <n v="1062"/>
    <s v="07-10-2025"/>
    <x v="3"/>
    <x v="1"/>
    <s v="C1039"/>
    <s v="P106"/>
    <n v="4"/>
    <n v="8000"/>
    <n v="0"/>
    <n v="347958"/>
    <n v="7"/>
    <n v="3"/>
    <s v="Printer"/>
    <x v="1"/>
    <n v="6500"/>
    <n v="32000"/>
    <n v="0"/>
    <n v="32000"/>
    <n v="6000"/>
    <s v="East-C1039-1062"/>
    <s v="Regular"/>
    <s v="Average"/>
    <n v="4"/>
    <x v="6"/>
    <n v="0.08"/>
    <n v="73071.179999999993"/>
    <n v="10743.93287108109"/>
    <n v="363"/>
  </r>
  <r>
    <n v="1063"/>
    <s v="23-06-2025"/>
    <x v="0"/>
    <x v="5"/>
    <s v="C1046"/>
    <s v="P104"/>
    <n v="5"/>
    <n v="12000"/>
    <n v="12"/>
    <n v="443507"/>
    <n v="10"/>
    <n v="1"/>
    <s v="Monitor"/>
    <x v="1"/>
    <n v="9000"/>
    <n v="60000"/>
    <n v="7200"/>
    <n v="52800"/>
    <n v="7800"/>
    <s v="West-C1046-1063"/>
    <s v="High Value"/>
    <s v="Good"/>
    <n v="2"/>
    <x v="3"/>
    <n v="0.04"/>
    <n v="44350.7"/>
    <n v="38991.311397719866"/>
    <n v="285"/>
  </r>
  <r>
    <n v="1064"/>
    <s v="05-07-2025"/>
    <x v="2"/>
    <x v="0"/>
    <s v="C1013"/>
    <s v="P110"/>
    <n v="8"/>
    <n v="950"/>
    <n v="8"/>
    <n v="190296"/>
    <n v="7"/>
    <n v="5"/>
    <s v="Webcam"/>
    <x v="0"/>
    <n v="700"/>
    <n v="7600"/>
    <n v="608"/>
    <n v="6992"/>
    <n v="1392"/>
    <s v="South-C1013-1064"/>
    <s v="Regular"/>
    <s v="Poor"/>
    <n v="3"/>
    <x v="8"/>
    <n v="0.06"/>
    <n v="66603.600000000006"/>
    <n v="3768.0888774343553"/>
    <n v="722"/>
  </r>
  <r>
    <n v="1065"/>
    <s v="27-03-2025"/>
    <x v="2"/>
    <x v="6"/>
    <s v="C1009"/>
    <s v="P108"/>
    <n v="8"/>
    <n v="2500"/>
    <n v="15"/>
    <n v="271260"/>
    <n v="7"/>
    <n v="1"/>
    <s v="Speaker"/>
    <x v="0"/>
    <n v="1800"/>
    <n v="20000"/>
    <n v="3000"/>
    <n v="17000"/>
    <n v="2600"/>
    <s v="South-C1009-1065"/>
    <s v="Regular"/>
    <s v="Poor"/>
    <n v="1"/>
    <x v="10"/>
    <n v="0.02"/>
    <n v="18988.2"/>
    <n v="23471.245146580928"/>
    <n v="503"/>
  </r>
  <r>
    <n v="1066"/>
    <s v="18-07-2025"/>
    <x v="0"/>
    <x v="5"/>
    <s v="C1047"/>
    <s v="P105"/>
    <n v="7"/>
    <n v="2000"/>
    <n v="10"/>
    <n v="80077"/>
    <n v="8"/>
    <n v="1"/>
    <s v="Headset"/>
    <x v="0"/>
    <n v="1500"/>
    <n v="14000"/>
    <n v="1400"/>
    <n v="12600"/>
    <n v="2100"/>
    <s v="West-C1047-1066"/>
    <s v="Regular"/>
    <s v="Poor"/>
    <n v="3"/>
    <x v="8"/>
    <n v="0.06"/>
    <n v="6406.16"/>
    <n v="6965.7724358732621"/>
    <n v="575"/>
  </r>
  <r>
    <n v="1067"/>
    <s v="23-09-2025"/>
    <x v="2"/>
    <x v="3"/>
    <s v="C1021"/>
    <s v="P109"/>
    <n v="2"/>
    <n v="7000"/>
    <n v="8"/>
    <n v="311541"/>
    <n v="11"/>
    <n v="5"/>
    <s v="Router"/>
    <x v="1"/>
    <n v="5000"/>
    <n v="14000"/>
    <n v="1120"/>
    <n v="12880"/>
    <n v="2880"/>
    <s v="South-C1021-1067"/>
    <s v="Regular"/>
    <s v="Poor"/>
    <n v="3"/>
    <x v="1"/>
    <n v="0.06"/>
    <n v="171347.55"/>
    <n v="6773.6562264743689"/>
    <n v="568"/>
  </r>
  <r>
    <n v="1068"/>
    <s v="26-10-2025"/>
    <x v="0"/>
    <x v="0"/>
    <s v="C1003"/>
    <s v="P103"/>
    <n v="3"/>
    <n v="1500"/>
    <n v="0"/>
    <n v="368301"/>
    <n v="8"/>
    <n v="1"/>
    <s v="Keyboard"/>
    <x v="0"/>
    <n v="1200"/>
    <n v="4500"/>
    <n v="0"/>
    <n v="4500"/>
    <n v="900"/>
    <s v="West-C1003-1068"/>
    <s v="Regular"/>
    <s v="Poor"/>
    <n v="4"/>
    <x v="6"/>
    <n v="0.08"/>
    <n v="29464.080000000002"/>
    <n v="32037.925420589665"/>
    <n v="805"/>
  </r>
  <r>
    <n v="1069"/>
    <s v="06-05-2025"/>
    <x v="0"/>
    <x v="0"/>
    <s v="C1020"/>
    <s v="P102"/>
    <n v="9"/>
    <n v="500"/>
    <n v="8"/>
    <n v="442412"/>
    <n v="11"/>
    <n v="5"/>
    <s v="Mouse"/>
    <x v="0"/>
    <n v="350"/>
    <n v="4500"/>
    <n v="360"/>
    <n v="4140"/>
    <n v="990"/>
    <s v="West-C1020-1069"/>
    <s v="Regular"/>
    <s v="Poor"/>
    <n v="2"/>
    <x v="4"/>
    <n v="0.04"/>
    <n v="243326.6"/>
    <n v="9619.1088764142733"/>
    <n v="829"/>
  </r>
  <r>
    <n v="1070"/>
    <s v="31-05-2025"/>
    <x v="1"/>
    <x v="0"/>
    <s v="C1022"/>
    <s v="P102"/>
    <n v="3"/>
    <n v="500"/>
    <n v="8"/>
    <n v="409835"/>
    <n v="9"/>
    <n v="3"/>
    <s v="Mouse"/>
    <x v="0"/>
    <n v="350"/>
    <n v="1500"/>
    <n v="120"/>
    <n v="1380"/>
    <n v="330"/>
    <s v="North-C1022-1070"/>
    <s v="Regular"/>
    <s v="Poor"/>
    <n v="2"/>
    <x v="4"/>
    <n v="0.04"/>
    <n v="110655.45"/>
    <n v="13032.64343468679"/>
    <n v="954"/>
  </r>
  <r>
    <n v="1071"/>
    <s v="28-02-2025"/>
    <x v="0"/>
    <x v="5"/>
    <s v="C1039"/>
    <s v="P105"/>
    <n v="9"/>
    <n v="2000"/>
    <n v="2"/>
    <n v="98696"/>
    <n v="7"/>
    <n v="5"/>
    <s v="Headset"/>
    <x v="0"/>
    <n v="1500"/>
    <n v="18000"/>
    <n v="360"/>
    <n v="17640"/>
    <n v="4140"/>
    <s v="West-C1039-1071"/>
    <s v="Regular"/>
    <s v="Poor"/>
    <n v="1"/>
    <x v="9"/>
    <n v="0.02"/>
    <n v="34543.599999999999"/>
    <n v="1954.2990911383376"/>
    <n v="487"/>
  </r>
  <r>
    <n v="1072"/>
    <s v="20-11-2025"/>
    <x v="0"/>
    <x v="5"/>
    <s v="C1027"/>
    <s v="P108"/>
    <n v="2"/>
    <n v="2500"/>
    <n v="10"/>
    <n v="304976"/>
    <n v="7"/>
    <n v="5"/>
    <s v="Speaker"/>
    <x v="0"/>
    <n v="1800"/>
    <n v="5000"/>
    <n v="500"/>
    <n v="4500"/>
    <n v="900"/>
    <s v="West-C1027-1072"/>
    <s v="Regular"/>
    <s v="Poor"/>
    <n v="4"/>
    <x v="5"/>
    <n v="0.08"/>
    <n v="106741.6"/>
    <n v="6038.8903260416391"/>
    <n v="805"/>
  </r>
  <r>
    <n v="1073"/>
    <s v="18-05-2025"/>
    <x v="2"/>
    <x v="6"/>
    <s v="C1030"/>
    <s v="P105"/>
    <n v="7"/>
    <n v="2000"/>
    <n v="10"/>
    <n v="278181"/>
    <n v="8"/>
    <n v="3"/>
    <s v="Headset"/>
    <x v="0"/>
    <n v="1500"/>
    <n v="14000"/>
    <n v="1400"/>
    <n v="12600"/>
    <n v="2100"/>
    <s v="South-C1030-1073"/>
    <s v="Regular"/>
    <s v="Poor"/>
    <n v="2"/>
    <x v="4"/>
    <n v="0.04"/>
    <n v="66763.44"/>
    <n v="8717.1814804262958"/>
    <n v="575"/>
  </r>
  <r>
    <n v="1074"/>
    <s v="30-10-2025"/>
    <x v="0"/>
    <x v="7"/>
    <s v="C1011"/>
    <s v="P109"/>
    <n v="3"/>
    <n v="7000"/>
    <n v="5"/>
    <n v="359404"/>
    <n v="10"/>
    <n v="3"/>
    <s v="Router"/>
    <x v="1"/>
    <n v="5000"/>
    <n v="21000"/>
    <n v="1050"/>
    <n v="19950"/>
    <n v="4950"/>
    <s v="West-C1011-1074"/>
    <s v="Regular"/>
    <s v="Poor"/>
    <n v="4"/>
    <x v="6"/>
    <n v="0.08"/>
    <n v="107821.2"/>
    <n v="11596.956146213966"/>
    <n v="458"/>
  </r>
  <r>
    <n v="1075"/>
    <s v="11-05-2025"/>
    <x v="1"/>
    <x v="6"/>
    <s v="C1013"/>
    <s v="P108"/>
    <n v="5"/>
    <n v="2500"/>
    <n v="2"/>
    <n v="311821"/>
    <n v="10"/>
    <n v="5"/>
    <s v="Speaker"/>
    <x v="0"/>
    <n v="1800"/>
    <n v="12500"/>
    <n v="250"/>
    <n v="12250"/>
    <n v="3250"/>
    <s v="North-C1013-1075"/>
    <s v="Regular"/>
    <s v="Poor"/>
    <n v="2"/>
    <x v="4"/>
    <n v="0.04"/>
    <n v="155910.5"/>
    <n v="6625.2747289123845"/>
    <n v="587"/>
  </r>
  <r>
    <n v="1076"/>
    <s v="08-11-2025"/>
    <x v="1"/>
    <x v="7"/>
    <s v="C1030"/>
    <s v="P106"/>
    <n v="6"/>
    <n v="8000"/>
    <n v="0"/>
    <n v="306304"/>
    <n v="12"/>
    <n v="3"/>
    <s v="Printer"/>
    <x v="1"/>
    <n v="6500"/>
    <n v="48000"/>
    <n v="0"/>
    <n v="48000"/>
    <n v="9000"/>
    <s v="North-C1030-1076"/>
    <s v="Regular"/>
    <s v="Average"/>
    <n v="4"/>
    <x v="5"/>
    <n v="0.08"/>
    <n v="110269.44"/>
    <n v="10173.675952915572"/>
    <n v="308"/>
  </r>
  <r>
    <n v="1077"/>
    <s v="08-01-2025"/>
    <x v="1"/>
    <x v="3"/>
    <s v="C1043"/>
    <s v="P108"/>
    <n v="6"/>
    <n v="2500"/>
    <n v="0"/>
    <n v="69038"/>
    <n v="8"/>
    <n v="5"/>
    <s v="Speaker"/>
    <x v="0"/>
    <n v="1800"/>
    <n v="15000"/>
    <n v="0"/>
    <n v="15000"/>
    <n v="4200"/>
    <s v="North-C1043-1077"/>
    <s v="Regular"/>
    <s v="Poor"/>
    <n v="1"/>
    <x v="2"/>
    <n v="0.02"/>
    <n v="27615.200000000001"/>
    <n v="1399.8417088835038"/>
    <n v="526"/>
  </r>
  <r>
    <n v="1078"/>
    <s v="13-05-2025"/>
    <x v="0"/>
    <x v="5"/>
    <s v="C1031"/>
    <s v="P109"/>
    <n v="8"/>
    <n v="7000"/>
    <n v="12"/>
    <n v="481086"/>
    <n v="12"/>
    <n v="3"/>
    <s v="Router"/>
    <x v="1"/>
    <n v="5000"/>
    <n v="56000"/>
    <n v="6720"/>
    <n v="49280"/>
    <n v="9280"/>
    <s v="West-C1031-1078"/>
    <s v="Regular"/>
    <s v="Average"/>
    <n v="2"/>
    <x v="4"/>
    <n v="0.04"/>
    <n v="173190.96"/>
    <n v="15978.939450625328"/>
    <n v="297"/>
  </r>
  <r>
    <n v="1079"/>
    <s v="03-02-2025"/>
    <x v="3"/>
    <x v="0"/>
    <s v="C1022"/>
    <s v="P104"/>
    <n v="8"/>
    <n v="12000"/>
    <n v="0"/>
    <n v="145355"/>
    <n v="7"/>
    <n v="3"/>
    <s v="Monitor"/>
    <x v="1"/>
    <n v="9000"/>
    <n v="96000"/>
    <n v="0"/>
    <n v="96000"/>
    <n v="24000"/>
    <s v="East-C1022-1079"/>
    <s v="High Value"/>
    <s v="Good"/>
    <n v="1"/>
    <x v="9"/>
    <n v="0.02"/>
    <n v="30524.55"/>
    <n v="4488.1404148661386"/>
    <n v="172"/>
  </r>
  <r>
    <n v="1080"/>
    <s v="11-06-2025"/>
    <x v="3"/>
    <x v="5"/>
    <s v="C1023"/>
    <s v="P108"/>
    <n v="9"/>
    <n v="2500"/>
    <n v="8"/>
    <n v="351135"/>
    <n v="12"/>
    <n v="5"/>
    <s v="Speaker"/>
    <x v="0"/>
    <n v="1800"/>
    <n v="22500"/>
    <n v="1800"/>
    <n v="20700"/>
    <n v="4500"/>
    <s v="East-C1023-1080"/>
    <s v="Regular"/>
    <s v="Average"/>
    <n v="2"/>
    <x v="3"/>
    <n v="0.04"/>
    <n v="210681"/>
    <n v="7810.8041378379839"/>
    <n v="438"/>
  </r>
  <r>
    <n v="1081"/>
    <s v="22-10-2025"/>
    <x v="3"/>
    <x v="7"/>
    <s v="C1019"/>
    <s v="P104"/>
    <n v="6"/>
    <n v="12000"/>
    <n v="8"/>
    <n v="80733"/>
    <n v="11"/>
    <n v="3"/>
    <s v="Monitor"/>
    <x v="1"/>
    <n v="9000"/>
    <n v="72000"/>
    <n v="5760"/>
    <n v="66240"/>
    <n v="12240"/>
    <s v="East-C1019-1081"/>
    <s v="High Value"/>
    <s v="Good"/>
    <n v="4"/>
    <x v="6"/>
    <n v="0.08"/>
    <n v="26641.89"/>
    <n v="2643.0948490069259"/>
    <n v="230"/>
  </r>
  <r>
    <n v="1082"/>
    <s v="25-03-2025"/>
    <x v="0"/>
    <x v="7"/>
    <s v="C1017"/>
    <s v="P102"/>
    <n v="5"/>
    <n v="500"/>
    <n v="10"/>
    <n v="94670"/>
    <n v="11"/>
    <n v="4"/>
    <s v="Mouse"/>
    <x v="0"/>
    <n v="350"/>
    <n v="2500"/>
    <n v="250"/>
    <n v="2250"/>
    <n v="500"/>
    <s v="West-C1017-1082"/>
    <s v="Regular"/>
    <s v="Poor"/>
    <n v="1"/>
    <x v="10"/>
    <n v="0.02"/>
    <n v="41654.800000000003"/>
    <n v="2446.7956256262378"/>
    <n v="921"/>
  </r>
  <r>
    <n v="1083"/>
    <s v="01-08-2025"/>
    <x v="3"/>
    <x v="5"/>
    <s v="C1048"/>
    <s v="P104"/>
    <n v="2"/>
    <n v="12000"/>
    <n v="12"/>
    <n v="120841"/>
    <n v="10"/>
    <n v="2"/>
    <s v="Monitor"/>
    <x v="1"/>
    <n v="9000"/>
    <n v="24000"/>
    <n v="2880"/>
    <n v="21120"/>
    <n v="3120"/>
    <s v="East-C1048-1083"/>
    <s v="Regular"/>
    <s v="Average"/>
    <n v="3"/>
    <x v="7"/>
    <n v="0.06"/>
    <n v="24168.2"/>
    <n v="5576.1990435518328"/>
    <n v="429"/>
  </r>
  <r>
    <n v="1084"/>
    <s v="03-05-2025"/>
    <x v="0"/>
    <x v="7"/>
    <s v="C1017"/>
    <s v="P108"/>
    <n v="6"/>
    <n v="2500"/>
    <n v="0"/>
    <n v="183639"/>
    <n v="7"/>
    <n v="4"/>
    <s v="Speaker"/>
    <x v="0"/>
    <n v="1800"/>
    <n v="15000"/>
    <n v="0"/>
    <n v="15000"/>
    <n v="4200"/>
    <s v="West-C1017-1084"/>
    <s v="Regular"/>
    <s v="Poor"/>
    <n v="2"/>
    <x v="4"/>
    <n v="0.04"/>
    <n v="51418.92"/>
    <n v="4397.4644235663527"/>
    <n v="526"/>
  </r>
  <r>
    <n v="1085"/>
    <s v="22-10-2025"/>
    <x v="0"/>
    <x v="4"/>
    <s v="C1020"/>
    <s v="P109"/>
    <n v="6"/>
    <n v="7000"/>
    <n v="2"/>
    <n v="394688"/>
    <n v="8"/>
    <n v="3"/>
    <s v="Router"/>
    <x v="1"/>
    <n v="5000"/>
    <n v="42000"/>
    <n v="840"/>
    <n v="41160"/>
    <n v="11160"/>
    <s v="West-C1020-1085"/>
    <s v="Regular"/>
    <s v="Average"/>
    <n v="4"/>
    <x v="6"/>
    <n v="0.08"/>
    <n v="94725.119999999995"/>
    <n v="12368.087411241218"/>
    <n v="331"/>
  </r>
  <r>
    <n v="1086"/>
    <s v="26-06-2025"/>
    <x v="0"/>
    <x v="3"/>
    <s v="C1016"/>
    <s v="P101"/>
    <n v="1"/>
    <n v="55000"/>
    <n v="12"/>
    <n v="68976"/>
    <n v="7"/>
    <n v="2"/>
    <s v="Laptop"/>
    <x v="1"/>
    <n v="45000"/>
    <n v="55000"/>
    <n v="6600"/>
    <n v="48400"/>
    <n v="3400"/>
    <s v="West-C1016-1086"/>
    <s v="Regular"/>
    <s v="Average"/>
    <n v="2"/>
    <x v="3"/>
    <n v="0.04"/>
    <n v="9656.64"/>
    <n v="3088.2334162185584"/>
    <n v="305"/>
  </r>
  <r>
    <n v="1087"/>
    <s v="21-07-2025"/>
    <x v="0"/>
    <x v="6"/>
    <s v="C1001"/>
    <s v="P109"/>
    <n v="3"/>
    <n v="7000"/>
    <n v="2"/>
    <n v="398173"/>
    <n v="12"/>
    <n v="5"/>
    <s v="Router"/>
    <x v="1"/>
    <n v="5000"/>
    <n v="21000"/>
    <n v="420"/>
    <n v="20580"/>
    <n v="5580"/>
    <s v="West-C1001-1087"/>
    <s v="Regular"/>
    <s v="Average"/>
    <n v="3"/>
    <x v="8"/>
    <n v="0.06"/>
    <n v="238903.8"/>
    <n v="8857.1384680403935"/>
    <n v="442"/>
  </r>
  <r>
    <n v="1088"/>
    <s v="26-11-2025"/>
    <x v="1"/>
    <x v="1"/>
    <s v="C1002"/>
    <s v="P102"/>
    <n v="9"/>
    <n v="500"/>
    <n v="5"/>
    <n v="391281"/>
    <n v="8"/>
    <n v="4"/>
    <s v="Mouse"/>
    <x v="0"/>
    <n v="350"/>
    <n v="4500"/>
    <n v="225"/>
    <n v="4275"/>
    <n v="1125"/>
    <s v="North-C1002-1088"/>
    <s v="Regular"/>
    <s v="Poor"/>
    <n v="4"/>
    <x v="5"/>
    <n v="0.08"/>
    <n v="125209.92"/>
    <n v="9552.312666705433"/>
    <n v="819"/>
  </r>
  <r>
    <n v="1089"/>
    <s v="25-10-2025"/>
    <x v="2"/>
    <x v="2"/>
    <s v="C1016"/>
    <s v="P103"/>
    <n v="8"/>
    <n v="1500"/>
    <n v="15"/>
    <n v="226953"/>
    <n v="11"/>
    <n v="3"/>
    <s v="Keyboard"/>
    <x v="0"/>
    <n v="1200"/>
    <n v="12000"/>
    <n v="1800"/>
    <n v="10200"/>
    <n v="600"/>
    <s v="South-C1016-1089"/>
    <s v="Regular"/>
    <s v="Poor"/>
    <n v="4"/>
    <x v="6"/>
    <n v="0.08"/>
    <n v="74894.490000000005"/>
    <n v="7430.1500658549639"/>
    <n v="630"/>
  </r>
  <r>
    <n v="1090"/>
    <s v="09-06-2025"/>
    <x v="2"/>
    <x v="0"/>
    <s v="C1031"/>
    <s v="P106"/>
    <n v="7"/>
    <n v="8000"/>
    <n v="2"/>
    <n v="248319"/>
    <n v="12"/>
    <n v="4"/>
    <s v="Printer"/>
    <x v="1"/>
    <n v="6500"/>
    <n v="56000"/>
    <n v="1120"/>
    <n v="54880"/>
    <n v="9380"/>
    <s v="South-C1031-1090"/>
    <s v="High Value"/>
    <s v="Good"/>
    <n v="2"/>
    <x v="3"/>
    <n v="0.04"/>
    <n v="119193.12"/>
    <n v="6539.1916806208701"/>
    <n v="273"/>
  </r>
  <r>
    <n v="1091"/>
    <s v="17-03-2025"/>
    <x v="2"/>
    <x v="2"/>
    <s v="C1031"/>
    <s v="P102"/>
    <n v="7"/>
    <n v="500"/>
    <n v="12"/>
    <n v="361089"/>
    <n v="10"/>
    <n v="1"/>
    <s v="Mouse"/>
    <x v="0"/>
    <n v="350"/>
    <n v="3500"/>
    <n v="420"/>
    <n v="3080"/>
    <n v="630"/>
    <s v="South-C1031-1091"/>
    <s v="Regular"/>
    <s v="Poor"/>
    <n v="1"/>
    <x v="10"/>
    <n v="0.02"/>
    <n v="36108.9"/>
    <n v="31745.459803996931"/>
    <n v="875"/>
  </r>
  <r>
    <n v="1092"/>
    <s v="09-06-2025"/>
    <x v="0"/>
    <x v="0"/>
    <s v="C1007"/>
    <s v="P109"/>
    <n v="4"/>
    <n v="7000"/>
    <n v="5"/>
    <n v="298385"/>
    <n v="12"/>
    <n v="5"/>
    <s v="Router"/>
    <x v="1"/>
    <n v="5000"/>
    <n v="28000"/>
    <n v="1400"/>
    <n v="26600"/>
    <n v="6600"/>
    <s v="West-C1007-1092"/>
    <s v="Regular"/>
    <s v="Average"/>
    <n v="2"/>
    <x v="3"/>
    <n v="0.04"/>
    <n v="179031"/>
    <n v="6637.4095224594148"/>
    <n v="391"/>
  </r>
  <r>
    <n v="1093"/>
    <s v="29-07-2025"/>
    <x v="0"/>
    <x v="6"/>
    <s v="C1028"/>
    <s v="P106"/>
    <n v="1"/>
    <n v="8000"/>
    <n v="8"/>
    <n v="384838"/>
    <n v="11"/>
    <n v="1"/>
    <s v="Printer"/>
    <x v="1"/>
    <n v="6500"/>
    <n v="8000"/>
    <n v="640"/>
    <n v="7360"/>
    <n v="860"/>
    <s v="West-C1028-1093"/>
    <s v="Regular"/>
    <s v="Poor"/>
    <n v="3"/>
    <x v="8"/>
    <n v="0.06"/>
    <n v="42332.18"/>
    <n v="34012.62070213705"/>
    <n v="709"/>
  </r>
  <r>
    <n v="1094"/>
    <s v="14-02-2025"/>
    <x v="0"/>
    <x v="2"/>
    <s v="C1024"/>
    <s v="P109"/>
    <n v="1"/>
    <n v="7000"/>
    <n v="12"/>
    <n v="392238"/>
    <n v="8"/>
    <n v="5"/>
    <s v="Router"/>
    <x v="1"/>
    <n v="5000"/>
    <n v="7000"/>
    <n v="840"/>
    <n v="6160"/>
    <n v="1160"/>
    <s v="West-C1024-1094"/>
    <s v="Regular"/>
    <s v="Poor"/>
    <n v="1"/>
    <x v="9"/>
    <n v="0.02"/>
    <n v="156895.20000000001"/>
    <n v="7953.1723428988062"/>
    <n v="756"/>
  </r>
  <r>
    <n v="1095"/>
    <s v="08-09-2025"/>
    <x v="1"/>
    <x v="6"/>
    <s v="C1021"/>
    <s v="P103"/>
    <n v="5"/>
    <n v="1500"/>
    <n v="0"/>
    <n v="292612"/>
    <n v="11"/>
    <n v="5"/>
    <s v="Keyboard"/>
    <x v="0"/>
    <n v="1200"/>
    <n v="7500"/>
    <n v="0"/>
    <n v="7500"/>
    <n v="1500"/>
    <s v="North-C1021-1095"/>
    <s v="Regular"/>
    <s v="Poor"/>
    <n v="3"/>
    <x v="1"/>
    <n v="0.06"/>
    <n v="160936.6"/>
    <n v="6362.093900132304"/>
    <n v="705"/>
  </r>
  <r>
    <n v="1096"/>
    <s v="09-03-2025"/>
    <x v="1"/>
    <x v="5"/>
    <s v="C1040"/>
    <s v="P102"/>
    <n v="7"/>
    <n v="500"/>
    <n v="10"/>
    <n v="377261"/>
    <n v="9"/>
    <n v="3"/>
    <s v="Mouse"/>
    <x v="0"/>
    <n v="350"/>
    <n v="3500"/>
    <n v="350"/>
    <n v="3150"/>
    <n v="700"/>
    <s v="North-C1040-1096"/>
    <s v="Regular"/>
    <s v="Poor"/>
    <n v="1"/>
    <x v="10"/>
    <n v="0.02"/>
    <n v="101860.47"/>
    <n v="11996.798943021884"/>
    <n v="874"/>
  </r>
  <r>
    <n v="1097"/>
    <s v="08-07-2025"/>
    <x v="1"/>
    <x v="5"/>
    <s v="C1012"/>
    <s v="P105"/>
    <n v="3"/>
    <n v="2000"/>
    <n v="0"/>
    <n v="281239"/>
    <n v="10"/>
    <n v="4"/>
    <s v="Headset"/>
    <x v="0"/>
    <n v="1500"/>
    <n v="6000"/>
    <n v="0"/>
    <n v="6000"/>
    <n v="1500"/>
    <s v="North-C1012-1097"/>
    <s v="Regular"/>
    <s v="Poor"/>
    <n v="3"/>
    <x v="8"/>
    <n v="0.06"/>
    <n v="112495.6"/>
    <n v="7132.9476026048651"/>
    <n v="759"/>
  </r>
  <r>
    <n v="1098"/>
    <s v="25-06-2025"/>
    <x v="0"/>
    <x v="6"/>
    <s v="C1014"/>
    <s v="P110"/>
    <n v="3"/>
    <n v="950"/>
    <n v="10"/>
    <n v="446709"/>
    <n v="10"/>
    <n v="2"/>
    <s v="Webcam"/>
    <x v="0"/>
    <n v="700"/>
    <n v="2850"/>
    <n v="285"/>
    <n v="2565"/>
    <n v="465"/>
    <s v="West-C1014-1098"/>
    <s v="Regular"/>
    <s v="Poor"/>
    <n v="2"/>
    <x v="3"/>
    <n v="0.04"/>
    <n v="89341.8"/>
    <n v="20613.353899305657"/>
    <n v="901"/>
  </r>
  <r>
    <n v="1099"/>
    <s v="03-04-2025"/>
    <x v="2"/>
    <x v="3"/>
    <s v="C1024"/>
    <s v="P108"/>
    <n v="10"/>
    <n v="2500"/>
    <n v="10"/>
    <n v="376552"/>
    <n v="8"/>
    <n v="5"/>
    <s v="Speaker"/>
    <x v="0"/>
    <n v="1800"/>
    <n v="25000"/>
    <n v="2500"/>
    <n v="22500"/>
    <n v="4500"/>
    <s v="South-C1024-1099"/>
    <s v="Regular"/>
    <s v="Average"/>
    <n v="2"/>
    <x v="11"/>
    <n v="0.04"/>
    <n v="150620.79999999999"/>
    <n v="7635.1168220907484"/>
    <n v="416"/>
  </r>
  <r>
    <n v="1100"/>
    <s v="08-01-2025"/>
    <x v="1"/>
    <x v="7"/>
    <s v="C1016"/>
    <s v="P109"/>
    <n v="7"/>
    <n v="7000"/>
    <n v="10"/>
    <n v="308622"/>
    <n v="8"/>
    <n v="4"/>
    <s v="Router"/>
    <x v="1"/>
    <n v="5000"/>
    <n v="49000"/>
    <n v="4900"/>
    <n v="44100"/>
    <n v="9100"/>
    <s v="North-C1016-1100"/>
    <s v="Regular"/>
    <s v="Average"/>
    <n v="1"/>
    <x v="2"/>
    <n v="0.02"/>
    <n v="98759.039999999994"/>
    <n v="7534.3649188791796"/>
    <n v="320"/>
  </r>
  <r>
    <n v="1101"/>
    <s v="23-06-2025"/>
    <x v="2"/>
    <x v="4"/>
    <s v="C1001"/>
    <s v="P110"/>
    <n v="5"/>
    <n v="950"/>
    <n v="12"/>
    <n v="410307"/>
    <n v="9"/>
    <n v="5"/>
    <s v="Webcam"/>
    <x v="0"/>
    <n v="700"/>
    <n v="4750"/>
    <n v="570"/>
    <n v="4180"/>
    <n v="680"/>
    <s v="South-C1001-1101"/>
    <s v="Regular"/>
    <s v="Poor"/>
    <n v="2"/>
    <x v="3"/>
    <n v="0.04"/>
    <n v="184638.15"/>
    <n v="8517.2984578596352"/>
    <n v="827"/>
  </r>
  <r>
    <n v="1102"/>
    <s v="05-02-2025"/>
    <x v="0"/>
    <x v="1"/>
    <s v="C1005"/>
    <s v="P110"/>
    <n v="2"/>
    <n v="950"/>
    <n v="0"/>
    <n v="182375"/>
    <n v="7"/>
    <n v="5"/>
    <s v="Webcam"/>
    <x v="0"/>
    <n v="700"/>
    <n v="1900"/>
    <n v="0"/>
    <n v="1900"/>
    <n v="500"/>
    <s v="West-C1005-1102"/>
    <s v="Regular"/>
    <s v="Poor"/>
    <n v="1"/>
    <x v="9"/>
    <n v="0.02"/>
    <n v="63831.25"/>
    <n v="3611.2435837962462"/>
    <n v="934"/>
  </r>
  <r>
    <n v="1103"/>
    <s v="27-12-2025"/>
    <x v="2"/>
    <x v="0"/>
    <s v="C1042"/>
    <s v="P107"/>
    <n v="7"/>
    <n v="35000"/>
    <n v="2"/>
    <n v="113664"/>
    <n v="10"/>
    <n v="1"/>
    <s v="Tablet"/>
    <x v="1"/>
    <n v="29000"/>
    <n v="245000"/>
    <n v="4900"/>
    <n v="240100"/>
    <n v="37100"/>
    <s v="South-C1042-1103"/>
    <s v="High Value"/>
    <s v="Excellent"/>
    <n v="4"/>
    <x v="0"/>
    <n v="0.08"/>
    <n v="11366.4"/>
    <n v="9992.8714061118098"/>
    <n v="85"/>
  </r>
  <r>
    <n v="1104"/>
    <s v="26-12-2025"/>
    <x v="3"/>
    <x v="4"/>
    <s v="C1034"/>
    <s v="P102"/>
    <n v="2"/>
    <n v="500"/>
    <n v="15"/>
    <n v="212463"/>
    <n v="8"/>
    <n v="1"/>
    <s v="Mouse"/>
    <x v="0"/>
    <n v="350"/>
    <n v="1000"/>
    <n v="150"/>
    <n v="850"/>
    <n v="150"/>
    <s v="East-C1034-1104"/>
    <s v="Regular"/>
    <s v="Poor"/>
    <n v="4"/>
    <x v="0"/>
    <n v="0.08"/>
    <n v="16997.04"/>
    <n v="18481.822608775816"/>
    <n v="985"/>
  </r>
  <r>
    <n v="1105"/>
    <s v="03-05-2025"/>
    <x v="0"/>
    <x v="7"/>
    <s v="C1020"/>
    <s v="P106"/>
    <n v="4"/>
    <n v="8000"/>
    <n v="10"/>
    <n v="256931"/>
    <n v="7"/>
    <n v="2"/>
    <s v="Printer"/>
    <x v="1"/>
    <n v="6500"/>
    <n v="32000"/>
    <n v="3200"/>
    <n v="28800"/>
    <n v="2800"/>
    <s v="West-C1020-1105"/>
    <s v="Regular"/>
    <s v="Average"/>
    <n v="2"/>
    <x v="4"/>
    <n v="0.04"/>
    <n v="35970.339999999997"/>
    <n v="11503.463521550255"/>
    <n v="384"/>
  </r>
  <r>
    <n v="1106"/>
    <s v="05-11-2025"/>
    <x v="3"/>
    <x v="5"/>
    <s v="C1002"/>
    <s v="P101"/>
    <n v="7"/>
    <n v="55000"/>
    <n v="8"/>
    <n v="317214"/>
    <n v="8"/>
    <n v="5"/>
    <s v="Laptop"/>
    <x v="1"/>
    <n v="45000"/>
    <n v="385000"/>
    <n v="30800"/>
    <n v="354200"/>
    <n v="39200"/>
    <s v="East-C1002-1106"/>
    <s v="High Value"/>
    <s v="Excellent"/>
    <n v="4"/>
    <x v="5"/>
    <n v="0.08"/>
    <n v="126885.6"/>
    <n v="6431.9561378048575"/>
    <n v="31"/>
  </r>
  <r>
    <n v="1107"/>
    <s v="16-06-2025"/>
    <x v="2"/>
    <x v="6"/>
    <s v="C1038"/>
    <s v="P106"/>
    <n v="8"/>
    <n v="8000"/>
    <n v="0"/>
    <n v="407415"/>
    <n v="7"/>
    <n v="1"/>
    <s v="Printer"/>
    <x v="1"/>
    <n v="6500"/>
    <n v="64000"/>
    <n v="0"/>
    <n v="64000"/>
    <n v="12000"/>
    <s v="South-C1038-1107"/>
    <s v="High Value"/>
    <s v="Good"/>
    <n v="2"/>
    <x v="3"/>
    <n v="0.04"/>
    <n v="28519.05"/>
    <n v="35252.294261572919"/>
    <n v="237"/>
  </r>
  <r>
    <n v="1108"/>
    <s v="11-01-2025"/>
    <x v="0"/>
    <x v="1"/>
    <s v="C1009"/>
    <s v="P110"/>
    <n v="3"/>
    <n v="950"/>
    <n v="2"/>
    <n v="156799"/>
    <n v="10"/>
    <n v="3"/>
    <s v="Webcam"/>
    <x v="0"/>
    <n v="700"/>
    <n v="2850"/>
    <n v="57"/>
    <n v="2793"/>
    <n v="693"/>
    <s v="West-C1009-1108"/>
    <s v="Regular"/>
    <s v="Poor"/>
    <n v="1"/>
    <x v="2"/>
    <n v="0.02"/>
    <n v="47039.7"/>
    <n v="5059.4626848065236"/>
    <n v="891"/>
  </r>
  <r>
    <n v="1109"/>
    <s v="24-02-2025"/>
    <x v="1"/>
    <x v="0"/>
    <s v="C1033"/>
    <s v="P101"/>
    <n v="2"/>
    <n v="55000"/>
    <n v="10"/>
    <n v="125491"/>
    <n v="10"/>
    <n v="5"/>
    <s v="Laptop"/>
    <x v="1"/>
    <n v="45000"/>
    <n v="110000"/>
    <n v="11000"/>
    <n v="99000"/>
    <n v="9000"/>
    <s v="North-C1033-1109"/>
    <s v="High Value"/>
    <s v="Good"/>
    <n v="1"/>
    <x v="9"/>
    <n v="0.02"/>
    <n v="62745.5"/>
    <n v="2666.3128878617672"/>
    <n v="165"/>
  </r>
  <r>
    <n v="1110"/>
    <s v="21-10-2025"/>
    <x v="0"/>
    <x v="4"/>
    <s v="C1044"/>
    <s v="P102"/>
    <n v="7"/>
    <n v="500"/>
    <n v="15"/>
    <n v="225076"/>
    <n v="12"/>
    <n v="5"/>
    <s v="Mouse"/>
    <x v="0"/>
    <n v="350"/>
    <n v="3500"/>
    <n v="525"/>
    <n v="2975"/>
    <n v="525"/>
    <s v="West-C1044-1110"/>
    <s v="Regular"/>
    <s v="Poor"/>
    <n v="4"/>
    <x v="6"/>
    <n v="0.08"/>
    <n v="135045.6"/>
    <n v="5006.691307126951"/>
    <n v="881"/>
  </r>
  <r>
    <n v="1111"/>
    <s v="19-07-2025"/>
    <x v="1"/>
    <x v="2"/>
    <s v="C1050"/>
    <s v="P103"/>
    <n v="1"/>
    <n v="1500"/>
    <n v="0"/>
    <n v="229109"/>
    <n v="10"/>
    <n v="4"/>
    <s v="Keyboard"/>
    <x v="0"/>
    <n v="1200"/>
    <n v="1500"/>
    <n v="0"/>
    <n v="1500"/>
    <n v="300"/>
    <s v="North-C1050-1111"/>
    <s v="Regular"/>
    <s v="Poor"/>
    <n v="3"/>
    <x v="8"/>
    <n v="0.06"/>
    <n v="91643.6"/>
    <n v="5810.7961281514936"/>
    <n v="949"/>
  </r>
  <r>
    <n v="1112"/>
    <s v="05-01-2025"/>
    <x v="2"/>
    <x v="6"/>
    <s v="C1001"/>
    <s v="P105"/>
    <n v="9"/>
    <n v="2000"/>
    <n v="12"/>
    <n v="256262"/>
    <n v="9"/>
    <n v="1"/>
    <s v="Headset"/>
    <x v="0"/>
    <n v="1500"/>
    <n v="18000"/>
    <n v="2160"/>
    <n v="15840"/>
    <n v="2340"/>
    <s v="South-C1001-1112"/>
    <s v="Regular"/>
    <s v="Poor"/>
    <n v="1"/>
    <x v="2"/>
    <n v="0.02"/>
    <n v="23063.58"/>
    <n v="22410.490340013603"/>
    <n v="517"/>
  </r>
  <r>
    <n v="1113"/>
    <s v="26-06-2025"/>
    <x v="1"/>
    <x v="7"/>
    <s v="C1042"/>
    <s v="P105"/>
    <n v="7"/>
    <n v="2000"/>
    <n v="15"/>
    <n v="360059"/>
    <n v="10"/>
    <n v="1"/>
    <s v="Headset"/>
    <x v="0"/>
    <n v="1500"/>
    <n v="14000"/>
    <n v="2100"/>
    <n v="11900"/>
    <n v="1400"/>
    <s v="North-C1042-1113"/>
    <s v="Regular"/>
    <s v="Poor"/>
    <n v="2"/>
    <x v="3"/>
    <n v="0.04"/>
    <n v="36005.9"/>
    <n v="31654.906440150022"/>
    <n v="592"/>
  </r>
  <r>
    <n v="1114"/>
    <s v="15-05-2025"/>
    <x v="2"/>
    <x v="6"/>
    <s v="C1026"/>
    <s v="P103"/>
    <n v="1"/>
    <n v="1500"/>
    <n v="15"/>
    <n v="177965"/>
    <n v="9"/>
    <n v="5"/>
    <s v="Keyboard"/>
    <x v="0"/>
    <n v="1200"/>
    <n v="1500"/>
    <n v="225"/>
    <n v="1275"/>
    <n v="75"/>
    <s v="South-C1026-1114"/>
    <s v="Regular"/>
    <s v="Poor"/>
    <n v="2"/>
    <x v="4"/>
    <n v="0.04"/>
    <n v="80084.25"/>
    <n v="3694.2606878580909"/>
    <n v="961"/>
  </r>
  <r>
    <n v="1115"/>
    <s v="12-12-2025"/>
    <x v="0"/>
    <x v="4"/>
    <s v="C1022"/>
    <s v="P109"/>
    <n v="7"/>
    <n v="7000"/>
    <n v="0"/>
    <n v="448197"/>
    <n v="9"/>
    <n v="4"/>
    <s v="Router"/>
    <x v="1"/>
    <n v="5000"/>
    <n v="49000"/>
    <n v="0"/>
    <n v="49000"/>
    <n v="14000"/>
    <s v="West-C1022-1115"/>
    <s v="Regular"/>
    <s v="Average"/>
    <n v="4"/>
    <x v="0"/>
    <n v="0.08"/>
    <n v="161350.92000000001"/>
    <n v="11153.401336870191"/>
    <n v="302"/>
  </r>
  <r>
    <n v="1116"/>
    <s v="14-06-2025"/>
    <x v="0"/>
    <x v="2"/>
    <s v="C1016"/>
    <s v="P101"/>
    <n v="9"/>
    <n v="55000"/>
    <n v="15"/>
    <n v="459591"/>
    <n v="8"/>
    <n v="1"/>
    <s v="Laptop"/>
    <x v="1"/>
    <n v="45000"/>
    <n v="495000"/>
    <n v="74250"/>
    <n v="420750"/>
    <n v="15750"/>
    <s v="West-C1016-1116"/>
    <s v="High Value"/>
    <s v="Excellent"/>
    <n v="2"/>
    <x v="3"/>
    <n v="0.04"/>
    <n v="36767.279999999999"/>
    <n v="39979.099111797746"/>
    <n v="19"/>
  </r>
  <r>
    <n v="1117"/>
    <s v="16-08-2025"/>
    <x v="1"/>
    <x v="4"/>
    <s v="C1043"/>
    <s v="P106"/>
    <n v="3"/>
    <n v="8000"/>
    <n v="2"/>
    <n v="208249"/>
    <n v="8"/>
    <n v="4"/>
    <s v="Printer"/>
    <x v="1"/>
    <n v="6500"/>
    <n v="24000"/>
    <n v="480"/>
    <n v="23520"/>
    <n v="4020"/>
    <s v="North-C1043-1117"/>
    <s v="Regular"/>
    <s v="Average"/>
    <n v="3"/>
    <x v="7"/>
    <n v="0.06"/>
    <n v="66639.679999999993"/>
    <n v="5083.9666646955511"/>
    <n v="406"/>
  </r>
  <r>
    <n v="1118"/>
    <s v="04-06-2025"/>
    <x v="3"/>
    <x v="7"/>
    <s v="C1027"/>
    <s v="P103"/>
    <n v="5"/>
    <n v="1500"/>
    <n v="8"/>
    <n v="493466"/>
    <n v="8"/>
    <n v="1"/>
    <s v="Keyboard"/>
    <x v="0"/>
    <n v="1200"/>
    <n v="7500"/>
    <n v="600"/>
    <n v="6900"/>
    <n v="900"/>
    <s v="East-C1027-1118"/>
    <s v="Regular"/>
    <s v="Poor"/>
    <n v="2"/>
    <x v="3"/>
    <n v="0.04"/>
    <n v="39477.279999999999"/>
    <n v="42925.832147066394"/>
    <n v="724"/>
  </r>
  <r>
    <n v="1119"/>
    <s v="14-04-2025"/>
    <x v="0"/>
    <x v="0"/>
    <s v="C1014"/>
    <s v="P104"/>
    <n v="3"/>
    <n v="12000"/>
    <n v="15"/>
    <n v="479322"/>
    <n v="12"/>
    <n v="3"/>
    <s v="Monitor"/>
    <x v="1"/>
    <n v="9000"/>
    <n v="36000"/>
    <n v="5400"/>
    <n v="30600"/>
    <n v="3600"/>
    <s v="West-C1014-1119"/>
    <s v="Regular"/>
    <s v="Average"/>
    <n v="2"/>
    <x v="11"/>
    <n v="0.04"/>
    <n v="172555.92"/>
    <n v="15920.349408115459"/>
    <n v="373"/>
  </r>
  <r>
    <n v="1120"/>
    <s v="15-03-2025"/>
    <x v="1"/>
    <x v="5"/>
    <s v="C1008"/>
    <s v="P108"/>
    <n v="4"/>
    <n v="2500"/>
    <n v="2"/>
    <n v="123672"/>
    <n v="12"/>
    <n v="1"/>
    <s v="Speaker"/>
    <x v="0"/>
    <n v="1800"/>
    <n v="10000"/>
    <n v="200"/>
    <n v="9800"/>
    <n v="2600"/>
    <s v="North-C1008-1120"/>
    <s v="Regular"/>
    <s v="Poor"/>
    <n v="1"/>
    <x v="10"/>
    <n v="0.02"/>
    <n v="14840.64"/>
    <n v="10988.107393427874"/>
    <n v="645"/>
  </r>
  <r>
    <n v="1121"/>
    <s v="24-11-2025"/>
    <x v="3"/>
    <x v="4"/>
    <s v="C1030"/>
    <s v="P109"/>
    <n v="7"/>
    <n v="7000"/>
    <n v="10"/>
    <n v="331782"/>
    <n v="8"/>
    <n v="5"/>
    <s v="Router"/>
    <x v="1"/>
    <n v="5000"/>
    <n v="49000"/>
    <n v="4900"/>
    <n v="44100"/>
    <n v="9100"/>
    <s v="East-C1030-1121"/>
    <s v="Regular"/>
    <s v="Average"/>
    <n v="4"/>
    <x v="5"/>
    <n v="0.08"/>
    <n v="132712.79999999999"/>
    <n v="6727.3426497984674"/>
    <n v="320"/>
  </r>
  <r>
    <n v="1122"/>
    <s v="06-02-2025"/>
    <x v="1"/>
    <x v="7"/>
    <s v="C1013"/>
    <s v="P108"/>
    <n v="10"/>
    <n v="2500"/>
    <n v="0"/>
    <n v="165228"/>
    <n v="12"/>
    <n v="3"/>
    <s v="Speaker"/>
    <x v="0"/>
    <n v="1800"/>
    <n v="25000"/>
    <n v="0"/>
    <n v="25000"/>
    <n v="7000"/>
    <s v="North-C1013-1122"/>
    <s v="Regular"/>
    <s v="Average"/>
    <n v="1"/>
    <x v="9"/>
    <n v="0.02"/>
    <n v="59482.080000000002"/>
    <n v="5487.9339817577766"/>
    <n v="397"/>
  </r>
  <r>
    <n v="1123"/>
    <s v="25-08-2025"/>
    <x v="0"/>
    <x v="5"/>
    <s v="C1044"/>
    <s v="P107"/>
    <n v="8"/>
    <n v="35000"/>
    <n v="2"/>
    <n v="68554"/>
    <n v="10"/>
    <n v="5"/>
    <s v="Tablet"/>
    <x v="1"/>
    <n v="29000"/>
    <n v="280000"/>
    <n v="5600"/>
    <n v="274400"/>
    <n v="42400"/>
    <s v="West-C1044-1123"/>
    <s v="High Value"/>
    <s v="Excellent"/>
    <n v="3"/>
    <x v="7"/>
    <n v="0.06"/>
    <n v="34277"/>
    <n v="1456.5699031362853"/>
    <n v="63"/>
  </r>
  <r>
    <n v="1124"/>
    <s v="29-04-2025"/>
    <x v="0"/>
    <x v="1"/>
    <s v="C1012"/>
    <s v="P104"/>
    <n v="7"/>
    <n v="12000"/>
    <n v="0"/>
    <n v="499759"/>
    <n v="12"/>
    <n v="2"/>
    <s v="Monitor"/>
    <x v="1"/>
    <n v="9000"/>
    <n v="84000"/>
    <n v="0"/>
    <n v="84000"/>
    <n v="21000"/>
    <s v="West-C1012-1124"/>
    <s v="High Value"/>
    <s v="Good"/>
    <n v="2"/>
    <x v="11"/>
    <n v="0.04"/>
    <n v="119942.16"/>
    <n v="23525.391404826543"/>
    <n v="191"/>
  </r>
  <r>
    <n v="1125"/>
    <s v="05-01-2025"/>
    <x v="2"/>
    <x v="5"/>
    <s v="C1027"/>
    <s v="P103"/>
    <n v="9"/>
    <n v="1500"/>
    <n v="0"/>
    <n v="173987"/>
    <n v="8"/>
    <n v="4"/>
    <s v="Keyboard"/>
    <x v="0"/>
    <n v="1200"/>
    <n v="13500"/>
    <n v="0"/>
    <n v="13500"/>
    <n v="2700"/>
    <s v="South-C1027-1125"/>
    <s v="Regular"/>
    <s v="Poor"/>
    <n v="1"/>
    <x v="2"/>
    <n v="0.02"/>
    <n v="55675.839999999997"/>
    <n v="4247.5311194309925"/>
    <n v="553"/>
  </r>
  <r>
    <n v="1126"/>
    <s v="30-10-2025"/>
    <x v="3"/>
    <x v="2"/>
    <s v="C1043"/>
    <s v="P101"/>
    <n v="9"/>
    <n v="55000"/>
    <n v="0"/>
    <n v="209713"/>
    <n v="12"/>
    <n v="2"/>
    <s v="Laptop"/>
    <x v="1"/>
    <n v="45000"/>
    <n v="495000"/>
    <n v="0"/>
    <n v="495000"/>
    <n v="90000"/>
    <s v="East-C1043-1126"/>
    <s v="High Value"/>
    <s v="Excellent"/>
    <n v="4"/>
    <x v="6"/>
    <n v="0.08"/>
    <n v="50331.12"/>
    <n v="9871.9190803575111"/>
    <n v="4"/>
  </r>
  <r>
    <n v="1127"/>
    <s v="21-01-2025"/>
    <x v="2"/>
    <x v="1"/>
    <s v="C1041"/>
    <s v="P102"/>
    <n v="8"/>
    <n v="500"/>
    <n v="12"/>
    <n v="304159"/>
    <n v="9"/>
    <n v="4"/>
    <s v="Mouse"/>
    <x v="0"/>
    <n v="350"/>
    <n v="4000"/>
    <n v="480"/>
    <n v="3520"/>
    <n v="720"/>
    <s v="South-C1041-1127"/>
    <s v="Regular"/>
    <s v="Poor"/>
    <n v="1"/>
    <x v="2"/>
    <n v="0.02"/>
    <n v="109497.24"/>
    <n v="7569.0096034134549"/>
    <n v="862"/>
  </r>
  <r>
    <n v="1128"/>
    <s v="16-11-2025"/>
    <x v="3"/>
    <x v="5"/>
    <s v="C1015"/>
    <s v="P110"/>
    <n v="9"/>
    <n v="950"/>
    <n v="12"/>
    <n v="225928"/>
    <n v="12"/>
    <n v="4"/>
    <s v="Webcam"/>
    <x v="0"/>
    <n v="700"/>
    <n v="8550"/>
    <n v="1026"/>
    <n v="7524"/>
    <n v="1224"/>
    <s v="East-C1015-1128"/>
    <s v="Regular"/>
    <s v="Poor"/>
    <n v="4"/>
    <x v="5"/>
    <n v="0.08"/>
    <n v="108445.44"/>
    <n v="5949.5507714645764"/>
    <n v="704"/>
  </r>
  <r>
    <n v="1129"/>
    <s v="10-04-2025"/>
    <x v="0"/>
    <x v="4"/>
    <s v="C1038"/>
    <s v="P110"/>
    <n v="7"/>
    <n v="950"/>
    <n v="12"/>
    <n v="64451"/>
    <n v="7"/>
    <n v="4"/>
    <s v="Webcam"/>
    <x v="0"/>
    <n v="700"/>
    <n v="6650"/>
    <n v="798"/>
    <n v="5852"/>
    <n v="952"/>
    <s v="West-C1038-1129"/>
    <s v="Regular"/>
    <s v="Poor"/>
    <n v="2"/>
    <x v="11"/>
    <n v="0.04"/>
    <n v="18046.28"/>
    <n v="1543.3594147391079"/>
    <n v="765"/>
  </r>
  <r>
    <n v="1130"/>
    <s v="03-06-2025"/>
    <x v="3"/>
    <x v="7"/>
    <s v="C1024"/>
    <s v="P105"/>
    <n v="7"/>
    <n v="2000"/>
    <n v="5"/>
    <n v="477318"/>
    <n v="7"/>
    <n v="5"/>
    <s v="Headset"/>
    <x v="0"/>
    <n v="1500"/>
    <n v="14000"/>
    <n v="700"/>
    <n v="13300"/>
    <n v="2800"/>
    <s v="East-C1024-1130"/>
    <s v="Regular"/>
    <s v="Poor"/>
    <n v="2"/>
    <x v="3"/>
    <n v="0.04"/>
    <n v="167061.29999999999"/>
    <n v="9451.46848488256"/>
    <n v="559"/>
  </r>
  <r>
    <n v="1131"/>
    <s v="22-02-2025"/>
    <x v="0"/>
    <x v="4"/>
    <s v="C1045"/>
    <s v="P107"/>
    <n v="7"/>
    <n v="35000"/>
    <n v="2"/>
    <n v="394620"/>
    <n v="12"/>
    <n v="5"/>
    <s v="Tablet"/>
    <x v="1"/>
    <n v="29000"/>
    <n v="245000"/>
    <n v="4900"/>
    <n v="240100"/>
    <n v="37100"/>
    <s v="West-C1045-1131"/>
    <s v="High Value"/>
    <s v="Excellent"/>
    <n v="1"/>
    <x v="9"/>
    <n v="0.02"/>
    <n v="236772"/>
    <n v="8778.1039454159381"/>
    <n v="85"/>
  </r>
  <r>
    <n v="1132"/>
    <s v="15-08-2025"/>
    <x v="3"/>
    <x v="4"/>
    <s v="C1039"/>
    <s v="P103"/>
    <n v="2"/>
    <n v="1500"/>
    <n v="0"/>
    <n v="69789"/>
    <n v="12"/>
    <n v="2"/>
    <s v="Keyboard"/>
    <x v="0"/>
    <n v="1200"/>
    <n v="3000"/>
    <n v="0"/>
    <n v="3000"/>
    <n v="600"/>
    <s v="East-C1039-1132"/>
    <s v="Regular"/>
    <s v="Poor"/>
    <n v="3"/>
    <x v="7"/>
    <n v="0.06"/>
    <n v="16749.36"/>
    <n v="3285.2105529894202"/>
    <n v="877"/>
  </r>
  <r>
    <n v="1133"/>
    <s v="19-10-2025"/>
    <x v="3"/>
    <x v="4"/>
    <s v="C1023"/>
    <s v="P102"/>
    <n v="2"/>
    <n v="500"/>
    <n v="15"/>
    <n v="165850"/>
    <n v="7"/>
    <n v="2"/>
    <s v="Mouse"/>
    <x v="0"/>
    <n v="350"/>
    <n v="1000"/>
    <n v="150"/>
    <n v="850"/>
    <n v="150"/>
    <s v="East-C1023-1133"/>
    <s v="Regular"/>
    <s v="Poor"/>
    <n v="4"/>
    <x v="6"/>
    <n v="0.08"/>
    <n v="23219"/>
    <n v="7425.5322442566676"/>
    <n v="985"/>
  </r>
  <r>
    <n v="1134"/>
    <s v="01-04-2025"/>
    <x v="3"/>
    <x v="2"/>
    <s v="C1032"/>
    <s v="P109"/>
    <n v="9"/>
    <n v="7000"/>
    <n v="5"/>
    <n v="483775"/>
    <n v="7"/>
    <n v="5"/>
    <s v="Router"/>
    <x v="1"/>
    <n v="5000"/>
    <n v="63000"/>
    <n v="3150"/>
    <n v="59850"/>
    <n v="14850"/>
    <s v="East-C1032-1134"/>
    <s v="High Value"/>
    <s v="Good"/>
    <n v="2"/>
    <x v="11"/>
    <n v="0.04"/>
    <n v="169321.25"/>
    <n v="9579.3248238575961"/>
    <n v="255"/>
  </r>
  <r>
    <n v="1135"/>
    <s v="01-02-2025"/>
    <x v="3"/>
    <x v="7"/>
    <s v="C1042"/>
    <s v="P104"/>
    <n v="2"/>
    <n v="12000"/>
    <n v="15"/>
    <n v="414208"/>
    <n v="11"/>
    <n v="4"/>
    <s v="Monitor"/>
    <x v="1"/>
    <n v="9000"/>
    <n v="24000"/>
    <n v="3600"/>
    <n v="20400"/>
    <n v="2400"/>
    <s v="East-C1042-1135"/>
    <s v="Regular"/>
    <s v="Average"/>
    <n v="1"/>
    <x v="9"/>
    <n v="0.02"/>
    <n v="182251.51999999999"/>
    <n v="10705.422229844646"/>
    <n v="446"/>
  </r>
  <r>
    <n v="1136"/>
    <s v="04-12-2025"/>
    <x v="0"/>
    <x v="7"/>
    <s v="C1010"/>
    <s v="P103"/>
    <n v="10"/>
    <n v="1500"/>
    <n v="5"/>
    <n v="472149"/>
    <n v="11"/>
    <n v="3"/>
    <s v="Keyboard"/>
    <x v="0"/>
    <n v="1200"/>
    <n v="15000"/>
    <n v="750"/>
    <n v="14250"/>
    <n v="2250"/>
    <s v="West-C1010-1136"/>
    <s v="Regular"/>
    <s v="Poor"/>
    <n v="4"/>
    <x v="0"/>
    <n v="0.08"/>
    <n v="155809.17000000001"/>
    <n v="15457.552548075397"/>
    <n v="536"/>
  </r>
  <r>
    <n v="1137"/>
    <s v="10-05-2025"/>
    <x v="1"/>
    <x v="0"/>
    <s v="C1010"/>
    <s v="P101"/>
    <n v="8"/>
    <n v="55000"/>
    <n v="12"/>
    <n v="235307"/>
    <n v="12"/>
    <n v="1"/>
    <s v="Laptop"/>
    <x v="1"/>
    <n v="45000"/>
    <n v="440000"/>
    <n v="52800"/>
    <n v="387200"/>
    <n v="27200"/>
    <s v="North-C1010-1137"/>
    <s v="High Value"/>
    <s v="Excellent"/>
    <n v="2"/>
    <x v="4"/>
    <n v="0.04"/>
    <n v="28236.84"/>
    <n v="20906.741917534549"/>
    <n v="24"/>
  </r>
  <r>
    <n v="1138"/>
    <s v="08-09-2025"/>
    <x v="1"/>
    <x v="7"/>
    <s v="C1020"/>
    <s v="P104"/>
    <n v="3"/>
    <n v="12000"/>
    <n v="10"/>
    <n v="51714"/>
    <n v="9"/>
    <n v="5"/>
    <s v="Monitor"/>
    <x v="1"/>
    <n v="9000"/>
    <n v="36000"/>
    <n v="3600"/>
    <n v="32400"/>
    <n v="5400"/>
    <s v="North-C1020-1138"/>
    <s v="Regular"/>
    <s v="Average"/>
    <n v="3"/>
    <x v="1"/>
    <n v="0.06"/>
    <n v="23271.3"/>
    <n v="1073.4975821756711"/>
    <n v="358"/>
  </r>
  <r>
    <n v="1139"/>
    <s v="26-07-2025"/>
    <x v="2"/>
    <x v="6"/>
    <s v="C1035"/>
    <s v="P109"/>
    <n v="3"/>
    <n v="7000"/>
    <n v="0"/>
    <n v="113216"/>
    <n v="7"/>
    <n v="2"/>
    <s v="Router"/>
    <x v="1"/>
    <n v="5000"/>
    <n v="21000"/>
    <n v="0"/>
    <n v="21000"/>
    <n v="6000"/>
    <s v="South-C1035-1139"/>
    <s v="Regular"/>
    <s v="Average"/>
    <n v="3"/>
    <x v="8"/>
    <n v="0.06"/>
    <n v="15850.24"/>
    <n v="5068.9723157417111"/>
    <n v="436"/>
  </r>
  <r>
    <n v="1140"/>
    <s v="14-02-2025"/>
    <x v="1"/>
    <x v="3"/>
    <s v="C1043"/>
    <s v="P106"/>
    <n v="3"/>
    <n v="8000"/>
    <n v="8"/>
    <n v="205717"/>
    <n v="10"/>
    <n v="3"/>
    <s v="Printer"/>
    <x v="1"/>
    <n v="6500"/>
    <n v="24000"/>
    <n v="1920"/>
    <n v="22080"/>
    <n v="2580"/>
    <s v="North-C1043-1140"/>
    <s v="Regular"/>
    <s v="Average"/>
    <n v="1"/>
    <x v="9"/>
    <n v="0.02"/>
    <n v="61715.1"/>
    <n v="6637.9089479546656"/>
    <n v="418"/>
  </r>
  <r>
    <n v="1141"/>
    <s v="08-05-2025"/>
    <x v="1"/>
    <x v="6"/>
    <s v="C1031"/>
    <s v="P110"/>
    <n v="10"/>
    <n v="950"/>
    <n v="5"/>
    <n v="344402"/>
    <n v="11"/>
    <n v="4"/>
    <s v="Webcam"/>
    <x v="0"/>
    <n v="700"/>
    <n v="9500"/>
    <n v="475"/>
    <n v="9025"/>
    <n v="2025"/>
    <s v="North-C1031-1141"/>
    <s v="Regular"/>
    <s v="Poor"/>
    <n v="2"/>
    <x v="4"/>
    <n v="0.04"/>
    <n v="151536.88"/>
    <n v="8901.2496784295708"/>
    <n v="661"/>
  </r>
  <r>
    <n v="1142"/>
    <s v="17-06-2025"/>
    <x v="2"/>
    <x v="1"/>
    <s v="C1026"/>
    <s v="P106"/>
    <n v="1"/>
    <n v="8000"/>
    <n v="15"/>
    <n v="457977"/>
    <n v="11"/>
    <n v="1"/>
    <s v="Printer"/>
    <x v="1"/>
    <n v="6500"/>
    <n v="8000"/>
    <n v="1200"/>
    <n v="6800"/>
    <n v="300"/>
    <s v="South-C1026-1142"/>
    <s v="Regular"/>
    <s v="Poor"/>
    <n v="2"/>
    <x v="3"/>
    <n v="0.04"/>
    <n v="50377.47"/>
    <n v="40476.766824748651"/>
    <n v="729"/>
  </r>
  <r>
    <n v="1143"/>
    <s v="03-04-2025"/>
    <x v="1"/>
    <x v="1"/>
    <s v="C1035"/>
    <s v="P106"/>
    <n v="9"/>
    <n v="8000"/>
    <n v="12"/>
    <n v="393458"/>
    <n v="8"/>
    <n v="2"/>
    <s v="Printer"/>
    <x v="1"/>
    <n v="6500"/>
    <n v="72000"/>
    <n v="8640"/>
    <n v="63360"/>
    <n v="4860"/>
    <s v="North-C1035-1143"/>
    <s v="High Value"/>
    <s v="Good"/>
    <n v="2"/>
    <x v="11"/>
    <n v="0.04"/>
    <n v="62953.279999999999"/>
    <n v="17795.039641767304"/>
    <n v="240"/>
  </r>
  <r>
    <n v="1144"/>
    <s v="19-05-2025"/>
    <x v="2"/>
    <x v="7"/>
    <s v="C1018"/>
    <s v="P102"/>
    <n v="1"/>
    <n v="500"/>
    <n v="15"/>
    <n v="265518"/>
    <n v="8"/>
    <n v="3"/>
    <s v="Mouse"/>
    <x v="0"/>
    <n v="350"/>
    <n v="500"/>
    <n v="75"/>
    <n v="425"/>
    <n v="75"/>
    <s v="South-C1018-1144"/>
    <s v="Regular"/>
    <s v="Poor"/>
    <n v="2"/>
    <x v="4"/>
    <n v="0.04"/>
    <n v="63724.32"/>
    <n v="8320.3690845881974"/>
    <n v="999"/>
  </r>
  <r>
    <n v="1145"/>
    <s v="26-03-2025"/>
    <x v="3"/>
    <x v="3"/>
    <s v="C1037"/>
    <s v="P110"/>
    <n v="5"/>
    <n v="950"/>
    <n v="10"/>
    <n v="356564"/>
    <n v="11"/>
    <n v="1"/>
    <s v="Webcam"/>
    <x v="0"/>
    <n v="700"/>
    <n v="4750"/>
    <n v="475"/>
    <n v="4275"/>
    <n v="775"/>
    <s v="East-C1037-1145"/>
    <s v="Regular"/>
    <s v="Poor"/>
    <n v="1"/>
    <x v="10"/>
    <n v="0.02"/>
    <n v="39222.04"/>
    <n v="31513.717689097219"/>
    <n v="819"/>
  </r>
  <r>
    <n v="1146"/>
    <s v="24-11-2025"/>
    <x v="3"/>
    <x v="7"/>
    <s v="C1015"/>
    <s v="P102"/>
    <n v="2"/>
    <n v="500"/>
    <n v="5"/>
    <n v="90316"/>
    <n v="8"/>
    <n v="3"/>
    <s v="Mouse"/>
    <x v="0"/>
    <n v="350"/>
    <n v="1000"/>
    <n v="50"/>
    <n v="950"/>
    <n v="250"/>
    <s v="East-C1015-1146"/>
    <s v="Regular"/>
    <s v="Poor"/>
    <n v="4"/>
    <x v="5"/>
    <n v="0.08"/>
    <n v="21675.84"/>
    <n v="2830.1751830145886"/>
    <n v="967"/>
  </r>
  <r>
    <n v="1147"/>
    <s v="04-12-2025"/>
    <x v="1"/>
    <x v="1"/>
    <s v="C1050"/>
    <s v="P108"/>
    <n v="8"/>
    <n v="2500"/>
    <n v="15"/>
    <n v="262614"/>
    <n v="10"/>
    <n v="5"/>
    <s v="Speaker"/>
    <x v="0"/>
    <n v="1800"/>
    <n v="20000"/>
    <n v="3000"/>
    <n v="17000"/>
    <n v="2600"/>
    <s v="North-C1050-1147"/>
    <s v="Regular"/>
    <s v="Poor"/>
    <n v="4"/>
    <x v="0"/>
    <n v="0.08"/>
    <n v="131307"/>
    <n v="5579.7713998050067"/>
    <n v="503"/>
  </r>
  <r>
    <n v="1148"/>
    <s v="23-11-2025"/>
    <x v="0"/>
    <x v="3"/>
    <s v="C1028"/>
    <s v="P109"/>
    <n v="6"/>
    <n v="7000"/>
    <n v="0"/>
    <n v="448400"/>
    <n v="8"/>
    <n v="3"/>
    <s v="Router"/>
    <x v="1"/>
    <n v="5000"/>
    <n v="42000"/>
    <n v="0"/>
    <n v="42000"/>
    <n v="12000"/>
    <s v="West-C1028-1148"/>
    <s v="Regular"/>
    <s v="Average"/>
    <n v="4"/>
    <x v="5"/>
    <n v="0.08"/>
    <n v="107616"/>
    <n v="14051.226272905595"/>
    <n v="329"/>
  </r>
  <r>
    <n v="1149"/>
    <s v="14-08-2025"/>
    <x v="3"/>
    <x v="5"/>
    <s v="C1043"/>
    <s v="P107"/>
    <n v="1"/>
    <n v="35000"/>
    <n v="15"/>
    <n v="186025"/>
    <n v="8"/>
    <n v="2"/>
    <s v="Tablet"/>
    <x v="1"/>
    <n v="29000"/>
    <n v="35000"/>
    <n v="5250"/>
    <n v="29750"/>
    <n v="750"/>
    <s v="East-C1043-1149"/>
    <s v="Regular"/>
    <s v="Average"/>
    <n v="3"/>
    <x v="7"/>
    <n v="0.06"/>
    <n v="29764"/>
    <n v="8413.4068931366564"/>
    <n v="380"/>
  </r>
  <r>
    <n v="1150"/>
    <s v="20-01-2025"/>
    <x v="2"/>
    <x v="5"/>
    <s v="C1025"/>
    <s v="P108"/>
    <n v="5"/>
    <n v="2500"/>
    <n v="12"/>
    <n v="103513"/>
    <n v="8"/>
    <n v="4"/>
    <s v="Speaker"/>
    <x v="0"/>
    <n v="1800"/>
    <n v="12500"/>
    <n v="1500"/>
    <n v="11000"/>
    <n v="2000"/>
    <s v="South-C1025-1150"/>
    <s v="Regular"/>
    <s v="Poor"/>
    <n v="1"/>
    <x v="2"/>
    <n v="0.02"/>
    <n v="33124.160000000003"/>
    <n v="2527.0548303359465"/>
    <n v="616"/>
  </r>
  <r>
    <n v="1151"/>
    <s v="19-01-2025"/>
    <x v="0"/>
    <x v="7"/>
    <s v="C1029"/>
    <s v="P102"/>
    <n v="2"/>
    <n v="500"/>
    <n v="12"/>
    <n v="382076"/>
    <n v="11"/>
    <n v="3"/>
    <s v="Mouse"/>
    <x v="0"/>
    <n v="350"/>
    <n v="1000"/>
    <n v="120"/>
    <n v="880"/>
    <n v="180"/>
    <s v="West-C1029-1151"/>
    <s v="Regular"/>
    <s v="Poor"/>
    <n v="1"/>
    <x v="2"/>
    <n v="0.02"/>
    <n v="126085.08"/>
    <n v="12508.678081195672"/>
    <n v="980"/>
  </r>
  <r>
    <n v="1152"/>
    <s v="19-01-2025"/>
    <x v="1"/>
    <x v="1"/>
    <s v="C1038"/>
    <s v="P110"/>
    <n v="7"/>
    <n v="950"/>
    <n v="5"/>
    <n v="259511"/>
    <n v="9"/>
    <n v="3"/>
    <s v="Webcam"/>
    <x v="0"/>
    <n v="700"/>
    <n v="6650"/>
    <n v="332.5"/>
    <n v="6317.5"/>
    <n v="1417.5"/>
    <s v="North-C1038-1152"/>
    <s v="Regular"/>
    <s v="Poor"/>
    <n v="1"/>
    <x v="2"/>
    <n v="0.02"/>
    <n v="70067.97"/>
    <n v="8252.3804223138686"/>
    <n v="754"/>
  </r>
  <r>
    <n v="1153"/>
    <s v="28-06-2025"/>
    <x v="0"/>
    <x v="4"/>
    <s v="C1004"/>
    <s v="P107"/>
    <n v="10"/>
    <n v="35000"/>
    <n v="12"/>
    <n v="113100"/>
    <n v="12"/>
    <n v="4"/>
    <s v="Tablet"/>
    <x v="1"/>
    <n v="29000"/>
    <n v="350000"/>
    <n v="42000"/>
    <n v="308000"/>
    <n v="18000"/>
    <s v="West-C1004-1153"/>
    <s v="High Value"/>
    <s v="Excellent"/>
    <n v="2"/>
    <x v="3"/>
    <n v="0.04"/>
    <n v="54288"/>
    <n v="2978.3567873510301"/>
    <n v="52"/>
  </r>
  <r>
    <n v="1154"/>
    <s v="13-12-2025"/>
    <x v="0"/>
    <x v="4"/>
    <s v="C1042"/>
    <s v="P109"/>
    <n v="1"/>
    <n v="7000"/>
    <n v="0"/>
    <n v="376948"/>
    <n v="11"/>
    <n v="1"/>
    <s v="Router"/>
    <x v="1"/>
    <n v="5000"/>
    <n v="7000"/>
    <n v="0"/>
    <n v="7000"/>
    <n v="2000"/>
    <s v="West-C1042-1154"/>
    <s v="Regular"/>
    <s v="Poor"/>
    <n v="4"/>
    <x v="0"/>
    <n v="0.08"/>
    <n v="41464.28"/>
    <n v="33315.289416401596"/>
    <n v="719"/>
  </r>
  <r>
    <n v="1155"/>
    <s v="19-05-2025"/>
    <x v="3"/>
    <x v="6"/>
    <s v="C1037"/>
    <s v="P107"/>
    <n v="9"/>
    <n v="35000"/>
    <n v="8"/>
    <n v="307016"/>
    <n v="12"/>
    <n v="5"/>
    <s v="Tablet"/>
    <x v="1"/>
    <n v="29000"/>
    <n v="315000"/>
    <n v="25200"/>
    <n v="289800"/>
    <n v="28800"/>
    <s v="East-C1037-1155"/>
    <s v="High Value"/>
    <s v="Excellent"/>
    <n v="2"/>
    <x v="4"/>
    <n v="0.04"/>
    <n v="184209.6"/>
    <n v="6829.4013504278018"/>
    <n v="57"/>
  </r>
  <r>
    <n v="1156"/>
    <s v="21-12-2025"/>
    <x v="2"/>
    <x v="6"/>
    <s v="C1047"/>
    <s v="P108"/>
    <n v="8"/>
    <n v="2500"/>
    <n v="8"/>
    <n v="280548"/>
    <n v="11"/>
    <n v="1"/>
    <s v="Speaker"/>
    <x v="0"/>
    <n v="1800"/>
    <n v="20000"/>
    <n v="1600"/>
    <n v="18400"/>
    <n v="4000"/>
    <s v="South-C1047-1156"/>
    <s v="Regular"/>
    <s v="Poor"/>
    <n v="4"/>
    <x v="0"/>
    <n v="0.08"/>
    <n v="30860.28"/>
    <n v="24795.297534918969"/>
    <n v="473"/>
  </r>
  <r>
    <n v="1157"/>
    <s v="16-01-2025"/>
    <x v="2"/>
    <x v="1"/>
    <s v="C1023"/>
    <s v="P110"/>
    <n v="1"/>
    <n v="950"/>
    <n v="8"/>
    <n v="293816"/>
    <n v="9"/>
    <n v="5"/>
    <s v="Webcam"/>
    <x v="0"/>
    <n v="700"/>
    <n v="950"/>
    <n v="76"/>
    <n v="874"/>
    <n v="174"/>
    <s v="South-C1023-1157"/>
    <s v="Regular"/>
    <s v="Poor"/>
    <n v="1"/>
    <x v="2"/>
    <n v="0.02"/>
    <n v="132217.20000000001"/>
    <n v="6099.1368991864292"/>
    <n v="982"/>
  </r>
  <r>
    <n v="1158"/>
    <s v="20-09-2025"/>
    <x v="0"/>
    <x v="2"/>
    <s v="C1021"/>
    <s v="P108"/>
    <n v="1"/>
    <n v="2500"/>
    <n v="5"/>
    <n v="284903"/>
    <n v="7"/>
    <n v="1"/>
    <s v="Speaker"/>
    <x v="0"/>
    <n v="1800"/>
    <n v="2500"/>
    <n v="125"/>
    <n v="2375"/>
    <n v="575"/>
    <s v="West-C1021-1158"/>
    <s v="Regular"/>
    <s v="Poor"/>
    <n v="3"/>
    <x v="1"/>
    <n v="0.06"/>
    <n v="19943.21"/>
    <n v="24651.729543597827"/>
    <n v="913"/>
  </r>
  <r>
    <n v="1159"/>
    <s v="21-12-2025"/>
    <x v="3"/>
    <x v="2"/>
    <s v="C1041"/>
    <s v="P104"/>
    <n v="3"/>
    <n v="12000"/>
    <n v="5"/>
    <n v="119789"/>
    <n v="12"/>
    <n v="2"/>
    <s v="Monitor"/>
    <x v="1"/>
    <n v="9000"/>
    <n v="36000"/>
    <n v="1800"/>
    <n v="34200"/>
    <n v="7200"/>
    <s v="East-C1041-1159"/>
    <s v="Regular"/>
    <s v="Average"/>
    <n v="4"/>
    <x v="0"/>
    <n v="0.08"/>
    <n v="28749.360000000001"/>
    <n v="5638.8841641526551"/>
    <n v="355"/>
  </r>
  <r>
    <n v="1160"/>
    <s v="11-11-2025"/>
    <x v="1"/>
    <x v="0"/>
    <s v="C1035"/>
    <s v="P101"/>
    <n v="4"/>
    <n v="55000"/>
    <n v="0"/>
    <n v="334447"/>
    <n v="8"/>
    <n v="2"/>
    <s v="Laptop"/>
    <x v="1"/>
    <n v="45000"/>
    <n v="220000"/>
    <n v="0"/>
    <n v="220000"/>
    <n v="40000"/>
    <s v="North-C1035-1160"/>
    <s v="High Value"/>
    <s v="Excellent"/>
    <n v="4"/>
    <x v="5"/>
    <n v="0.08"/>
    <n v="53511.519999999997"/>
    <n v="15126.131945646423"/>
    <n v="97"/>
  </r>
  <r>
    <n v="1161"/>
    <s v="05-05-2025"/>
    <x v="1"/>
    <x v="3"/>
    <s v="C1047"/>
    <s v="P109"/>
    <n v="3"/>
    <n v="7000"/>
    <n v="10"/>
    <n v="321187"/>
    <n v="10"/>
    <n v="2"/>
    <s v="Router"/>
    <x v="1"/>
    <n v="5000"/>
    <n v="21000"/>
    <n v="2100"/>
    <n v="18900"/>
    <n v="3900"/>
    <s v="North-C1047-1161"/>
    <s v="Regular"/>
    <s v="Poor"/>
    <n v="2"/>
    <x v="4"/>
    <n v="0.04"/>
    <n v="64237.4"/>
    <n v="14821.150455567913"/>
    <n v="471"/>
  </r>
  <r>
    <n v="1162"/>
    <s v="11-01-2025"/>
    <x v="3"/>
    <x v="3"/>
    <s v="C1025"/>
    <s v="P102"/>
    <n v="1"/>
    <n v="500"/>
    <n v="12"/>
    <n v="422322"/>
    <n v="10"/>
    <n v="2"/>
    <s v="Mouse"/>
    <x v="0"/>
    <n v="350"/>
    <n v="500"/>
    <n v="60"/>
    <n v="440"/>
    <n v="90"/>
    <s v="East-C1025-1162"/>
    <s v="Regular"/>
    <s v="Poor"/>
    <n v="1"/>
    <x v="2"/>
    <n v="0.02"/>
    <n v="84464.4"/>
    <n v="19488.017580712643"/>
    <n v="997"/>
  </r>
  <r>
    <n v="1163"/>
    <s v="13-09-2025"/>
    <x v="3"/>
    <x v="1"/>
    <s v="C1035"/>
    <s v="P106"/>
    <n v="7"/>
    <n v="8000"/>
    <n v="0"/>
    <n v="327206"/>
    <n v="7"/>
    <n v="1"/>
    <s v="Printer"/>
    <x v="1"/>
    <n v="6500"/>
    <n v="56000"/>
    <n v="0"/>
    <n v="56000"/>
    <n v="10500"/>
    <s v="East-C1035-1163"/>
    <s v="High Value"/>
    <s v="Good"/>
    <n v="3"/>
    <x v="1"/>
    <n v="0.06"/>
    <n v="22904.42"/>
    <n v="28312.07048378736"/>
    <n v="265"/>
  </r>
  <r>
    <n v="1164"/>
    <s v="26-05-2025"/>
    <x v="0"/>
    <x v="1"/>
    <s v="C1035"/>
    <s v="P106"/>
    <n v="1"/>
    <n v="8000"/>
    <n v="5"/>
    <n v="105582"/>
    <n v="8"/>
    <n v="4"/>
    <s v="Printer"/>
    <x v="1"/>
    <n v="6500"/>
    <n v="8000"/>
    <n v="400"/>
    <n v="7600"/>
    <n v="1100"/>
    <s v="West-C1035-1164"/>
    <s v="Regular"/>
    <s v="Poor"/>
    <n v="2"/>
    <x v="4"/>
    <n v="0.04"/>
    <n v="33786.239999999998"/>
    <n v="2577.5651666605154"/>
    <n v="701"/>
  </r>
  <r>
    <n v="1165"/>
    <s v="14-12-2025"/>
    <x v="2"/>
    <x v="2"/>
    <s v="C1028"/>
    <s v="P106"/>
    <n v="7"/>
    <n v="8000"/>
    <n v="5"/>
    <n v="319252"/>
    <n v="11"/>
    <n v="2"/>
    <s v="Printer"/>
    <x v="1"/>
    <n v="6500"/>
    <n v="56000"/>
    <n v="2800"/>
    <n v="53200"/>
    <n v="7700"/>
    <s v="South-C1028-1165"/>
    <s v="High Value"/>
    <s v="Good"/>
    <n v="4"/>
    <x v="0"/>
    <n v="0.08"/>
    <n v="70235.44"/>
    <n v="14879.64555991702"/>
    <n v="283"/>
  </r>
  <r>
    <n v="1166"/>
    <s v="08-03-2025"/>
    <x v="2"/>
    <x v="7"/>
    <s v="C1042"/>
    <s v="P102"/>
    <n v="2"/>
    <n v="500"/>
    <n v="8"/>
    <n v="252090"/>
    <n v="10"/>
    <n v="3"/>
    <s v="Mouse"/>
    <x v="0"/>
    <n v="350"/>
    <n v="1000"/>
    <n v="80"/>
    <n v="920"/>
    <n v="220"/>
    <s v="South-C1042-1166"/>
    <s v="Regular"/>
    <s v="Poor"/>
    <n v="1"/>
    <x v="10"/>
    <n v="0.02"/>
    <n v="75627"/>
    <n v="8134.2352196944912"/>
    <n v="971"/>
  </r>
  <r>
    <n v="1167"/>
    <s v="13-02-2025"/>
    <x v="1"/>
    <x v="2"/>
    <s v="C1044"/>
    <s v="P105"/>
    <n v="7"/>
    <n v="2000"/>
    <n v="5"/>
    <n v="218378"/>
    <n v="11"/>
    <n v="1"/>
    <s v="Headset"/>
    <x v="0"/>
    <n v="1500"/>
    <n v="14000"/>
    <n v="700"/>
    <n v="13300"/>
    <n v="2800"/>
    <s v="North-C1044-1167"/>
    <s v="Regular"/>
    <s v="Poor"/>
    <n v="1"/>
    <x v="9"/>
    <n v="0.02"/>
    <n v="24021.58"/>
    <n v="19300.609824630847"/>
    <n v="559"/>
  </r>
  <r>
    <n v="1168"/>
    <s v="30-08-2025"/>
    <x v="0"/>
    <x v="5"/>
    <s v="C1034"/>
    <s v="P102"/>
    <n v="3"/>
    <n v="500"/>
    <n v="8"/>
    <n v="304510"/>
    <n v="9"/>
    <n v="1"/>
    <s v="Mouse"/>
    <x v="0"/>
    <n v="350"/>
    <n v="1500"/>
    <n v="120"/>
    <n v="1380"/>
    <n v="330"/>
    <s v="West-C1034-1168"/>
    <s v="Regular"/>
    <s v="Poor"/>
    <n v="3"/>
    <x v="7"/>
    <n v="0.06"/>
    <n v="27405.9"/>
    <n v="26629.849191208774"/>
    <n v="954"/>
  </r>
  <r>
    <n v="1169"/>
    <s v="31-05-2025"/>
    <x v="1"/>
    <x v="4"/>
    <s v="C1044"/>
    <s v="P104"/>
    <n v="2"/>
    <n v="12000"/>
    <n v="5"/>
    <n v="237989"/>
    <n v="9"/>
    <n v="3"/>
    <s v="Monitor"/>
    <x v="1"/>
    <n v="9000"/>
    <n v="24000"/>
    <n v="1200"/>
    <n v="22800"/>
    <n v="4800"/>
    <s v="North-C1044-1169"/>
    <s v="Regular"/>
    <s v="Average"/>
    <n v="2"/>
    <x v="4"/>
    <n v="0.04"/>
    <n v="64257.03"/>
    <n v="7567.9865760066241"/>
    <n v="410"/>
  </r>
  <r>
    <n v="1170"/>
    <s v="28-02-2025"/>
    <x v="2"/>
    <x v="0"/>
    <s v="C1038"/>
    <s v="P101"/>
    <n v="8"/>
    <n v="55000"/>
    <n v="0"/>
    <n v="318145"/>
    <n v="9"/>
    <n v="4"/>
    <s v="Laptop"/>
    <x v="1"/>
    <n v="45000"/>
    <n v="440000"/>
    <n v="0"/>
    <n v="440000"/>
    <n v="80000"/>
    <s v="South-C1038-1170"/>
    <s v="High Value"/>
    <s v="Excellent"/>
    <n v="1"/>
    <x v="9"/>
    <n v="0.02"/>
    <n v="114532.2"/>
    <n v="7917.0518060552986"/>
    <n v="17"/>
  </r>
  <r>
    <n v="1171"/>
    <s v="04-07-2025"/>
    <x v="1"/>
    <x v="6"/>
    <s v="C1041"/>
    <s v="P102"/>
    <n v="2"/>
    <n v="500"/>
    <n v="8"/>
    <n v="131069"/>
    <n v="11"/>
    <n v="4"/>
    <s v="Mouse"/>
    <x v="0"/>
    <n v="350"/>
    <n v="1000"/>
    <n v="80"/>
    <n v="920"/>
    <n v="220"/>
    <s v="North-C1041-1171"/>
    <s v="Regular"/>
    <s v="Poor"/>
    <n v="3"/>
    <x v="8"/>
    <n v="0.06"/>
    <n v="57670.36"/>
    <n v="3387.5468031605087"/>
    <n v="971"/>
  </r>
  <r>
    <n v="1172"/>
    <s v="11-09-2025"/>
    <x v="0"/>
    <x v="6"/>
    <s v="C1036"/>
    <s v="P110"/>
    <n v="5"/>
    <n v="950"/>
    <n v="12"/>
    <n v="435340"/>
    <n v="11"/>
    <n v="1"/>
    <s v="Webcam"/>
    <x v="0"/>
    <n v="700"/>
    <n v="4750"/>
    <n v="570"/>
    <n v="4180"/>
    <n v="680"/>
    <s v="West-C1036-1172"/>
    <s v="Regular"/>
    <s v="Poor"/>
    <n v="3"/>
    <x v="1"/>
    <n v="0.06"/>
    <n v="47887.4"/>
    <n v="38476.0712207951"/>
    <n v="827"/>
  </r>
  <r>
    <n v="1173"/>
    <s v="08-10-2025"/>
    <x v="0"/>
    <x v="5"/>
    <s v="C1032"/>
    <s v="P109"/>
    <n v="10"/>
    <n v="7000"/>
    <n v="15"/>
    <n v="124815"/>
    <n v="8"/>
    <n v="5"/>
    <s v="Router"/>
    <x v="1"/>
    <n v="5000"/>
    <n v="70000"/>
    <n v="10500"/>
    <n v="59500"/>
    <n v="9500"/>
    <s v="West-C1032-1173"/>
    <s v="High Value"/>
    <s v="Good"/>
    <n v="4"/>
    <x v="6"/>
    <n v="0.08"/>
    <n v="49926"/>
    <n v="2530.7981531083533"/>
    <n v="257"/>
  </r>
  <r>
    <n v="1174"/>
    <s v="01-02-2025"/>
    <x v="0"/>
    <x v="6"/>
    <s v="C1047"/>
    <s v="P106"/>
    <n v="2"/>
    <n v="8000"/>
    <n v="12"/>
    <n v="300977"/>
    <n v="9"/>
    <n v="4"/>
    <s v="Printer"/>
    <x v="1"/>
    <n v="6500"/>
    <n v="16000"/>
    <n v="1920"/>
    <n v="14080"/>
    <n v="1080"/>
    <s v="West-C1047-1174"/>
    <s v="Regular"/>
    <s v="Poor"/>
    <n v="1"/>
    <x v="9"/>
    <n v="0.02"/>
    <n v="108351.72"/>
    <n v="7489.8253985795964"/>
    <n v="537"/>
  </r>
  <r>
    <n v="1175"/>
    <s v="12-08-2025"/>
    <x v="1"/>
    <x v="4"/>
    <s v="C1035"/>
    <s v="P101"/>
    <n v="5"/>
    <n v="55000"/>
    <n v="10"/>
    <n v="451007"/>
    <n v="10"/>
    <n v="2"/>
    <s v="Laptop"/>
    <x v="1"/>
    <n v="45000"/>
    <n v="275000"/>
    <n v="27500"/>
    <n v="247500"/>
    <n v="22500"/>
    <s v="North-C1035-1175"/>
    <s v="High Value"/>
    <s v="Excellent"/>
    <n v="3"/>
    <x v="7"/>
    <n v="0.06"/>
    <n v="90201.4"/>
    <n v="20811.684792704305"/>
    <n v="81"/>
  </r>
  <r>
    <n v="1176"/>
    <s v="29-06-2025"/>
    <x v="0"/>
    <x v="5"/>
    <s v="C1037"/>
    <s v="P103"/>
    <n v="4"/>
    <n v="1500"/>
    <n v="8"/>
    <n v="280728"/>
    <n v="10"/>
    <n v="3"/>
    <s v="Keyboard"/>
    <x v="0"/>
    <n v="1200"/>
    <n v="6000"/>
    <n v="480"/>
    <n v="5520"/>
    <n v="720"/>
    <s v="West-C1037-1176"/>
    <s v="Regular"/>
    <s v="Poor"/>
    <n v="2"/>
    <x v="3"/>
    <n v="0.04"/>
    <n v="84218.4"/>
    <n v="9058.3029265516088"/>
    <n v="771"/>
  </r>
  <r>
    <n v="1177"/>
    <s v="27-04-2025"/>
    <x v="0"/>
    <x v="5"/>
    <s v="C1013"/>
    <s v="P106"/>
    <n v="5"/>
    <n v="8000"/>
    <n v="10"/>
    <n v="163199"/>
    <n v="9"/>
    <n v="5"/>
    <s v="Printer"/>
    <x v="1"/>
    <n v="6500"/>
    <n v="40000"/>
    <n v="4000"/>
    <n v="36000"/>
    <n v="3500"/>
    <s v="West-C1013-1177"/>
    <s v="Regular"/>
    <s v="Average"/>
    <n v="2"/>
    <x v="11"/>
    <n v="0.04"/>
    <n v="73439.55"/>
    <n v="3387.7428145857475"/>
    <n v="344"/>
  </r>
  <r>
    <n v="1178"/>
    <s v="30-11-2025"/>
    <x v="0"/>
    <x v="6"/>
    <s v="C1008"/>
    <s v="P101"/>
    <n v="1"/>
    <n v="55000"/>
    <n v="0"/>
    <n v="180510"/>
    <n v="8"/>
    <n v="1"/>
    <s v="Laptop"/>
    <x v="1"/>
    <n v="45000"/>
    <n v="55000"/>
    <n v="0"/>
    <n v="55000"/>
    <n v="10000"/>
    <s v="West-C1008-1178"/>
    <s v="High Value"/>
    <s v="Good"/>
    <n v="4"/>
    <x v="5"/>
    <n v="0.08"/>
    <n v="14440.8"/>
    <n v="15702.281334209356"/>
    <n v="271"/>
  </r>
  <r>
    <n v="1179"/>
    <s v="16-11-2025"/>
    <x v="3"/>
    <x v="3"/>
    <s v="C1018"/>
    <s v="P108"/>
    <n v="8"/>
    <n v="2500"/>
    <n v="12"/>
    <n v="217786"/>
    <n v="12"/>
    <n v="4"/>
    <s v="Speaker"/>
    <x v="0"/>
    <n v="1800"/>
    <n v="20000"/>
    <n v="2400"/>
    <n v="17600"/>
    <n v="3200"/>
    <s v="East-C1018-1179"/>
    <s v="Regular"/>
    <s v="Poor"/>
    <n v="4"/>
    <x v="5"/>
    <n v="0.08"/>
    <n v="104537.28"/>
    <n v="5735.140683377821"/>
    <n v="491"/>
  </r>
  <r>
    <n v="1180"/>
    <s v="29-01-2025"/>
    <x v="3"/>
    <x v="2"/>
    <s v="C1028"/>
    <s v="P103"/>
    <n v="1"/>
    <n v="1500"/>
    <n v="2"/>
    <n v="310296"/>
    <n v="12"/>
    <n v="3"/>
    <s v="Keyboard"/>
    <x v="0"/>
    <n v="1200"/>
    <n v="1500"/>
    <n v="30"/>
    <n v="1470"/>
    <n v="270"/>
    <s v="East-C1028-1180"/>
    <s v="Regular"/>
    <s v="Poor"/>
    <n v="1"/>
    <x v="2"/>
    <n v="0.02"/>
    <n v="111706.56"/>
    <n v="10306.267477688472"/>
    <n v="950"/>
  </r>
  <r>
    <n v="1181"/>
    <s v="22-09-2025"/>
    <x v="2"/>
    <x v="2"/>
    <s v="C1017"/>
    <s v="P105"/>
    <n v="10"/>
    <n v="2000"/>
    <n v="8"/>
    <n v="268680"/>
    <n v="9"/>
    <n v="1"/>
    <s v="Headset"/>
    <x v="0"/>
    <n v="1500"/>
    <n v="20000"/>
    <n v="1600"/>
    <n v="18400"/>
    <n v="3400"/>
    <s v="South-C1017-1181"/>
    <s v="Regular"/>
    <s v="Poor"/>
    <n v="3"/>
    <x v="1"/>
    <n v="0.06"/>
    <n v="24181.200000000001"/>
    <n v="23496.462778542489"/>
    <n v="473"/>
  </r>
  <r>
    <n v="1182"/>
    <s v="14-06-2025"/>
    <x v="3"/>
    <x v="3"/>
    <s v="C1004"/>
    <s v="P104"/>
    <n v="9"/>
    <n v="12000"/>
    <n v="10"/>
    <n v="238181"/>
    <n v="7"/>
    <n v="3"/>
    <s v="Monitor"/>
    <x v="1"/>
    <n v="9000"/>
    <n v="108000"/>
    <n v="10800"/>
    <n v="97200"/>
    <n v="16200"/>
    <s v="East-C1004-1182"/>
    <s v="High Value"/>
    <s v="Good"/>
    <n v="2"/>
    <x v="3"/>
    <n v="0.04"/>
    <n v="50018.01"/>
    <n v="7354.3378084911537"/>
    <n v="169"/>
  </r>
  <r>
    <n v="1183"/>
    <s v="06-07-2025"/>
    <x v="3"/>
    <x v="0"/>
    <s v="C1009"/>
    <s v="P110"/>
    <n v="6"/>
    <n v="950"/>
    <n v="12"/>
    <n v="340270"/>
    <n v="11"/>
    <n v="5"/>
    <s v="Webcam"/>
    <x v="0"/>
    <n v="700"/>
    <n v="5700"/>
    <n v="684"/>
    <n v="5016"/>
    <n v="816"/>
    <s v="East-C1009-1183"/>
    <s v="Regular"/>
    <s v="Poor"/>
    <n v="3"/>
    <x v="8"/>
    <n v="0.06"/>
    <n v="187148.5"/>
    <n v="7398.2942989283392"/>
    <n v="789"/>
  </r>
  <r>
    <n v="1184"/>
    <s v="14-05-2025"/>
    <x v="3"/>
    <x v="1"/>
    <s v="C1028"/>
    <s v="P106"/>
    <n v="4"/>
    <n v="8000"/>
    <n v="10"/>
    <n v="118002"/>
    <n v="8"/>
    <n v="1"/>
    <s v="Printer"/>
    <x v="1"/>
    <n v="6500"/>
    <n v="32000"/>
    <n v="3200"/>
    <n v="28800"/>
    <n v="2800"/>
    <s v="East-C1028-1184"/>
    <s v="Regular"/>
    <s v="Average"/>
    <n v="2"/>
    <x v="4"/>
    <n v="0.04"/>
    <n v="9440.16"/>
    <n v="10264.808608937858"/>
    <n v="384"/>
  </r>
  <r>
    <n v="1185"/>
    <s v="29-08-2025"/>
    <x v="3"/>
    <x v="5"/>
    <s v="C1004"/>
    <s v="P104"/>
    <n v="10"/>
    <n v="12000"/>
    <n v="0"/>
    <n v="76299"/>
    <n v="11"/>
    <n v="1"/>
    <s v="Monitor"/>
    <x v="1"/>
    <n v="9000"/>
    <n v="120000"/>
    <n v="0"/>
    <n v="120000"/>
    <n v="30000"/>
    <s v="East-C1004-1185"/>
    <s v="High Value"/>
    <s v="Excellent"/>
    <n v="3"/>
    <x v="7"/>
    <n v="0.06"/>
    <n v="8392.89"/>
    <n v="6743.4321635398665"/>
    <n v="143"/>
  </r>
  <r>
    <n v="1186"/>
    <s v="17-06-2025"/>
    <x v="1"/>
    <x v="7"/>
    <s v="C1045"/>
    <s v="P107"/>
    <n v="6"/>
    <n v="35000"/>
    <n v="8"/>
    <n v="178945"/>
    <n v="8"/>
    <n v="3"/>
    <s v="Tablet"/>
    <x v="1"/>
    <n v="29000"/>
    <n v="210000"/>
    <n v="16800"/>
    <n v="193200"/>
    <n v="19200"/>
    <s v="North-C1045-1186"/>
    <s v="High Value"/>
    <s v="Excellent"/>
    <n v="2"/>
    <x v="3"/>
    <n v="0.04"/>
    <n v="42946.8"/>
    <n v="5607.4859174957437"/>
    <n v="111"/>
  </r>
  <r>
    <n v="1187"/>
    <s v="18-07-2025"/>
    <x v="3"/>
    <x v="7"/>
    <s v="C1015"/>
    <s v="P104"/>
    <n v="6"/>
    <n v="12000"/>
    <n v="0"/>
    <n v="406391"/>
    <n v="8"/>
    <n v="3"/>
    <s v="Monitor"/>
    <x v="1"/>
    <n v="9000"/>
    <n v="72000"/>
    <n v="0"/>
    <n v="72000"/>
    <n v="18000"/>
    <s v="East-C1015-1187"/>
    <s v="High Value"/>
    <s v="Good"/>
    <n v="3"/>
    <x v="8"/>
    <n v="0.06"/>
    <n v="97533.84"/>
    <n v="12734.816896236343"/>
    <n v="210"/>
  </r>
  <r>
    <n v="1188"/>
    <s v="26-01-2025"/>
    <x v="3"/>
    <x v="1"/>
    <s v="C1038"/>
    <s v="P109"/>
    <n v="4"/>
    <n v="7000"/>
    <n v="5"/>
    <n v="130708"/>
    <n v="10"/>
    <n v="5"/>
    <s v="Router"/>
    <x v="1"/>
    <n v="5000"/>
    <n v="28000"/>
    <n v="1400"/>
    <n v="26600"/>
    <n v="6600"/>
    <s v="East-C1038-1188"/>
    <s v="Regular"/>
    <s v="Average"/>
    <n v="1"/>
    <x v="2"/>
    <n v="0.02"/>
    <n v="65354"/>
    <n v="2777.1587201204538"/>
    <n v="391"/>
  </r>
  <r>
    <n v="1189"/>
    <s v="13-09-2025"/>
    <x v="2"/>
    <x v="5"/>
    <s v="C1014"/>
    <s v="P108"/>
    <n v="7"/>
    <n v="2500"/>
    <n v="5"/>
    <n v="85870"/>
    <n v="8"/>
    <n v="5"/>
    <s v="Speaker"/>
    <x v="0"/>
    <n v="1800"/>
    <n v="17500"/>
    <n v="875"/>
    <n v="16625"/>
    <n v="4025"/>
    <s v="South-C1014-1189"/>
    <s v="Regular"/>
    <s v="Poor"/>
    <n v="3"/>
    <x v="1"/>
    <n v="0.06"/>
    <n v="34348"/>
    <n v="1741.1339775460829"/>
    <n v="506"/>
  </r>
  <r>
    <n v="1190"/>
    <s v="24-12-2025"/>
    <x v="2"/>
    <x v="7"/>
    <s v="C1006"/>
    <s v="P107"/>
    <n v="8"/>
    <n v="35000"/>
    <n v="10"/>
    <n v="155676"/>
    <n v="11"/>
    <n v="5"/>
    <s v="Tablet"/>
    <x v="1"/>
    <n v="29000"/>
    <n v="280000"/>
    <n v="28000"/>
    <n v="252000"/>
    <n v="20000"/>
    <s v="South-C1006-1190"/>
    <s v="High Value"/>
    <s v="Excellent"/>
    <n v="4"/>
    <x v="0"/>
    <n v="0.08"/>
    <n v="85621.8"/>
    <n v="3384.7734542568196"/>
    <n v="76"/>
  </r>
  <r>
    <n v="1191"/>
    <s v="13-04-2025"/>
    <x v="0"/>
    <x v="1"/>
    <s v="C1018"/>
    <s v="P105"/>
    <n v="8"/>
    <n v="2000"/>
    <n v="0"/>
    <n v="146288"/>
    <n v="10"/>
    <n v="2"/>
    <s v="Headset"/>
    <x v="0"/>
    <n v="1500"/>
    <n v="16000"/>
    <n v="0"/>
    <n v="16000"/>
    <n v="4000"/>
    <s v="West-C1018-1191"/>
    <s v="Regular"/>
    <s v="Poor"/>
    <n v="2"/>
    <x v="11"/>
    <n v="0.04"/>
    <n v="29257.599999999999"/>
    <n v="6750.4489840626147"/>
    <n v="514"/>
  </r>
  <r>
    <n v="1192"/>
    <s v="09-10-2025"/>
    <x v="0"/>
    <x v="6"/>
    <s v="C1019"/>
    <s v="P109"/>
    <n v="6"/>
    <n v="7000"/>
    <n v="8"/>
    <n v="347985"/>
    <n v="10"/>
    <n v="4"/>
    <s v="Router"/>
    <x v="1"/>
    <n v="5000"/>
    <n v="42000"/>
    <n v="3360"/>
    <n v="38640"/>
    <n v="8640"/>
    <s v="West-C1019-1192"/>
    <s v="Regular"/>
    <s v="Average"/>
    <n v="4"/>
    <x v="6"/>
    <n v="0.08"/>
    <n v="139194"/>
    <n v="8825.7985965405005"/>
    <n v="338"/>
  </r>
  <r>
    <n v="1193"/>
    <s v="14-09-2025"/>
    <x v="3"/>
    <x v="4"/>
    <s v="C1024"/>
    <s v="P101"/>
    <n v="8"/>
    <n v="55000"/>
    <n v="5"/>
    <n v="356640"/>
    <n v="7"/>
    <n v="1"/>
    <s v="Laptop"/>
    <x v="1"/>
    <n v="45000"/>
    <n v="440000"/>
    <n v="22000"/>
    <n v="418000"/>
    <n v="58000"/>
    <s v="East-C1024-1193"/>
    <s v="High Value"/>
    <s v="Excellent"/>
    <n v="3"/>
    <x v="1"/>
    <n v="0.06"/>
    <n v="24964.799999999999"/>
    <n v="30858.898728439955"/>
    <n v="23"/>
  </r>
  <r>
    <n v="1194"/>
    <s v="26-02-2025"/>
    <x v="1"/>
    <x v="3"/>
    <s v="C1025"/>
    <s v="P106"/>
    <n v="3"/>
    <n v="8000"/>
    <n v="10"/>
    <n v="472929"/>
    <n v="8"/>
    <n v="5"/>
    <s v="Printer"/>
    <x v="1"/>
    <n v="6500"/>
    <n v="24000"/>
    <n v="2400"/>
    <n v="21600"/>
    <n v="2100"/>
    <s v="North-C1025-1194"/>
    <s v="Regular"/>
    <s v="Average"/>
    <n v="1"/>
    <x v="9"/>
    <n v="0.02"/>
    <n v="189171.6"/>
    <n v="9589.2948744251935"/>
    <n v="424"/>
  </r>
  <r>
    <n v="1195"/>
    <s v="02-04-2025"/>
    <x v="0"/>
    <x v="3"/>
    <s v="C1013"/>
    <s v="P109"/>
    <n v="3"/>
    <n v="7000"/>
    <n v="0"/>
    <n v="467913"/>
    <n v="10"/>
    <n v="5"/>
    <s v="Router"/>
    <x v="1"/>
    <n v="5000"/>
    <n v="21000"/>
    <n v="0"/>
    <n v="21000"/>
    <n v="6000"/>
    <s v="West-C1013-1195"/>
    <s v="Regular"/>
    <s v="Average"/>
    <n v="2"/>
    <x v="11"/>
    <n v="0.04"/>
    <n v="233956.5"/>
    <n v="9941.7684319836735"/>
    <n v="436"/>
  </r>
  <r>
    <n v="1196"/>
    <s v="19-04-2025"/>
    <x v="1"/>
    <x v="0"/>
    <s v="C1032"/>
    <s v="P104"/>
    <n v="6"/>
    <n v="12000"/>
    <n v="0"/>
    <n v="308324"/>
    <n v="8"/>
    <n v="1"/>
    <s v="Monitor"/>
    <x v="1"/>
    <n v="9000"/>
    <n v="72000"/>
    <n v="0"/>
    <n v="72000"/>
    <n v="18000"/>
    <s v="North-C1032-1196"/>
    <s v="High Value"/>
    <s v="Good"/>
    <n v="2"/>
    <x v="11"/>
    <n v="0.04"/>
    <n v="24665.919999999998"/>
    <n v="26820.620409333362"/>
    <n v="210"/>
  </r>
  <r>
    <n v="1197"/>
    <s v="02-02-2025"/>
    <x v="2"/>
    <x v="5"/>
    <s v="C1021"/>
    <s v="P109"/>
    <n v="5"/>
    <n v="7000"/>
    <n v="8"/>
    <n v="133404"/>
    <n v="10"/>
    <n v="4"/>
    <s v="Router"/>
    <x v="1"/>
    <n v="5000"/>
    <n v="35000"/>
    <n v="2800"/>
    <n v="32200"/>
    <n v="7200"/>
    <s v="South-C1021-1197"/>
    <s v="Regular"/>
    <s v="Average"/>
    <n v="1"/>
    <x v="9"/>
    <n v="0.02"/>
    <n v="53361.599999999999"/>
    <n v="3383.470080529014"/>
    <n v="359"/>
  </r>
  <r>
    <n v="1198"/>
    <s v="07-05-2025"/>
    <x v="2"/>
    <x v="7"/>
    <s v="C1008"/>
    <s v="P101"/>
    <n v="3"/>
    <n v="55000"/>
    <n v="5"/>
    <n v="167905"/>
    <n v="9"/>
    <n v="2"/>
    <s v="Laptop"/>
    <x v="1"/>
    <n v="45000"/>
    <n v="165000"/>
    <n v="8250"/>
    <n v="156750"/>
    <n v="21750"/>
    <s v="South-C1008-1198"/>
    <s v="High Value"/>
    <s v="Excellent"/>
    <n v="2"/>
    <x v="4"/>
    <n v="0.04"/>
    <n v="30222.9"/>
    <n v="7670.6966523845585"/>
    <n v="129"/>
  </r>
  <r>
    <n v="1199"/>
    <s v="28-11-2025"/>
    <x v="1"/>
    <x v="0"/>
    <s v="C1005"/>
    <s v="P103"/>
    <n v="3"/>
    <n v="1500"/>
    <n v="10"/>
    <n v="275915"/>
    <n v="7"/>
    <n v="5"/>
    <s v="Keyboard"/>
    <x v="0"/>
    <n v="1200"/>
    <n v="4500"/>
    <n v="450"/>
    <n v="4050"/>
    <n v="450"/>
    <s v="North-C1005-1199"/>
    <s v="Regular"/>
    <s v="Poor"/>
    <n v="4"/>
    <x v="5"/>
    <n v="0.08"/>
    <n v="96570.25"/>
    <n v="5463.4476952605428"/>
    <n v="832"/>
  </r>
  <r>
    <n v="1200"/>
    <s v="23-06-2025"/>
    <x v="3"/>
    <x v="2"/>
    <s v="C1012"/>
    <s v="P104"/>
    <n v="4"/>
    <n v="12000"/>
    <n v="10"/>
    <n v="189961"/>
    <n v="12"/>
    <n v="2"/>
    <s v="Monitor"/>
    <x v="1"/>
    <n v="9000"/>
    <n v="48000"/>
    <n v="4800"/>
    <n v="43200"/>
    <n v="7200"/>
    <s v="East-C1012-1200"/>
    <s v="Regular"/>
    <s v="Average"/>
    <n v="2"/>
    <x v="3"/>
    <n v="0.04"/>
    <n v="45590.64"/>
    <n v="8942.1238570035857"/>
    <n v="323"/>
  </r>
  <r>
    <n v="1201"/>
    <s v="27-05-2025"/>
    <x v="0"/>
    <x v="6"/>
    <s v="C1030"/>
    <s v="P108"/>
    <n v="7"/>
    <n v="2500"/>
    <n v="10"/>
    <n v="266510"/>
    <n v="11"/>
    <n v="4"/>
    <s v="Speaker"/>
    <x v="0"/>
    <n v="1800"/>
    <n v="17500"/>
    <n v="1750"/>
    <n v="15750"/>
    <n v="3150"/>
    <s v="West-C1030-1201"/>
    <s v="Regular"/>
    <s v="Poor"/>
    <n v="2"/>
    <x v="4"/>
    <n v="0.04"/>
    <n v="117264.4"/>
    <n v="6888.0902311782893"/>
    <n v="518"/>
  </r>
  <r>
    <n v="1202"/>
    <s v="23-07-2025"/>
    <x v="0"/>
    <x v="7"/>
    <s v="C1045"/>
    <s v="P106"/>
    <n v="6"/>
    <n v="8000"/>
    <n v="10"/>
    <n v="127264"/>
    <n v="10"/>
    <n v="1"/>
    <s v="Printer"/>
    <x v="1"/>
    <n v="6500"/>
    <n v="48000"/>
    <n v="4800"/>
    <n v="43200"/>
    <n v="4200"/>
    <s v="West-C1045-1202"/>
    <s v="Regular"/>
    <s v="Average"/>
    <n v="3"/>
    <x v="8"/>
    <n v="0.06"/>
    <n v="12726.4"/>
    <n v="11188.527472439942"/>
    <n v="323"/>
  </r>
  <r>
    <n v="1203"/>
    <s v="08-12-2025"/>
    <x v="2"/>
    <x v="6"/>
    <s v="C1042"/>
    <s v="P106"/>
    <n v="9"/>
    <n v="8000"/>
    <n v="10"/>
    <n v="335838"/>
    <n v="8"/>
    <n v="3"/>
    <s v="Printer"/>
    <x v="1"/>
    <n v="6500"/>
    <n v="72000"/>
    <n v="7200"/>
    <n v="64800"/>
    <n v="6300"/>
    <s v="South-C1042-1203"/>
    <s v="High Value"/>
    <s v="Good"/>
    <n v="4"/>
    <x v="0"/>
    <n v="0.08"/>
    <n v="80601.119999999995"/>
    <n v="10523.942303836015"/>
    <n v="231"/>
  </r>
  <r>
    <n v="1204"/>
    <s v="22-04-2025"/>
    <x v="3"/>
    <x v="6"/>
    <s v="C1009"/>
    <s v="P108"/>
    <n v="3"/>
    <n v="2500"/>
    <n v="12"/>
    <n v="147701"/>
    <n v="11"/>
    <n v="2"/>
    <s v="Speaker"/>
    <x v="0"/>
    <n v="1800"/>
    <n v="7500"/>
    <n v="900"/>
    <n v="6600"/>
    <n v="1200"/>
    <s v="East-C1009-1204"/>
    <s v="Regular"/>
    <s v="Poor"/>
    <n v="2"/>
    <x v="11"/>
    <n v="0.04"/>
    <n v="32494.22"/>
    <n v="6884.0243094649477"/>
    <n v="738"/>
  </r>
  <r>
    <n v="1205"/>
    <s v="18-04-2025"/>
    <x v="3"/>
    <x v="6"/>
    <s v="C1048"/>
    <s v="P103"/>
    <n v="3"/>
    <n v="1500"/>
    <n v="10"/>
    <n v="480280"/>
    <n v="9"/>
    <n v="3"/>
    <s v="Keyboard"/>
    <x v="0"/>
    <n v="1200"/>
    <n v="4500"/>
    <n v="450"/>
    <n v="4050"/>
    <n v="450"/>
    <s v="East-C1048-1205"/>
    <s v="Regular"/>
    <s v="Poor"/>
    <n v="2"/>
    <x v="11"/>
    <n v="0.04"/>
    <n v="129675.6"/>
    <n v="15272.775601916313"/>
    <n v="832"/>
  </r>
  <r>
    <n v="1206"/>
    <s v="03-03-2025"/>
    <x v="2"/>
    <x v="6"/>
    <s v="C1034"/>
    <s v="P102"/>
    <n v="4"/>
    <n v="500"/>
    <n v="15"/>
    <n v="237482"/>
    <n v="11"/>
    <n v="1"/>
    <s v="Mouse"/>
    <x v="0"/>
    <n v="350"/>
    <n v="2000"/>
    <n v="300"/>
    <n v="1700"/>
    <n v="300"/>
    <s v="South-C1034-1206"/>
    <s v="Regular"/>
    <s v="Poor"/>
    <n v="1"/>
    <x v="10"/>
    <n v="0.02"/>
    <n v="26123.02"/>
    <n v="20989.053029027567"/>
    <n v="947"/>
  </r>
  <r>
    <n v="1207"/>
    <s v="21-11-2025"/>
    <x v="1"/>
    <x v="7"/>
    <s v="C1031"/>
    <s v="P102"/>
    <n v="1"/>
    <n v="500"/>
    <n v="0"/>
    <n v="141235"/>
    <n v="10"/>
    <n v="3"/>
    <s v="Mouse"/>
    <x v="0"/>
    <n v="350"/>
    <n v="500"/>
    <n v="0"/>
    <n v="500"/>
    <n v="150"/>
    <s v="North-C1031-1207"/>
    <s v="Regular"/>
    <s v="Poor"/>
    <n v="4"/>
    <x v="5"/>
    <n v="0.08"/>
    <n v="42370.5"/>
    <n v="4557.2561833216369"/>
    <n v="993"/>
  </r>
  <r>
    <n v="1208"/>
    <s v="26-11-2025"/>
    <x v="3"/>
    <x v="0"/>
    <s v="C1028"/>
    <s v="P108"/>
    <n v="10"/>
    <n v="2500"/>
    <n v="0"/>
    <n v="386243"/>
    <n v="9"/>
    <n v="5"/>
    <s v="Speaker"/>
    <x v="0"/>
    <n v="1800"/>
    <n v="25000"/>
    <n v="0"/>
    <n v="25000"/>
    <n v="7000"/>
    <s v="East-C1028-1208"/>
    <s v="Regular"/>
    <s v="Average"/>
    <n v="4"/>
    <x v="5"/>
    <n v="0.08"/>
    <n v="173809.35"/>
    <n v="8017.7693976926512"/>
    <n v="397"/>
  </r>
  <r>
    <n v="1209"/>
    <s v="21-02-2025"/>
    <x v="0"/>
    <x v="2"/>
    <s v="C1033"/>
    <s v="P105"/>
    <n v="3"/>
    <n v="2000"/>
    <n v="0"/>
    <n v="456482"/>
    <n v="11"/>
    <n v="2"/>
    <s v="Headset"/>
    <x v="0"/>
    <n v="1500"/>
    <n v="6000"/>
    <n v="0"/>
    <n v="6000"/>
    <n v="1500"/>
    <s v="West-C1033-1209"/>
    <s v="Regular"/>
    <s v="Poor"/>
    <n v="1"/>
    <x v="9"/>
    <n v="0.02"/>
    <n v="100426.04"/>
    <n v="21275.639195626154"/>
    <n v="759"/>
  </r>
  <r>
    <n v="1210"/>
    <s v="21-09-2025"/>
    <x v="0"/>
    <x v="0"/>
    <s v="C1033"/>
    <s v="P105"/>
    <n v="10"/>
    <n v="2000"/>
    <n v="10"/>
    <n v="51548"/>
    <n v="7"/>
    <n v="1"/>
    <s v="Headset"/>
    <x v="0"/>
    <n v="1500"/>
    <n v="20000"/>
    <n v="2000"/>
    <n v="18000"/>
    <n v="3000"/>
    <s v="West-C1033-1210"/>
    <s v="Regular"/>
    <s v="Poor"/>
    <n v="3"/>
    <x v="1"/>
    <n v="0.06"/>
    <n v="3608.36"/>
    <n v="4460.2807078668202"/>
    <n v="480"/>
  </r>
  <r>
    <n v="1211"/>
    <s v="16-03-2025"/>
    <x v="0"/>
    <x v="1"/>
    <s v="C1041"/>
    <s v="P106"/>
    <n v="3"/>
    <n v="8000"/>
    <n v="8"/>
    <n v="116258"/>
    <n v="8"/>
    <n v="4"/>
    <s v="Printer"/>
    <x v="1"/>
    <n v="6500"/>
    <n v="24000"/>
    <n v="1920"/>
    <n v="22080"/>
    <n v="2580"/>
    <s v="West-C1041-1211"/>
    <s v="Regular"/>
    <s v="Average"/>
    <n v="1"/>
    <x v="10"/>
    <n v="0.02"/>
    <n v="37202.559999999998"/>
    <n v="2838.1975255783955"/>
    <n v="418"/>
  </r>
  <r>
    <n v="1212"/>
    <s v="06-04-2025"/>
    <x v="1"/>
    <x v="4"/>
    <s v="C1014"/>
    <s v="P106"/>
    <n v="4"/>
    <n v="8000"/>
    <n v="5"/>
    <n v="238584"/>
    <n v="12"/>
    <n v="5"/>
    <s v="Printer"/>
    <x v="1"/>
    <n v="6500"/>
    <n v="32000"/>
    <n v="1600"/>
    <n v="30400"/>
    <n v="4400"/>
    <s v="North-C1014-1212"/>
    <s v="Regular"/>
    <s v="Average"/>
    <n v="2"/>
    <x v="11"/>
    <n v="0.04"/>
    <n v="143150.39999999999"/>
    <n v="5307.1693064546052"/>
    <n v="375"/>
  </r>
  <r>
    <n v="1213"/>
    <s v="08-05-2025"/>
    <x v="1"/>
    <x v="5"/>
    <s v="C1021"/>
    <s v="P106"/>
    <n v="3"/>
    <n v="8000"/>
    <n v="5"/>
    <n v="412521"/>
    <n v="12"/>
    <n v="1"/>
    <s v="Printer"/>
    <x v="1"/>
    <n v="6500"/>
    <n v="24000"/>
    <n v="1200"/>
    <n v="22800"/>
    <n v="3300"/>
    <s v="North-C1021-1213"/>
    <s v="Regular"/>
    <s v="Average"/>
    <n v="2"/>
    <x v="4"/>
    <n v="0.04"/>
    <n v="49502.52"/>
    <n v="36651.991154378193"/>
    <n v="410"/>
  </r>
  <r>
    <n v="1214"/>
    <s v="16-12-2025"/>
    <x v="0"/>
    <x v="0"/>
    <s v="C1042"/>
    <s v="P108"/>
    <n v="1"/>
    <n v="2500"/>
    <n v="2"/>
    <n v="95275"/>
    <n v="12"/>
    <n v="1"/>
    <s v="Speaker"/>
    <x v="0"/>
    <n v="1800"/>
    <n v="2500"/>
    <n v="50"/>
    <n v="2450"/>
    <n v="650"/>
    <s v="West-C1042-1214"/>
    <s v="Regular"/>
    <s v="Poor"/>
    <n v="4"/>
    <x v="0"/>
    <n v="0.08"/>
    <n v="11433"/>
    <n v="8465.0683413290044"/>
    <n v="908"/>
  </r>
  <r>
    <n v="1215"/>
    <s v="23-04-2025"/>
    <x v="1"/>
    <x v="4"/>
    <s v="C1050"/>
    <s v="P108"/>
    <n v="2"/>
    <n v="2500"/>
    <n v="15"/>
    <n v="93158"/>
    <n v="8"/>
    <n v="1"/>
    <s v="Speaker"/>
    <x v="0"/>
    <n v="1800"/>
    <n v="5000"/>
    <n v="750"/>
    <n v="4250"/>
    <n v="650"/>
    <s v="North-C1050-1215"/>
    <s v="Regular"/>
    <s v="Poor"/>
    <n v="2"/>
    <x v="11"/>
    <n v="0.04"/>
    <n v="7452.64"/>
    <n v="8103.6680767396565"/>
    <n v="825"/>
  </r>
  <r>
    <n v="1216"/>
    <s v="02-03-2025"/>
    <x v="2"/>
    <x v="1"/>
    <s v="C1042"/>
    <s v="P103"/>
    <n v="8"/>
    <n v="1500"/>
    <n v="10"/>
    <n v="422678"/>
    <n v="11"/>
    <n v="4"/>
    <s v="Keyboard"/>
    <x v="0"/>
    <n v="1200"/>
    <n v="12000"/>
    <n v="1200"/>
    <n v="10800"/>
    <n v="1200"/>
    <s v="South-C1042-1216"/>
    <s v="Regular"/>
    <s v="Poor"/>
    <n v="1"/>
    <x v="10"/>
    <n v="0.02"/>
    <n v="185978.32"/>
    <n v="10924.333806363653"/>
    <n v="619"/>
  </r>
  <r>
    <n v="1217"/>
    <s v="24-08-2025"/>
    <x v="1"/>
    <x v="4"/>
    <s v="C1049"/>
    <s v="P103"/>
    <n v="4"/>
    <n v="1500"/>
    <n v="12"/>
    <n v="198657"/>
    <n v="10"/>
    <n v="3"/>
    <s v="Keyboard"/>
    <x v="0"/>
    <n v="1200"/>
    <n v="6000"/>
    <n v="720"/>
    <n v="5280"/>
    <n v="480"/>
    <s v="North-C1049-1217"/>
    <s v="Regular"/>
    <s v="Poor"/>
    <n v="3"/>
    <x v="7"/>
    <n v="0.06"/>
    <n v="59597.1"/>
    <n v="6410.1026063661729"/>
    <n v="779"/>
  </r>
  <r>
    <n v="1218"/>
    <s v="09-06-2025"/>
    <x v="2"/>
    <x v="4"/>
    <s v="C1048"/>
    <s v="P105"/>
    <n v="10"/>
    <n v="2000"/>
    <n v="15"/>
    <n v="170855"/>
    <n v="8"/>
    <n v="4"/>
    <s v="Headset"/>
    <x v="0"/>
    <n v="1500"/>
    <n v="20000"/>
    <n v="3000"/>
    <n v="17000"/>
    <n v="2000"/>
    <s v="South-C1048-1218"/>
    <s v="Regular"/>
    <s v="Poor"/>
    <n v="2"/>
    <x v="3"/>
    <n v="0.04"/>
    <n v="54673.599999999999"/>
    <n v="4171.0698466574067"/>
    <n v="503"/>
  </r>
  <r>
    <n v="1219"/>
    <s v="16-05-2025"/>
    <x v="3"/>
    <x v="7"/>
    <s v="C1032"/>
    <s v="P108"/>
    <n v="9"/>
    <n v="2500"/>
    <n v="10"/>
    <n v="85398"/>
    <n v="8"/>
    <n v="1"/>
    <s v="Speaker"/>
    <x v="0"/>
    <n v="1800"/>
    <n v="22500"/>
    <n v="2250"/>
    <n v="20250"/>
    <n v="4050"/>
    <s v="East-C1032-1219"/>
    <s v="Regular"/>
    <s v="Average"/>
    <n v="2"/>
    <x v="4"/>
    <n v="0.04"/>
    <n v="6831.84"/>
    <n v="7428.6378670367885"/>
    <n v="449"/>
  </r>
  <r>
    <n v="1220"/>
    <s v="01-11-2025"/>
    <x v="1"/>
    <x v="6"/>
    <s v="C1015"/>
    <s v="P104"/>
    <n v="8"/>
    <n v="12000"/>
    <n v="10"/>
    <n v="417213"/>
    <n v="7"/>
    <n v="2"/>
    <s v="Monitor"/>
    <x v="1"/>
    <n v="9000"/>
    <n v="96000"/>
    <n v="9600"/>
    <n v="86400"/>
    <n v="14400"/>
    <s v="North-C1015-1220"/>
    <s v="High Value"/>
    <s v="Good"/>
    <n v="4"/>
    <x v="5"/>
    <n v="0.08"/>
    <n v="58409.82"/>
    <n v="18679.702045360609"/>
    <n v="189"/>
  </r>
  <r>
    <n v="1221"/>
    <s v="24-09-2025"/>
    <x v="1"/>
    <x v="0"/>
    <s v="C1036"/>
    <s v="P103"/>
    <n v="7"/>
    <n v="1500"/>
    <n v="8"/>
    <n v="281205"/>
    <n v="7"/>
    <n v="5"/>
    <s v="Keyboard"/>
    <x v="0"/>
    <n v="1200"/>
    <n v="10500"/>
    <n v="840"/>
    <n v="9660"/>
    <n v="1260"/>
    <s v="North-C1036-1221"/>
    <s v="Regular"/>
    <s v="Poor"/>
    <n v="3"/>
    <x v="1"/>
    <n v="0.06"/>
    <n v="98421.75"/>
    <n v="5568.1960355389911"/>
    <n v="650"/>
  </r>
  <r>
    <n v="1222"/>
    <s v="24-12-2025"/>
    <x v="2"/>
    <x v="2"/>
    <s v="C1024"/>
    <s v="P106"/>
    <n v="10"/>
    <n v="8000"/>
    <n v="8"/>
    <n v="487820"/>
    <n v="12"/>
    <n v="2"/>
    <s v="Printer"/>
    <x v="1"/>
    <n v="6500"/>
    <n v="80000"/>
    <n v="6400"/>
    <n v="73600"/>
    <n v="8600"/>
    <s v="South-C1024-1222"/>
    <s v="High Value"/>
    <s v="Good"/>
    <n v="4"/>
    <x v="0"/>
    <n v="0.08"/>
    <n v="117076.8"/>
    <n v="22963.381219952986"/>
    <n v="207"/>
  </r>
  <r>
    <n v="1223"/>
    <s v="06-07-2025"/>
    <x v="3"/>
    <x v="6"/>
    <s v="C1041"/>
    <s v="P102"/>
    <n v="6"/>
    <n v="500"/>
    <n v="15"/>
    <n v="136169"/>
    <n v="10"/>
    <n v="1"/>
    <s v="Mouse"/>
    <x v="0"/>
    <n v="350"/>
    <n v="3000"/>
    <n v="450"/>
    <n v="2550"/>
    <n v="450"/>
    <s v="East-C1041-1223"/>
    <s v="Regular"/>
    <s v="Poor"/>
    <n v="3"/>
    <x v="8"/>
    <n v="0.06"/>
    <n v="13616.9"/>
    <n v="11971.418448223178"/>
    <n v="905"/>
  </r>
  <r>
    <n v="1224"/>
    <s v="28-08-2025"/>
    <x v="3"/>
    <x v="0"/>
    <s v="C1004"/>
    <s v="P102"/>
    <n v="8"/>
    <n v="500"/>
    <n v="2"/>
    <n v="368368"/>
    <n v="8"/>
    <n v="5"/>
    <s v="Mouse"/>
    <x v="0"/>
    <n v="350"/>
    <n v="4000"/>
    <n v="80"/>
    <n v="3920"/>
    <n v="1120"/>
    <s v="East-C1004-1224"/>
    <s v="Regular"/>
    <s v="Poor"/>
    <n v="3"/>
    <x v="7"/>
    <n v="0.06"/>
    <n v="147347.20000000001"/>
    <n v="7469.1748112343703"/>
    <n v="846"/>
  </r>
  <r>
    <n v="1225"/>
    <s v="27-06-2025"/>
    <x v="2"/>
    <x v="2"/>
    <s v="C1048"/>
    <s v="P105"/>
    <n v="5"/>
    <n v="2000"/>
    <n v="10"/>
    <n v="319549"/>
    <n v="8"/>
    <n v="3"/>
    <s v="Headset"/>
    <x v="0"/>
    <n v="1500"/>
    <n v="10000"/>
    <n v="1000"/>
    <n v="9000"/>
    <n v="1500"/>
    <s v="South-C1048-1225"/>
    <s v="Regular"/>
    <s v="Poor"/>
    <n v="2"/>
    <x v="3"/>
    <n v="0.04"/>
    <n v="76691.759999999995"/>
    <n v="10013.504246834767"/>
    <n v="663"/>
  </r>
  <r>
    <n v="1226"/>
    <s v="21-10-2025"/>
    <x v="2"/>
    <x v="7"/>
    <s v="C1022"/>
    <s v="P104"/>
    <n v="3"/>
    <n v="12000"/>
    <n v="12"/>
    <n v="281010"/>
    <n v="7"/>
    <n v="2"/>
    <s v="Monitor"/>
    <x v="1"/>
    <n v="9000"/>
    <n v="36000"/>
    <n v="4320"/>
    <n v="31680"/>
    <n v="4680"/>
    <s v="South-C1022-1226"/>
    <s v="Regular"/>
    <s v="Average"/>
    <n v="4"/>
    <x v="6"/>
    <n v="0.08"/>
    <n v="39341.4"/>
    <n v="12581.542453774893"/>
    <n v="365"/>
  </r>
  <r>
    <n v="1227"/>
    <s v="06-06-2025"/>
    <x v="1"/>
    <x v="0"/>
    <s v="C1034"/>
    <s v="P102"/>
    <n v="4"/>
    <n v="500"/>
    <n v="0"/>
    <n v="112037"/>
    <n v="11"/>
    <n v="4"/>
    <s v="Mouse"/>
    <x v="0"/>
    <n v="350"/>
    <n v="2000"/>
    <n v="0"/>
    <n v="2000"/>
    <n v="600"/>
    <s v="North-C1034-1227"/>
    <s v="Regular"/>
    <s v="Poor"/>
    <n v="2"/>
    <x v="3"/>
    <n v="0.04"/>
    <n v="49296.28"/>
    <n v="2895.654816819339"/>
    <n v="926"/>
  </r>
  <r>
    <n v="1228"/>
    <s v="16-01-2025"/>
    <x v="2"/>
    <x v="1"/>
    <s v="C1039"/>
    <s v="P103"/>
    <n v="8"/>
    <n v="1500"/>
    <n v="2"/>
    <n v="72485"/>
    <n v="11"/>
    <n v="2"/>
    <s v="Keyboard"/>
    <x v="0"/>
    <n v="1200"/>
    <n v="12000"/>
    <n v="240"/>
    <n v="11760"/>
    <n v="2160"/>
    <s v="South-C1039-1228"/>
    <s v="Regular"/>
    <s v="Poor"/>
    <n v="1"/>
    <x v="2"/>
    <n v="0.02"/>
    <n v="15946.7"/>
    <n v="3378.3691516751192"/>
    <n v="599"/>
  </r>
  <r>
    <n v="1229"/>
    <s v="08-08-2025"/>
    <x v="0"/>
    <x v="5"/>
    <s v="C1006"/>
    <s v="P107"/>
    <n v="10"/>
    <n v="35000"/>
    <n v="8"/>
    <n v="421795"/>
    <n v="10"/>
    <n v="2"/>
    <s v="Tablet"/>
    <x v="1"/>
    <n v="29000"/>
    <n v="350000"/>
    <n v="28000"/>
    <n v="322000"/>
    <n v="32000"/>
    <s v="West-C1006-1229"/>
    <s v="High Value"/>
    <s v="Excellent"/>
    <n v="3"/>
    <x v="7"/>
    <n v="0.06"/>
    <n v="84359"/>
    <n v="19463.699204532775"/>
    <n v="44"/>
  </r>
  <r>
    <n v="1230"/>
    <s v="18-06-2025"/>
    <x v="0"/>
    <x v="2"/>
    <s v="C1003"/>
    <s v="P107"/>
    <n v="10"/>
    <n v="35000"/>
    <n v="10"/>
    <n v="305386"/>
    <n v="9"/>
    <n v="5"/>
    <s v="Tablet"/>
    <x v="1"/>
    <n v="29000"/>
    <n v="350000"/>
    <n v="35000"/>
    <n v="315000"/>
    <n v="25000"/>
    <s v="West-C1003-1230"/>
    <s v="High Value"/>
    <s v="Excellent"/>
    <n v="2"/>
    <x v="3"/>
    <n v="0.04"/>
    <n v="137423.70000000001"/>
    <n v="6339.3110691553447"/>
    <n v="45"/>
  </r>
  <r>
    <n v="1231"/>
    <s v="08-02-2025"/>
    <x v="2"/>
    <x v="7"/>
    <s v="C1022"/>
    <s v="P109"/>
    <n v="7"/>
    <n v="7000"/>
    <n v="10"/>
    <n v="143749"/>
    <n v="10"/>
    <n v="5"/>
    <s v="Router"/>
    <x v="1"/>
    <n v="5000"/>
    <n v="49000"/>
    <n v="4900"/>
    <n v="44100"/>
    <n v="9100"/>
    <s v="South-C1022-1231"/>
    <s v="Regular"/>
    <s v="Average"/>
    <n v="1"/>
    <x v="9"/>
    <n v="0.02"/>
    <n v="71874.5"/>
    <n v="3054.2414302001034"/>
    <n v="320"/>
  </r>
  <r>
    <n v="1232"/>
    <s v="19-01-2025"/>
    <x v="1"/>
    <x v="2"/>
    <s v="C1037"/>
    <s v="P101"/>
    <n v="4"/>
    <n v="55000"/>
    <n v="8"/>
    <n v="62709"/>
    <n v="8"/>
    <n v="2"/>
    <s v="Laptop"/>
    <x v="1"/>
    <n v="45000"/>
    <n v="220000"/>
    <n v="17600"/>
    <n v="202400"/>
    <n v="22400"/>
    <s v="North-C1037-1232"/>
    <s v="High Value"/>
    <s v="Excellent"/>
    <n v="1"/>
    <x v="2"/>
    <n v="0.02"/>
    <n v="10033.44"/>
    <n v="2836.1582199258523"/>
    <n v="108"/>
  </r>
  <r>
    <n v="1233"/>
    <s v="08-09-2025"/>
    <x v="0"/>
    <x v="1"/>
    <s v="C1008"/>
    <s v="P108"/>
    <n v="7"/>
    <n v="2500"/>
    <n v="8"/>
    <n v="387416"/>
    <n v="8"/>
    <n v="4"/>
    <s v="Speaker"/>
    <x v="0"/>
    <n v="1800"/>
    <n v="17500"/>
    <n v="1400"/>
    <n v="16100"/>
    <n v="3500"/>
    <s v="West-C1008-1233"/>
    <s v="Regular"/>
    <s v="Poor"/>
    <n v="3"/>
    <x v="1"/>
    <n v="0.06"/>
    <n v="123973.12"/>
    <n v="9457.9567218555276"/>
    <n v="513"/>
  </r>
  <r>
    <n v="1234"/>
    <s v="22-02-2025"/>
    <x v="0"/>
    <x v="1"/>
    <s v="C1016"/>
    <s v="P108"/>
    <n v="1"/>
    <n v="2500"/>
    <n v="5"/>
    <n v="355795"/>
    <n v="12"/>
    <n v="5"/>
    <s v="Speaker"/>
    <x v="0"/>
    <n v="1800"/>
    <n v="2500"/>
    <n v="125"/>
    <n v="2375"/>
    <n v="575"/>
    <s v="West-C1016-1234"/>
    <s v="Regular"/>
    <s v="Poor"/>
    <n v="1"/>
    <x v="9"/>
    <n v="0.02"/>
    <n v="213477"/>
    <n v="7914.4632640496256"/>
    <n v="913"/>
  </r>
  <r>
    <n v="1235"/>
    <s v="15-12-2025"/>
    <x v="2"/>
    <x v="0"/>
    <s v="C1031"/>
    <s v="P103"/>
    <n v="4"/>
    <n v="1500"/>
    <n v="15"/>
    <n v="298946"/>
    <n v="9"/>
    <n v="3"/>
    <s v="Keyboard"/>
    <x v="0"/>
    <n v="1200"/>
    <n v="6000"/>
    <n v="900"/>
    <n v="5100"/>
    <n v="300"/>
    <s v="South-C1031-1235"/>
    <s v="Regular"/>
    <s v="Poor"/>
    <n v="4"/>
    <x v="0"/>
    <n v="0.08"/>
    <n v="80715.42"/>
    <n v="9506.402879758627"/>
    <n v="786"/>
  </r>
  <r>
    <n v="1236"/>
    <s v="25-06-2025"/>
    <x v="2"/>
    <x v="7"/>
    <s v="C1044"/>
    <s v="P107"/>
    <n v="3"/>
    <n v="35000"/>
    <n v="15"/>
    <n v="319578"/>
    <n v="10"/>
    <n v="2"/>
    <s v="Tablet"/>
    <x v="1"/>
    <n v="29000"/>
    <n v="105000"/>
    <n v="15750"/>
    <n v="89250"/>
    <n v="2250"/>
    <s v="South-C1044-1236"/>
    <s v="High Value"/>
    <s v="Good"/>
    <n v="2"/>
    <x v="3"/>
    <n v="0.04"/>
    <n v="63915.6"/>
    <n v="14746.903269090848"/>
    <n v="188"/>
  </r>
  <r>
    <n v="1237"/>
    <s v="07-04-2025"/>
    <x v="3"/>
    <x v="4"/>
    <s v="C1018"/>
    <s v="P105"/>
    <n v="3"/>
    <n v="2000"/>
    <n v="15"/>
    <n v="384608"/>
    <n v="7"/>
    <n v="2"/>
    <s v="Headset"/>
    <x v="0"/>
    <n v="1500"/>
    <n v="6000"/>
    <n v="900"/>
    <n v="5100"/>
    <n v="600"/>
    <s v="East-C1018-1237"/>
    <s v="Regular"/>
    <s v="Poor"/>
    <n v="2"/>
    <x v="11"/>
    <n v="0.04"/>
    <n v="53845.120000000003"/>
    <n v="17219.892103702554"/>
    <n v="786"/>
  </r>
  <r>
    <n v="1238"/>
    <s v="14-02-2025"/>
    <x v="3"/>
    <x v="6"/>
    <s v="C1037"/>
    <s v="P102"/>
    <n v="3"/>
    <n v="500"/>
    <n v="15"/>
    <n v="226488"/>
    <n v="11"/>
    <n v="3"/>
    <s v="Mouse"/>
    <x v="0"/>
    <n v="350"/>
    <n v="1500"/>
    <n v="225"/>
    <n v="1275"/>
    <n v="225"/>
    <s v="East-C1037-1238"/>
    <s v="Regular"/>
    <s v="Poor"/>
    <n v="1"/>
    <x v="9"/>
    <n v="0.02"/>
    <n v="74741.039999999994"/>
    <n v="7414.926562395558"/>
    <n v="961"/>
  </r>
  <r>
    <n v="1239"/>
    <s v="09-12-2025"/>
    <x v="3"/>
    <x v="1"/>
    <s v="C1008"/>
    <s v="P110"/>
    <n v="9"/>
    <n v="950"/>
    <n v="0"/>
    <n v="484859"/>
    <n v="8"/>
    <n v="3"/>
    <s v="Webcam"/>
    <x v="0"/>
    <n v="700"/>
    <n v="8550"/>
    <n v="0"/>
    <n v="8550"/>
    <n v="2250"/>
    <s v="East-C1008-1239"/>
    <s v="Regular"/>
    <s v="Poor"/>
    <n v="4"/>
    <x v="0"/>
    <n v="0.08"/>
    <n v="116366.16"/>
    <n v="15193.718821263901"/>
    <n v="675"/>
  </r>
  <r>
    <n v="1240"/>
    <s v="04-10-2025"/>
    <x v="2"/>
    <x v="6"/>
    <s v="C1001"/>
    <s v="P101"/>
    <n v="7"/>
    <n v="55000"/>
    <n v="8"/>
    <n v="191237"/>
    <n v="8"/>
    <n v="5"/>
    <s v="Laptop"/>
    <x v="1"/>
    <n v="45000"/>
    <n v="385000"/>
    <n v="30800"/>
    <n v="354200"/>
    <n v="39200"/>
    <s v="South-C1001-1240"/>
    <s v="High Value"/>
    <s v="Excellent"/>
    <n v="4"/>
    <x v="6"/>
    <n v="0.08"/>
    <n v="76494.8"/>
    <n v="3877.5968145333668"/>
    <n v="31"/>
  </r>
  <r>
    <n v="1241"/>
    <s v="25-05-2025"/>
    <x v="1"/>
    <x v="1"/>
    <s v="C1012"/>
    <s v="P108"/>
    <n v="7"/>
    <n v="2500"/>
    <n v="5"/>
    <n v="163863"/>
    <n v="10"/>
    <n v="1"/>
    <s v="Speaker"/>
    <x v="0"/>
    <n v="1800"/>
    <n v="17500"/>
    <n v="875"/>
    <n v="16625"/>
    <n v="4025"/>
    <s v="North-C1012-1241"/>
    <s v="Regular"/>
    <s v="Poor"/>
    <n v="2"/>
    <x v="4"/>
    <n v="0.04"/>
    <n v="16386.3"/>
    <n v="14406.161029171062"/>
    <n v="506"/>
  </r>
  <r>
    <n v="1242"/>
    <s v="21-07-2025"/>
    <x v="2"/>
    <x v="0"/>
    <s v="C1020"/>
    <s v="P109"/>
    <n v="10"/>
    <n v="7000"/>
    <n v="15"/>
    <n v="233960"/>
    <n v="11"/>
    <n v="3"/>
    <s v="Router"/>
    <x v="1"/>
    <n v="5000"/>
    <n v="70000"/>
    <n v="10500"/>
    <n v="59500"/>
    <n v="9500"/>
    <s v="South-C1020-1242"/>
    <s v="High Value"/>
    <s v="Good"/>
    <n v="3"/>
    <x v="8"/>
    <n v="0.06"/>
    <n v="77206.8"/>
    <n v="7659.5502566937976"/>
    <n v="257"/>
  </r>
  <r>
    <n v="1243"/>
    <s v="25-07-2025"/>
    <x v="0"/>
    <x v="7"/>
    <s v="C1014"/>
    <s v="P106"/>
    <n v="9"/>
    <n v="8000"/>
    <n v="2"/>
    <n v="325110"/>
    <n v="7"/>
    <n v="5"/>
    <s v="Printer"/>
    <x v="1"/>
    <n v="6500"/>
    <n v="72000"/>
    <n v="1440"/>
    <n v="70560"/>
    <n v="12060"/>
    <s v="West-C1014-1243"/>
    <s v="High Value"/>
    <s v="Good"/>
    <n v="3"/>
    <x v="8"/>
    <n v="0.06"/>
    <n v="113788.5"/>
    <n v="6437.5676574530371"/>
    <n v="214"/>
  </r>
  <r>
    <n v="1244"/>
    <s v="24-05-2025"/>
    <x v="1"/>
    <x v="7"/>
    <s v="C1030"/>
    <s v="P106"/>
    <n v="2"/>
    <n v="8000"/>
    <n v="5"/>
    <n v="232788"/>
    <n v="10"/>
    <n v="4"/>
    <s v="Printer"/>
    <x v="1"/>
    <n v="6500"/>
    <n v="16000"/>
    <n v="800"/>
    <n v="15200"/>
    <n v="2200"/>
    <s v="North-C1030-1244"/>
    <s v="Regular"/>
    <s v="Poor"/>
    <n v="2"/>
    <x v="4"/>
    <n v="0.04"/>
    <n v="93115.199999999997"/>
    <n v="5904.1050726079284"/>
    <n v="521"/>
  </r>
  <r>
    <n v="1245"/>
    <s v="01-04-2025"/>
    <x v="2"/>
    <x v="3"/>
    <s v="C1012"/>
    <s v="P108"/>
    <n v="2"/>
    <n v="2500"/>
    <n v="12"/>
    <n v="141919"/>
    <n v="9"/>
    <n v="2"/>
    <s v="Speaker"/>
    <x v="0"/>
    <n v="1800"/>
    <n v="5000"/>
    <n v="600"/>
    <n v="4400"/>
    <n v="800"/>
    <s v="South-C1012-1245"/>
    <s v="Regular"/>
    <s v="Poor"/>
    <n v="2"/>
    <x v="11"/>
    <n v="0.04"/>
    <n v="25545.42"/>
    <n v="6483.532939517967"/>
    <n v="814"/>
  </r>
  <r>
    <n v="1246"/>
    <s v="04-06-2025"/>
    <x v="2"/>
    <x v="0"/>
    <s v="C1013"/>
    <s v="P106"/>
    <n v="10"/>
    <n v="8000"/>
    <n v="8"/>
    <n v="166829"/>
    <n v="12"/>
    <n v="2"/>
    <s v="Printer"/>
    <x v="1"/>
    <n v="6500"/>
    <n v="80000"/>
    <n v="6400"/>
    <n v="73600"/>
    <n v="8600"/>
    <s v="South-C1013-1246"/>
    <s v="High Value"/>
    <s v="Good"/>
    <n v="2"/>
    <x v="3"/>
    <n v="0.04"/>
    <n v="40038.959999999999"/>
    <n v="7853.2202975350274"/>
    <n v="207"/>
  </r>
  <r>
    <n v="1247"/>
    <s v="23-02-2025"/>
    <x v="2"/>
    <x v="7"/>
    <s v="C1027"/>
    <s v="P107"/>
    <n v="2"/>
    <n v="35000"/>
    <n v="2"/>
    <n v="233888"/>
    <n v="11"/>
    <n v="1"/>
    <s v="Tablet"/>
    <x v="1"/>
    <n v="29000"/>
    <n v="70000"/>
    <n v="1400"/>
    <n v="68600"/>
    <n v="10600"/>
    <s v="South-C1027-1247"/>
    <s v="High Value"/>
    <s v="Good"/>
    <n v="1"/>
    <x v="9"/>
    <n v="0.02"/>
    <n v="25727.68"/>
    <n v="20671.409348300924"/>
    <n v="221"/>
  </r>
  <r>
    <n v="1248"/>
    <s v="08-07-2025"/>
    <x v="0"/>
    <x v="5"/>
    <s v="C1048"/>
    <s v="P107"/>
    <n v="8"/>
    <n v="35000"/>
    <n v="10"/>
    <n v="426724"/>
    <n v="9"/>
    <n v="2"/>
    <s v="Tablet"/>
    <x v="1"/>
    <n v="29000"/>
    <n v="280000"/>
    <n v="28000"/>
    <n v="252000"/>
    <n v="20000"/>
    <s v="West-C1048-1248"/>
    <s v="High Value"/>
    <s v="Excellent"/>
    <n v="3"/>
    <x v="8"/>
    <n v="0.06"/>
    <n v="76810.320000000007"/>
    <n v="19494.775964337859"/>
    <n v="76"/>
  </r>
  <r>
    <n v="1249"/>
    <s v="05-06-2025"/>
    <x v="0"/>
    <x v="3"/>
    <s v="C1020"/>
    <s v="P107"/>
    <n v="3"/>
    <n v="35000"/>
    <n v="12"/>
    <n v="271114"/>
    <n v="12"/>
    <n v="2"/>
    <s v="Tablet"/>
    <x v="1"/>
    <n v="29000"/>
    <n v="105000"/>
    <n v="12600"/>
    <n v="92400"/>
    <n v="5400"/>
    <s v="West-C1020-1249"/>
    <s v="High Value"/>
    <s v="Good"/>
    <n v="2"/>
    <x v="3"/>
    <n v="0.04"/>
    <n v="65067.360000000001"/>
    <n v="12762.277348338186"/>
    <n v="181"/>
  </r>
  <r>
    <n v="1250"/>
    <s v="05-03-2025"/>
    <x v="3"/>
    <x v="5"/>
    <s v="C1033"/>
    <s v="P103"/>
    <n v="3"/>
    <n v="1500"/>
    <n v="15"/>
    <n v="121075"/>
    <n v="12"/>
    <n v="5"/>
    <s v="Keyboard"/>
    <x v="0"/>
    <n v="1200"/>
    <n v="4500"/>
    <n v="675"/>
    <n v="3825"/>
    <n v="225"/>
    <s v="East-C1033-1250"/>
    <s v="Regular"/>
    <s v="Poor"/>
    <n v="1"/>
    <x v="10"/>
    <n v="0.02"/>
    <n v="72645"/>
    <n v="2693.2465034494821"/>
    <n v="850"/>
  </r>
  <r>
    <n v="1251"/>
    <s v="02-09-2025"/>
    <x v="0"/>
    <x v="0"/>
    <s v="C1037"/>
    <s v="P103"/>
    <n v="2"/>
    <n v="1500"/>
    <n v="2"/>
    <n v="352217"/>
    <n v="9"/>
    <n v="3"/>
    <s v="Keyboard"/>
    <x v="0"/>
    <n v="1200"/>
    <n v="3000"/>
    <n v="60"/>
    <n v="2940"/>
    <n v="540"/>
    <s v="West-C1037-1251"/>
    <s v="Regular"/>
    <s v="Poor"/>
    <n v="3"/>
    <x v="1"/>
    <n v="0.06"/>
    <n v="95098.59"/>
    <n v="11200.406438286327"/>
    <n v="883"/>
  </r>
  <r>
    <n v="1252"/>
    <s v="15-06-2025"/>
    <x v="2"/>
    <x v="5"/>
    <s v="C1045"/>
    <s v="P110"/>
    <n v="9"/>
    <n v="950"/>
    <n v="0"/>
    <n v="91835"/>
    <n v="11"/>
    <n v="5"/>
    <s v="Webcam"/>
    <x v="0"/>
    <n v="700"/>
    <n v="8550"/>
    <n v="0"/>
    <n v="8550"/>
    <n v="2250"/>
    <s v="South-C1045-1252"/>
    <s v="Regular"/>
    <s v="Poor"/>
    <n v="2"/>
    <x v="3"/>
    <n v="0.04"/>
    <n v="50509.25"/>
    <n v="1996.7154228761983"/>
    <n v="675"/>
  </r>
  <r>
    <n v="1253"/>
    <s v="08-12-2025"/>
    <x v="2"/>
    <x v="2"/>
    <s v="C1029"/>
    <s v="P104"/>
    <n v="2"/>
    <n v="12000"/>
    <n v="12"/>
    <n v="440715"/>
    <n v="12"/>
    <n v="1"/>
    <s v="Monitor"/>
    <x v="1"/>
    <n v="9000"/>
    <n v="24000"/>
    <n v="2880"/>
    <n v="21120"/>
    <n v="3120"/>
    <s v="South-C1029-1253"/>
    <s v="Regular"/>
    <s v="Average"/>
    <n v="4"/>
    <x v="0"/>
    <n v="0.08"/>
    <n v="52885.8"/>
    <n v="39156.993902375361"/>
    <n v="429"/>
  </r>
  <r>
    <n v="1254"/>
    <s v="01-09-2025"/>
    <x v="0"/>
    <x v="6"/>
    <s v="C1036"/>
    <s v="P108"/>
    <n v="2"/>
    <n v="2500"/>
    <n v="0"/>
    <n v="321360"/>
    <n v="7"/>
    <n v="1"/>
    <s v="Speaker"/>
    <x v="0"/>
    <n v="1800"/>
    <n v="5000"/>
    <n v="0"/>
    <n v="5000"/>
    <n v="1400"/>
    <s v="West-C1036-1254"/>
    <s v="Regular"/>
    <s v="Poor"/>
    <n v="3"/>
    <x v="1"/>
    <n v="0.06"/>
    <n v="22495.200000000001"/>
    <n v="27806.235126097647"/>
    <n v="790"/>
  </r>
  <r>
    <n v="1255"/>
    <s v="21-12-2025"/>
    <x v="3"/>
    <x v="5"/>
    <s v="C1008"/>
    <s v="P107"/>
    <n v="5"/>
    <n v="35000"/>
    <n v="5"/>
    <n v="257330"/>
    <n v="8"/>
    <n v="3"/>
    <s v="Tablet"/>
    <x v="1"/>
    <n v="29000"/>
    <n v="175000"/>
    <n v="8750"/>
    <n v="166250"/>
    <n v="21250"/>
    <s v="East-C1008-1255"/>
    <s v="High Value"/>
    <s v="Excellent"/>
    <n v="4"/>
    <x v="0"/>
    <n v="0.08"/>
    <n v="61759.199999999997"/>
    <n v="8063.7869241899998"/>
    <n v="122"/>
  </r>
  <r>
    <n v="1256"/>
    <s v="18-04-2025"/>
    <x v="3"/>
    <x v="3"/>
    <s v="C1013"/>
    <s v="P106"/>
    <n v="1"/>
    <n v="8000"/>
    <n v="2"/>
    <n v="249903"/>
    <n v="10"/>
    <n v="5"/>
    <s v="Printer"/>
    <x v="1"/>
    <n v="6500"/>
    <n v="8000"/>
    <n v="160"/>
    <n v="7840"/>
    <n v="1340"/>
    <s v="East-C1013-1256"/>
    <s v="Regular"/>
    <s v="Poor"/>
    <n v="2"/>
    <x v="11"/>
    <n v="0.04"/>
    <n v="124951.5"/>
    <n v="5309.7002144800763"/>
    <n v="692"/>
  </r>
  <r>
    <n v="1257"/>
    <s v="17-09-2025"/>
    <x v="1"/>
    <x v="4"/>
    <s v="C1046"/>
    <s v="P109"/>
    <n v="3"/>
    <n v="7000"/>
    <n v="15"/>
    <n v="268958"/>
    <n v="9"/>
    <n v="1"/>
    <s v="Router"/>
    <x v="1"/>
    <n v="5000"/>
    <n v="21000"/>
    <n v="3150"/>
    <n v="17850"/>
    <n v="2850"/>
    <s v="North-C1046-1257"/>
    <s v="Regular"/>
    <s v="Poor"/>
    <n v="3"/>
    <x v="1"/>
    <n v="0.06"/>
    <n v="24206.22"/>
    <n v="23520.774289084529"/>
    <n v="485"/>
  </r>
  <r>
    <n v="1258"/>
    <s v="16-12-2025"/>
    <x v="1"/>
    <x v="5"/>
    <s v="C1029"/>
    <s v="P106"/>
    <n v="6"/>
    <n v="8000"/>
    <n v="8"/>
    <n v="386628"/>
    <n v="7"/>
    <n v="3"/>
    <s v="Printer"/>
    <x v="1"/>
    <n v="6500"/>
    <n v="48000"/>
    <n v="3840"/>
    <n v="44160"/>
    <n v="5160"/>
    <s v="North-C1029-1258"/>
    <s v="Regular"/>
    <s v="Average"/>
    <n v="4"/>
    <x v="0"/>
    <n v="0.08"/>
    <n v="81191.88"/>
    <n v="11937.950206865024"/>
    <n v="318"/>
  </r>
  <r>
    <n v="1259"/>
    <s v="26-04-2025"/>
    <x v="1"/>
    <x v="0"/>
    <s v="C1002"/>
    <s v="P104"/>
    <n v="1"/>
    <n v="12000"/>
    <n v="8"/>
    <n v="102886"/>
    <n v="10"/>
    <n v="2"/>
    <s v="Monitor"/>
    <x v="1"/>
    <n v="9000"/>
    <n v="12000"/>
    <n v="960"/>
    <n v="11040"/>
    <n v="2040"/>
    <s v="North-C1002-1259"/>
    <s v="Regular"/>
    <s v="Poor"/>
    <n v="2"/>
    <x v="11"/>
    <n v="0.04"/>
    <n v="20577.2"/>
    <n v="4747.6668911617226"/>
    <n v="613"/>
  </r>
  <r>
    <n v="1260"/>
    <s v="04-10-2025"/>
    <x v="1"/>
    <x v="7"/>
    <s v="C1014"/>
    <s v="P104"/>
    <n v="3"/>
    <n v="12000"/>
    <n v="12"/>
    <n v="146210"/>
    <n v="10"/>
    <n v="3"/>
    <s v="Monitor"/>
    <x v="1"/>
    <n v="9000"/>
    <n v="36000"/>
    <n v="4320"/>
    <n v="31680"/>
    <n v="4680"/>
    <s v="North-C1014-1260"/>
    <s v="Regular"/>
    <s v="Average"/>
    <n v="4"/>
    <x v="6"/>
    <n v="0.08"/>
    <n v="43863"/>
    <n v="4717.7854396109788"/>
    <n v="365"/>
  </r>
  <r>
    <n v="1261"/>
    <s v="04-10-2025"/>
    <x v="1"/>
    <x v="3"/>
    <s v="C1043"/>
    <s v="P105"/>
    <n v="1"/>
    <n v="2000"/>
    <n v="10"/>
    <n v="121773"/>
    <n v="12"/>
    <n v="1"/>
    <s v="Headset"/>
    <x v="0"/>
    <n v="1500"/>
    <n v="2000"/>
    <n v="200"/>
    <n v="1800"/>
    <n v="300"/>
    <s v="North-C1043-1261"/>
    <s v="Regular"/>
    <s v="Poor"/>
    <n v="4"/>
    <x v="6"/>
    <n v="0.08"/>
    <n v="14612.76"/>
    <n v="10819.383543727703"/>
    <n v="940"/>
  </r>
  <r>
    <n v="1262"/>
    <s v="01-03-2025"/>
    <x v="3"/>
    <x v="3"/>
    <s v="C1035"/>
    <s v="P108"/>
    <n v="2"/>
    <n v="2500"/>
    <n v="8"/>
    <n v="456259"/>
    <n v="10"/>
    <n v="4"/>
    <s v="Speaker"/>
    <x v="0"/>
    <n v="1800"/>
    <n v="5000"/>
    <n v="400"/>
    <n v="4600"/>
    <n v="1000"/>
    <s v="East-C1035-1262"/>
    <s v="Regular"/>
    <s v="Poor"/>
    <n v="1"/>
    <x v="10"/>
    <n v="0.02"/>
    <n v="182503.6"/>
    <n v="11571.906955354318"/>
    <n v="802"/>
  </r>
  <r>
    <n v="1263"/>
    <s v="09-04-2025"/>
    <x v="1"/>
    <x v="4"/>
    <s v="C1046"/>
    <s v="P108"/>
    <n v="7"/>
    <n v="2500"/>
    <n v="2"/>
    <n v="429306"/>
    <n v="7"/>
    <n v="1"/>
    <s v="Speaker"/>
    <x v="0"/>
    <n v="1800"/>
    <n v="17500"/>
    <n v="350"/>
    <n v="17150"/>
    <n v="4550"/>
    <s v="North-C1046-1263"/>
    <s v="Regular"/>
    <s v="Poor"/>
    <n v="2"/>
    <x v="11"/>
    <n v="0.04"/>
    <n v="30051.42"/>
    <n v="37146.451260407252"/>
    <n v="498"/>
  </r>
  <r>
    <n v="1264"/>
    <s v="09-01-2025"/>
    <x v="0"/>
    <x v="2"/>
    <s v="C1001"/>
    <s v="P110"/>
    <n v="1"/>
    <n v="950"/>
    <n v="10"/>
    <n v="289956"/>
    <n v="12"/>
    <n v="5"/>
    <s v="Webcam"/>
    <x v="0"/>
    <n v="700"/>
    <n v="950"/>
    <n v="95"/>
    <n v="855"/>
    <n v="155"/>
    <s v="West-C1001-1264"/>
    <s v="Regular"/>
    <s v="Poor"/>
    <n v="1"/>
    <x v="2"/>
    <n v="0.02"/>
    <n v="173973.6"/>
    <n v="6449.911072923378"/>
    <n v="983"/>
  </r>
  <r>
    <n v="1265"/>
    <s v="19-07-2025"/>
    <x v="0"/>
    <x v="0"/>
    <s v="C1027"/>
    <s v="P101"/>
    <n v="5"/>
    <n v="55000"/>
    <n v="8"/>
    <n v="441133"/>
    <n v="7"/>
    <n v="5"/>
    <s v="Laptop"/>
    <x v="1"/>
    <n v="45000"/>
    <n v="275000"/>
    <n v="22000"/>
    <n v="253000"/>
    <n v="28000"/>
    <s v="West-C1027-1265"/>
    <s v="High Value"/>
    <s v="Excellent"/>
    <n v="3"/>
    <x v="8"/>
    <n v="0.06"/>
    <n v="154396.54999999999"/>
    <n v="8734.9621157000111"/>
    <n v="74"/>
  </r>
  <r>
    <n v="1266"/>
    <s v="04-08-2025"/>
    <x v="2"/>
    <x v="6"/>
    <s v="C1023"/>
    <s v="P109"/>
    <n v="3"/>
    <n v="7000"/>
    <n v="15"/>
    <n v="134546"/>
    <n v="11"/>
    <n v="1"/>
    <s v="Router"/>
    <x v="1"/>
    <n v="5000"/>
    <n v="21000"/>
    <n v="3150"/>
    <n v="17850"/>
    <n v="2850"/>
    <s v="South-C1023-1266"/>
    <s v="Regular"/>
    <s v="Poor"/>
    <n v="3"/>
    <x v="7"/>
    <n v="0.06"/>
    <n v="14800.06"/>
    <n v="11891.398627447736"/>
    <n v="485"/>
  </r>
  <r>
    <n v="1267"/>
    <s v="28-04-2025"/>
    <x v="3"/>
    <x v="3"/>
    <s v="C1045"/>
    <s v="P109"/>
    <n v="9"/>
    <n v="7000"/>
    <n v="2"/>
    <n v="234849"/>
    <n v="8"/>
    <n v="3"/>
    <s v="Router"/>
    <x v="1"/>
    <n v="5000"/>
    <n v="63000"/>
    <n v="1260"/>
    <n v="61740"/>
    <n v="16740"/>
    <s v="East-C1045-1267"/>
    <s v="High Value"/>
    <s v="Good"/>
    <n v="2"/>
    <x v="11"/>
    <n v="0.04"/>
    <n v="56363.76"/>
    <n v="7359.3140922515731"/>
    <n v="248"/>
  </r>
  <r>
    <n v="1268"/>
    <s v="19-11-2025"/>
    <x v="2"/>
    <x v="2"/>
    <s v="C1016"/>
    <s v="P108"/>
    <n v="4"/>
    <n v="2500"/>
    <n v="0"/>
    <n v="178875"/>
    <n v="8"/>
    <n v="1"/>
    <s v="Speaker"/>
    <x v="0"/>
    <n v="1800"/>
    <n v="10000"/>
    <n v="0"/>
    <n v="10000"/>
    <n v="2800"/>
    <s v="South-C1016-1268"/>
    <s v="Regular"/>
    <s v="Poor"/>
    <n v="4"/>
    <x v="5"/>
    <n v="0.08"/>
    <n v="14310"/>
    <n v="15560.055252654693"/>
    <n v="636"/>
  </r>
  <r>
    <n v="1269"/>
    <s v="19-05-2025"/>
    <x v="1"/>
    <x v="3"/>
    <s v="C1007"/>
    <s v="P105"/>
    <n v="2"/>
    <n v="2000"/>
    <n v="0"/>
    <n v="201686"/>
    <n v="7"/>
    <n v="3"/>
    <s v="Headset"/>
    <x v="0"/>
    <n v="1500"/>
    <n v="4000"/>
    <n v="0"/>
    <n v="4000"/>
    <n v="1000"/>
    <s v="North-C1007-1269"/>
    <s v="Regular"/>
    <s v="Poor"/>
    <n v="2"/>
    <x v="4"/>
    <n v="0.04"/>
    <n v="42354.06"/>
    <n v="6227.4781583894046"/>
    <n v="837"/>
  </r>
  <r>
    <n v="1270"/>
    <s v="15-02-2025"/>
    <x v="1"/>
    <x v="2"/>
    <s v="C1005"/>
    <s v="P101"/>
    <n v="5"/>
    <n v="55000"/>
    <n v="2"/>
    <n v="483650"/>
    <n v="9"/>
    <n v="1"/>
    <s v="Laptop"/>
    <x v="1"/>
    <n v="45000"/>
    <n v="275000"/>
    <n v="5500"/>
    <n v="269500"/>
    <n v="44500"/>
    <s v="North-C1005-1270"/>
    <s v="High Value"/>
    <s v="Excellent"/>
    <n v="1"/>
    <x v="9"/>
    <n v="0.02"/>
    <n v="43528.5"/>
    <n v="42295.906739772501"/>
    <n v="64"/>
  </r>
  <r>
    <n v="1271"/>
    <s v="06-05-2025"/>
    <x v="0"/>
    <x v="2"/>
    <s v="C1001"/>
    <s v="P103"/>
    <n v="6"/>
    <n v="1500"/>
    <n v="10"/>
    <n v="227534"/>
    <n v="10"/>
    <n v="4"/>
    <s v="Keyboard"/>
    <x v="0"/>
    <n v="1200"/>
    <n v="9000"/>
    <n v="900"/>
    <n v="8100"/>
    <n v="900"/>
    <s v="West-C1001-1271"/>
    <s v="Regular"/>
    <s v="Poor"/>
    <n v="2"/>
    <x v="4"/>
    <n v="0.04"/>
    <n v="91013.6"/>
    <n v="5770.8500592417668"/>
    <n v="682"/>
  </r>
  <r>
    <n v="1272"/>
    <s v="24-03-2025"/>
    <x v="1"/>
    <x v="5"/>
    <s v="C1036"/>
    <s v="P102"/>
    <n v="6"/>
    <n v="500"/>
    <n v="8"/>
    <n v="480189"/>
    <n v="8"/>
    <n v="1"/>
    <s v="Mouse"/>
    <x v="0"/>
    <n v="350"/>
    <n v="3000"/>
    <n v="240"/>
    <n v="2760"/>
    <n v="660"/>
    <s v="North-C1036-1272"/>
    <s v="Regular"/>
    <s v="Poor"/>
    <n v="1"/>
    <x v="10"/>
    <n v="0.02"/>
    <n v="38415.120000000003"/>
    <n v="41770.886774099257"/>
    <n v="893"/>
  </r>
  <r>
    <n v="1273"/>
    <s v="25-01-2025"/>
    <x v="2"/>
    <x v="6"/>
    <s v="C1034"/>
    <s v="P108"/>
    <n v="5"/>
    <n v="2500"/>
    <n v="15"/>
    <n v="468236"/>
    <n v="12"/>
    <n v="3"/>
    <s v="Speaker"/>
    <x v="0"/>
    <n v="1800"/>
    <n v="12500"/>
    <n v="1875"/>
    <n v="10625"/>
    <n v="1625"/>
    <s v="South-C1034-1273"/>
    <s v="Regular"/>
    <s v="Poor"/>
    <n v="1"/>
    <x v="2"/>
    <n v="0.02"/>
    <n v="168564.96"/>
    <n v="15552.13556953019"/>
    <n v="626"/>
  </r>
  <r>
    <n v="1274"/>
    <s v="25-10-2025"/>
    <x v="3"/>
    <x v="2"/>
    <s v="C1030"/>
    <s v="P103"/>
    <n v="5"/>
    <n v="1500"/>
    <n v="15"/>
    <n v="459815"/>
    <n v="8"/>
    <n v="2"/>
    <s v="Keyboard"/>
    <x v="0"/>
    <n v="1200"/>
    <n v="7500"/>
    <n v="1125"/>
    <n v="6375"/>
    <n v="375"/>
    <s v="East-C1030-1274"/>
    <s v="Regular"/>
    <s v="Poor"/>
    <n v="4"/>
    <x v="6"/>
    <n v="0.08"/>
    <n v="73570.399999999994"/>
    <n v="20796.187020925317"/>
    <n v="748"/>
  </r>
  <r>
    <n v="1275"/>
    <s v="11-02-2025"/>
    <x v="3"/>
    <x v="0"/>
    <s v="C1010"/>
    <s v="P108"/>
    <n v="8"/>
    <n v="2500"/>
    <n v="5"/>
    <n v="142490"/>
    <n v="11"/>
    <n v="1"/>
    <s v="Speaker"/>
    <x v="0"/>
    <n v="1800"/>
    <n v="20000"/>
    <n v="1000"/>
    <n v="19000"/>
    <n v="4600"/>
    <s v="East-C1010-1275"/>
    <s v="Regular"/>
    <s v="Poor"/>
    <n v="1"/>
    <x v="9"/>
    <n v="0.02"/>
    <n v="15673.9"/>
    <n v="12593.50252274336"/>
    <n v="465"/>
  </r>
  <r>
    <n v="1276"/>
    <s v="11-10-2025"/>
    <x v="1"/>
    <x v="3"/>
    <s v="C1029"/>
    <s v="P110"/>
    <n v="3"/>
    <n v="950"/>
    <n v="5"/>
    <n v="82111"/>
    <n v="11"/>
    <n v="3"/>
    <s v="Webcam"/>
    <x v="0"/>
    <n v="700"/>
    <n v="2850"/>
    <n v="142.5"/>
    <n v="2707.5"/>
    <n v="607.5"/>
    <s v="North-C1029-1276"/>
    <s v="Regular"/>
    <s v="Poor"/>
    <n v="4"/>
    <x v="6"/>
    <n v="0.08"/>
    <n v="27096.63"/>
    <n v="2688.2088011941546"/>
    <n v="896"/>
  </r>
  <r>
    <n v="1277"/>
    <s v="11-12-2025"/>
    <x v="1"/>
    <x v="6"/>
    <s v="C1048"/>
    <s v="P102"/>
    <n v="2"/>
    <n v="500"/>
    <n v="0"/>
    <n v="449381"/>
    <n v="11"/>
    <n v="3"/>
    <s v="Mouse"/>
    <x v="0"/>
    <n v="350"/>
    <n v="1000"/>
    <n v="0"/>
    <n v="1000"/>
    <n v="300"/>
    <s v="North-C1048-1277"/>
    <s v="Regular"/>
    <s v="Poor"/>
    <n v="4"/>
    <x v="0"/>
    <n v="0.08"/>
    <n v="148295.73000000001"/>
    <n v="14712.157436755495"/>
    <n v="965"/>
  </r>
  <r>
    <n v="1278"/>
    <s v="14-04-2025"/>
    <x v="3"/>
    <x v="1"/>
    <s v="C1033"/>
    <s v="P109"/>
    <n v="1"/>
    <n v="7000"/>
    <n v="12"/>
    <n v="370455"/>
    <n v="8"/>
    <n v="2"/>
    <s v="Router"/>
    <x v="1"/>
    <n v="5000"/>
    <n v="7000"/>
    <n v="840"/>
    <n v="6160"/>
    <n v="1160"/>
    <s v="East-C1033-1278"/>
    <s v="Regular"/>
    <s v="Poor"/>
    <n v="2"/>
    <x v="11"/>
    <n v="0.04"/>
    <n v="59272.800000000003"/>
    <n v="16754.6762564007"/>
    <n v="756"/>
  </r>
  <r>
    <n v="1279"/>
    <s v="12-03-2025"/>
    <x v="0"/>
    <x v="5"/>
    <s v="C1002"/>
    <s v="P103"/>
    <n v="5"/>
    <n v="1500"/>
    <n v="15"/>
    <n v="283687"/>
    <n v="7"/>
    <n v="4"/>
    <s v="Keyboard"/>
    <x v="0"/>
    <n v="1200"/>
    <n v="7500"/>
    <n v="1125"/>
    <n v="6375"/>
    <n v="375"/>
    <s v="West-C1002-1279"/>
    <s v="Regular"/>
    <s v="Poor"/>
    <n v="1"/>
    <x v="10"/>
    <n v="0.02"/>
    <n v="79432.36"/>
    <n v="6793.238309554441"/>
    <n v="748"/>
  </r>
  <r>
    <n v="1280"/>
    <s v="05-09-2025"/>
    <x v="0"/>
    <x v="0"/>
    <s v="C1019"/>
    <s v="P102"/>
    <n v="7"/>
    <n v="500"/>
    <n v="12"/>
    <n v="330001"/>
    <n v="12"/>
    <n v="5"/>
    <s v="Mouse"/>
    <x v="0"/>
    <n v="350"/>
    <n v="3500"/>
    <n v="420"/>
    <n v="3080"/>
    <n v="630"/>
    <s v="West-C1019-1280"/>
    <s v="Regular"/>
    <s v="Poor"/>
    <n v="3"/>
    <x v="1"/>
    <n v="0.06"/>
    <n v="198000.6"/>
    <n v="7340.6899804652703"/>
    <n v="875"/>
  </r>
  <r>
    <n v="1281"/>
    <s v="27-03-2025"/>
    <x v="2"/>
    <x v="5"/>
    <s v="C1027"/>
    <s v="P108"/>
    <n v="4"/>
    <n v="2500"/>
    <n v="12"/>
    <n v="288629"/>
    <n v="10"/>
    <n v="4"/>
    <s v="Speaker"/>
    <x v="0"/>
    <n v="1800"/>
    <n v="10000"/>
    <n v="1200"/>
    <n v="8800"/>
    <n v="1600"/>
    <s v="South-C1027-1281"/>
    <s v="Regular"/>
    <s v="Poor"/>
    <n v="1"/>
    <x v="10"/>
    <n v="0.02"/>
    <n v="115451.6"/>
    <n v="7320.3770941876464"/>
    <n v="672"/>
  </r>
  <r>
    <n v="1282"/>
    <s v="14-01-2025"/>
    <x v="1"/>
    <x v="1"/>
    <s v="C1030"/>
    <s v="P109"/>
    <n v="1"/>
    <n v="7000"/>
    <n v="15"/>
    <n v="321436"/>
    <n v="11"/>
    <n v="5"/>
    <s v="Router"/>
    <x v="1"/>
    <n v="5000"/>
    <n v="7000"/>
    <n v="1050"/>
    <n v="5950"/>
    <n v="950"/>
    <s v="North-C1030-1282"/>
    <s v="Regular"/>
    <s v="Poor"/>
    <n v="1"/>
    <x v="2"/>
    <n v="0.02"/>
    <n v="176789.8"/>
    <n v="6988.797502778174"/>
    <n v="762"/>
  </r>
  <r>
    <n v="1283"/>
    <s v="08-06-2025"/>
    <x v="2"/>
    <x v="2"/>
    <s v="C1006"/>
    <s v="P104"/>
    <n v="1"/>
    <n v="12000"/>
    <n v="15"/>
    <n v="210789"/>
    <n v="8"/>
    <n v="2"/>
    <s v="Monitor"/>
    <x v="1"/>
    <n v="9000"/>
    <n v="12000"/>
    <n v="1800"/>
    <n v="10200"/>
    <n v="1200"/>
    <s v="South-C1006-1283"/>
    <s v="Regular"/>
    <s v="Poor"/>
    <n v="2"/>
    <x v="3"/>
    <n v="0.04"/>
    <n v="33726.239999999998"/>
    <n v="9533.4155387576011"/>
    <n v="630"/>
  </r>
  <r>
    <n v="1284"/>
    <s v="17-05-2025"/>
    <x v="2"/>
    <x v="1"/>
    <s v="C1031"/>
    <s v="P108"/>
    <n v="2"/>
    <n v="2500"/>
    <n v="0"/>
    <n v="169015"/>
    <n v="9"/>
    <n v="1"/>
    <s v="Speaker"/>
    <x v="0"/>
    <n v="1800"/>
    <n v="5000"/>
    <n v="0"/>
    <n v="5000"/>
    <n v="1400"/>
    <s v="South-C1031-1284"/>
    <s v="Regular"/>
    <s v="Poor"/>
    <n v="2"/>
    <x v="4"/>
    <n v="0.04"/>
    <n v="15211.35"/>
    <n v="14780.611346268272"/>
    <n v="790"/>
  </r>
  <r>
    <n v="1285"/>
    <s v="22-01-2025"/>
    <x v="3"/>
    <x v="3"/>
    <s v="C1001"/>
    <s v="P110"/>
    <n v="8"/>
    <n v="950"/>
    <n v="5"/>
    <n v="254133"/>
    <n v="12"/>
    <n v="3"/>
    <s v="Webcam"/>
    <x v="0"/>
    <n v="700"/>
    <n v="7600"/>
    <n v="380"/>
    <n v="7220"/>
    <n v="1620"/>
    <s v="East-C1001-1285"/>
    <s v="Regular"/>
    <s v="Poor"/>
    <n v="1"/>
    <x v="2"/>
    <n v="0.02"/>
    <n v="91487.88"/>
    <n v="8440.8521956693112"/>
    <n v="715"/>
  </r>
  <r>
    <n v="1286"/>
    <s v="02-07-2025"/>
    <x v="3"/>
    <x v="4"/>
    <s v="C1012"/>
    <s v="P101"/>
    <n v="3"/>
    <n v="55000"/>
    <n v="8"/>
    <n v="191861"/>
    <n v="8"/>
    <n v="1"/>
    <s v="Laptop"/>
    <x v="1"/>
    <n v="45000"/>
    <n v="165000"/>
    <n v="13200"/>
    <n v="151800"/>
    <n v="16800"/>
    <s v="East-C1012-1286"/>
    <s v="High Value"/>
    <s v="Excellent"/>
    <n v="3"/>
    <x v="8"/>
    <n v="0.06"/>
    <n v="15348.88"/>
    <n v="16689.686992757972"/>
    <n v="131"/>
  </r>
  <r>
    <n v="1287"/>
    <s v="27-06-2025"/>
    <x v="3"/>
    <x v="2"/>
    <s v="C1043"/>
    <s v="P105"/>
    <n v="7"/>
    <n v="2000"/>
    <n v="2"/>
    <n v="387302"/>
    <n v="8"/>
    <n v="1"/>
    <s v="Headset"/>
    <x v="0"/>
    <n v="1500"/>
    <n v="14000"/>
    <n v="280"/>
    <n v="13720"/>
    <n v="3220"/>
    <s v="East-C1043-1287"/>
    <s v="Regular"/>
    <s v="Poor"/>
    <n v="2"/>
    <x v="3"/>
    <n v="0.04"/>
    <n v="30984.16"/>
    <n v="33690.792561641749"/>
    <n v="549"/>
  </r>
  <r>
    <n v="1288"/>
    <s v="29-07-2025"/>
    <x v="2"/>
    <x v="4"/>
    <s v="C1034"/>
    <s v="P103"/>
    <n v="10"/>
    <n v="1500"/>
    <n v="12"/>
    <n v="246624"/>
    <n v="9"/>
    <n v="4"/>
    <s v="Keyboard"/>
    <x v="0"/>
    <n v="1200"/>
    <n v="15000"/>
    <n v="1800"/>
    <n v="13200"/>
    <n v="1200"/>
    <s v="South-C1034-1288"/>
    <s v="Regular"/>
    <s v="Poor"/>
    <n v="3"/>
    <x v="8"/>
    <n v="0.06"/>
    <n v="88784.639999999999"/>
    <n v="6137.2486904291509"/>
    <n v="564"/>
  </r>
  <r>
    <n v="1289"/>
    <s v="11-03-2025"/>
    <x v="3"/>
    <x v="5"/>
    <s v="C1027"/>
    <s v="P110"/>
    <n v="2"/>
    <n v="950"/>
    <n v="8"/>
    <n v="487300"/>
    <n v="12"/>
    <n v="1"/>
    <s v="Webcam"/>
    <x v="0"/>
    <n v="700"/>
    <n v="1900"/>
    <n v="152"/>
    <n v="1748"/>
    <n v="348"/>
    <s v="East-C1027-1289"/>
    <s v="Regular"/>
    <s v="Poor"/>
    <n v="1"/>
    <x v="10"/>
    <n v="0.02"/>
    <n v="58476"/>
    <n v="43296.014722955908"/>
    <n v="946"/>
  </r>
  <r>
    <n v="1290"/>
    <s v="10-04-2025"/>
    <x v="0"/>
    <x v="3"/>
    <s v="C1049"/>
    <s v="P106"/>
    <n v="9"/>
    <n v="8000"/>
    <n v="15"/>
    <n v="442179"/>
    <n v="9"/>
    <n v="1"/>
    <s v="Printer"/>
    <x v="1"/>
    <n v="6500"/>
    <n v="72000"/>
    <n v="10800"/>
    <n v="61200"/>
    <n v="2700"/>
    <s v="West-C1049-1290"/>
    <s v="High Value"/>
    <s v="Good"/>
    <n v="2"/>
    <x v="11"/>
    <n v="0.04"/>
    <n v="39796.11"/>
    <n v="38669.206546647089"/>
    <n v="251"/>
  </r>
  <r>
    <n v="1291"/>
    <s v="22-05-2025"/>
    <x v="2"/>
    <x v="5"/>
    <s v="C1015"/>
    <s v="P101"/>
    <n v="7"/>
    <n v="55000"/>
    <n v="10"/>
    <n v="227916"/>
    <n v="9"/>
    <n v="1"/>
    <s v="Laptop"/>
    <x v="1"/>
    <n v="45000"/>
    <n v="385000"/>
    <n v="38500"/>
    <n v="346500"/>
    <n v="31500"/>
    <s v="South-C1015-1291"/>
    <s v="High Value"/>
    <s v="Excellent"/>
    <n v="2"/>
    <x v="4"/>
    <n v="0.04"/>
    <n v="20512.439999999999"/>
    <n v="19931.59077949341"/>
    <n v="35"/>
  </r>
  <r>
    <n v="1292"/>
    <s v="16-05-2025"/>
    <x v="0"/>
    <x v="6"/>
    <s v="C1020"/>
    <s v="P104"/>
    <n v="8"/>
    <n v="12000"/>
    <n v="2"/>
    <n v="405865"/>
    <n v="7"/>
    <n v="2"/>
    <s v="Monitor"/>
    <x v="1"/>
    <n v="9000"/>
    <n v="96000"/>
    <n v="1920"/>
    <n v="94080"/>
    <n v="22080"/>
    <s v="West-C1020-1292"/>
    <s v="High Value"/>
    <s v="Good"/>
    <n v="2"/>
    <x v="4"/>
    <n v="0.04"/>
    <n v="56821.1"/>
    <n v="18171.622817698113"/>
    <n v="176"/>
  </r>
  <r>
    <n v="1293"/>
    <s v="24-11-2025"/>
    <x v="0"/>
    <x v="4"/>
    <s v="C1001"/>
    <s v="P101"/>
    <n v="10"/>
    <n v="55000"/>
    <n v="15"/>
    <n v="411745"/>
    <n v="11"/>
    <n v="5"/>
    <s v="Laptop"/>
    <x v="1"/>
    <n v="45000"/>
    <n v="550000"/>
    <n v="82500"/>
    <n v="467500"/>
    <n v="17500"/>
    <s v="West-C1001-1293"/>
    <s v="High Value"/>
    <s v="Excellent"/>
    <n v="4"/>
    <x v="5"/>
    <n v="0.08"/>
    <n v="226459.75"/>
    <n v="8952.3339880455187"/>
    <n v="13"/>
  </r>
  <r>
    <n v="1294"/>
    <s v="23-10-2025"/>
    <x v="1"/>
    <x v="1"/>
    <s v="C1019"/>
    <s v="P110"/>
    <n v="4"/>
    <n v="950"/>
    <n v="5"/>
    <n v="479838"/>
    <n v="11"/>
    <n v="3"/>
    <s v="Webcam"/>
    <x v="0"/>
    <n v="700"/>
    <n v="3800"/>
    <n v="190"/>
    <n v="3610"/>
    <n v="810"/>
    <s v="North-C1019-1294"/>
    <s v="Regular"/>
    <s v="Poor"/>
    <n v="4"/>
    <x v="6"/>
    <n v="0.08"/>
    <n v="158346.54"/>
    <n v="15709.280543988025"/>
    <n v="859"/>
  </r>
  <r>
    <n v="1295"/>
    <s v="03-03-2025"/>
    <x v="1"/>
    <x v="6"/>
    <s v="C1050"/>
    <s v="P108"/>
    <n v="4"/>
    <n v="2500"/>
    <n v="8"/>
    <n v="243723"/>
    <n v="9"/>
    <n v="5"/>
    <s v="Speaker"/>
    <x v="0"/>
    <n v="1800"/>
    <n v="10000"/>
    <n v="800"/>
    <n v="9200"/>
    <n v="2000"/>
    <s v="North-C1050-1295"/>
    <s v="Regular"/>
    <s v="Poor"/>
    <n v="1"/>
    <x v="10"/>
    <n v="0.02"/>
    <n v="109675.35"/>
    <n v="5059.2886108326784"/>
    <n v="657"/>
  </r>
  <r>
    <n v="1296"/>
    <s v="06-12-2025"/>
    <x v="1"/>
    <x v="6"/>
    <s v="C1042"/>
    <s v="P108"/>
    <n v="5"/>
    <n v="2500"/>
    <n v="12"/>
    <n v="409602"/>
    <n v="10"/>
    <n v="1"/>
    <s v="Speaker"/>
    <x v="0"/>
    <n v="1800"/>
    <n v="12500"/>
    <n v="1500"/>
    <n v="11000"/>
    <n v="2000"/>
    <s v="North-C1042-1296"/>
    <s v="Regular"/>
    <s v="Poor"/>
    <n v="4"/>
    <x v="0"/>
    <n v="0.08"/>
    <n v="40960.199999999997"/>
    <n v="36010.523241186391"/>
    <n v="616"/>
  </r>
  <r>
    <n v="1297"/>
    <s v="01-09-2025"/>
    <x v="1"/>
    <x v="3"/>
    <s v="C1034"/>
    <s v="P101"/>
    <n v="1"/>
    <n v="55000"/>
    <n v="15"/>
    <n v="105855"/>
    <n v="12"/>
    <n v="5"/>
    <s v="Laptop"/>
    <x v="1"/>
    <n v="45000"/>
    <n v="55000"/>
    <n v="8250"/>
    <n v="46750"/>
    <n v="1750"/>
    <s v="North-C1034-1297"/>
    <s v="Regular"/>
    <s v="Average"/>
    <n v="3"/>
    <x v="1"/>
    <n v="0.06"/>
    <n v="63513"/>
    <n v="2354.6860096852774"/>
    <n v="313"/>
  </r>
  <r>
    <n v="1298"/>
    <s v="22-04-2025"/>
    <x v="2"/>
    <x v="3"/>
    <s v="C1035"/>
    <s v="P104"/>
    <n v="5"/>
    <n v="12000"/>
    <n v="12"/>
    <n v="336224"/>
    <n v="9"/>
    <n v="1"/>
    <s v="Monitor"/>
    <x v="1"/>
    <n v="9000"/>
    <n v="60000"/>
    <n v="7200"/>
    <n v="52800"/>
    <n v="7800"/>
    <s v="South-C1035-1298"/>
    <s v="High Value"/>
    <s v="Good"/>
    <n v="2"/>
    <x v="11"/>
    <n v="0.04"/>
    <n v="30260.16"/>
    <n v="29403.285325490062"/>
    <n v="285"/>
  </r>
  <r>
    <n v="1299"/>
    <s v="14-03-2025"/>
    <x v="3"/>
    <x v="2"/>
    <s v="C1044"/>
    <s v="P108"/>
    <n v="2"/>
    <n v="2500"/>
    <n v="5"/>
    <n v="90501"/>
    <n v="10"/>
    <n v="1"/>
    <s v="Speaker"/>
    <x v="0"/>
    <n v="1800"/>
    <n v="5000"/>
    <n v="250"/>
    <n v="4750"/>
    <n v="1150"/>
    <s v="East-C1044-1299"/>
    <s v="Regular"/>
    <s v="Poor"/>
    <n v="1"/>
    <x v="10"/>
    <n v="0.02"/>
    <n v="9050.1"/>
    <n v="7956.475710203099"/>
    <n v="797"/>
  </r>
  <r>
    <n v="1300"/>
    <s v="27-05-2025"/>
    <x v="3"/>
    <x v="4"/>
    <s v="C1007"/>
    <s v="P105"/>
    <n v="6"/>
    <n v="2000"/>
    <n v="5"/>
    <n v="290522"/>
    <n v="9"/>
    <n v="3"/>
    <s v="Headset"/>
    <x v="0"/>
    <n v="1500"/>
    <n v="12000"/>
    <n v="600"/>
    <n v="11400"/>
    <n v="2400"/>
    <s v="East-C1007-1300"/>
    <s v="Regular"/>
    <s v="Poor"/>
    <n v="2"/>
    <x v="4"/>
    <n v="0.04"/>
    <n v="78440.94"/>
    <n v="9238.5219318312866"/>
    <n v="607"/>
  </r>
  <r>
    <n v="1301"/>
    <s v="19-03-2025"/>
    <x v="0"/>
    <x v="5"/>
    <s v="C1028"/>
    <s v="P103"/>
    <n v="6"/>
    <n v="1500"/>
    <n v="10"/>
    <n v="195264"/>
    <n v="10"/>
    <n v="4"/>
    <s v="Keyboard"/>
    <x v="0"/>
    <n v="1200"/>
    <n v="9000"/>
    <n v="900"/>
    <n v="8100"/>
    <n v="900"/>
    <s v="West-C1028-1301"/>
    <s v="Regular"/>
    <s v="Poor"/>
    <n v="1"/>
    <x v="10"/>
    <n v="0.02"/>
    <n v="78105.600000000006"/>
    <n v="4952.3994918024746"/>
    <n v="682"/>
  </r>
  <r>
    <n v="1302"/>
    <s v="04-07-2025"/>
    <x v="2"/>
    <x v="2"/>
    <s v="C1024"/>
    <s v="P104"/>
    <n v="7"/>
    <n v="12000"/>
    <n v="12"/>
    <n v="225995"/>
    <n v="7"/>
    <n v="2"/>
    <s v="Monitor"/>
    <x v="1"/>
    <n v="9000"/>
    <n v="84000"/>
    <n v="10080"/>
    <n v="73920"/>
    <n v="10920"/>
    <s v="South-C1024-1302"/>
    <s v="High Value"/>
    <s v="Good"/>
    <n v="3"/>
    <x v="8"/>
    <n v="0.06"/>
    <n v="31639.3"/>
    <n v="10118.379014415348"/>
    <n v="202"/>
  </r>
  <r>
    <n v="1303"/>
    <s v="15-02-2025"/>
    <x v="0"/>
    <x v="2"/>
    <s v="C1029"/>
    <s v="P105"/>
    <n v="10"/>
    <n v="2000"/>
    <n v="10"/>
    <n v="147898"/>
    <n v="12"/>
    <n v="4"/>
    <s v="Headset"/>
    <x v="0"/>
    <n v="1500"/>
    <n v="20000"/>
    <n v="2000"/>
    <n v="18000"/>
    <n v="3000"/>
    <s v="West-C1029-1303"/>
    <s v="Regular"/>
    <s v="Poor"/>
    <n v="1"/>
    <x v="9"/>
    <n v="0.02"/>
    <n v="70991.039999999994"/>
    <n v="3894.7215927112529"/>
    <n v="480"/>
  </r>
  <r>
    <n v="1304"/>
    <s v="02-07-2025"/>
    <x v="1"/>
    <x v="0"/>
    <s v="C1036"/>
    <s v="P106"/>
    <n v="10"/>
    <n v="8000"/>
    <n v="2"/>
    <n v="141070"/>
    <n v="10"/>
    <n v="1"/>
    <s v="Printer"/>
    <x v="1"/>
    <n v="6500"/>
    <n v="80000"/>
    <n v="1600"/>
    <n v="78400"/>
    <n v="13400"/>
    <s v="North-C1036-1304"/>
    <s v="High Value"/>
    <s v="Good"/>
    <n v="3"/>
    <x v="8"/>
    <n v="0.06"/>
    <n v="14107"/>
    <n v="12402.294211537454"/>
    <n v="197"/>
  </r>
  <r>
    <n v="1305"/>
    <s v="25-12-2025"/>
    <x v="2"/>
    <x v="1"/>
    <s v="C1050"/>
    <s v="P104"/>
    <n v="8"/>
    <n v="12000"/>
    <n v="12"/>
    <n v="290025"/>
    <n v="12"/>
    <n v="2"/>
    <s v="Monitor"/>
    <x v="1"/>
    <n v="9000"/>
    <n v="96000"/>
    <n v="11520"/>
    <n v="84480"/>
    <n v="12480"/>
    <s v="South-C1050-1305"/>
    <s v="High Value"/>
    <s v="Good"/>
    <n v="4"/>
    <x v="0"/>
    <n v="0.08"/>
    <n v="69606"/>
    <n v="13652.483781552346"/>
    <n v="190"/>
  </r>
  <r>
    <n v="1306"/>
    <s v="17-07-2025"/>
    <x v="2"/>
    <x v="6"/>
    <s v="C1004"/>
    <s v="P102"/>
    <n v="2"/>
    <n v="500"/>
    <n v="2"/>
    <n v="284413"/>
    <n v="11"/>
    <n v="4"/>
    <s v="Mouse"/>
    <x v="0"/>
    <n v="350"/>
    <n v="1000"/>
    <n v="20"/>
    <n v="980"/>
    <n v="280"/>
    <s v="South-C1004-1306"/>
    <s v="Regular"/>
    <s v="Poor"/>
    <n v="3"/>
    <x v="8"/>
    <n v="0.06"/>
    <n v="125141.72"/>
    <n v="7350.8026224911291"/>
    <n v="966"/>
  </r>
  <r>
    <n v="1307"/>
    <s v="14-08-2025"/>
    <x v="0"/>
    <x v="6"/>
    <s v="C1020"/>
    <s v="P108"/>
    <n v="8"/>
    <n v="2500"/>
    <n v="8"/>
    <n v="497668"/>
    <n v="9"/>
    <n v="4"/>
    <s v="Speaker"/>
    <x v="0"/>
    <n v="1800"/>
    <n v="20000"/>
    <n v="1600"/>
    <n v="18400"/>
    <n v="4000"/>
    <s v="West-C1020-1307"/>
    <s v="Regular"/>
    <s v="Poor"/>
    <n v="3"/>
    <x v="7"/>
    <n v="0.06"/>
    <n v="179160.48"/>
    <n v="12384.48926815109"/>
    <n v="473"/>
  </r>
  <r>
    <n v="1308"/>
    <s v="06-07-2025"/>
    <x v="2"/>
    <x v="6"/>
    <s v="C1009"/>
    <s v="P101"/>
    <n v="6"/>
    <n v="55000"/>
    <n v="15"/>
    <n v="484940"/>
    <n v="12"/>
    <n v="4"/>
    <s v="Laptop"/>
    <x v="1"/>
    <n v="45000"/>
    <n v="330000"/>
    <n v="49500"/>
    <n v="280500"/>
    <n v="10500"/>
    <s v="South-C1009-1308"/>
    <s v="High Value"/>
    <s v="Excellent"/>
    <n v="3"/>
    <x v="8"/>
    <n v="0.06"/>
    <n v="232771.20000000001"/>
    <n v="12770.33015435905"/>
    <n v="59"/>
  </r>
  <r>
    <n v="1309"/>
    <s v="18-02-2025"/>
    <x v="3"/>
    <x v="1"/>
    <s v="C1027"/>
    <s v="P110"/>
    <n v="8"/>
    <n v="950"/>
    <n v="12"/>
    <n v="480088"/>
    <n v="12"/>
    <n v="1"/>
    <s v="Webcam"/>
    <x v="0"/>
    <n v="700"/>
    <n v="7600"/>
    <n v="912"/>
    <n v="6688"/>
    <n v="1088"/>
    <s v="East-C1027-1309"/>
    <s v="Regular"/>
    <s v="Poor"/>
    <n v="1"/>
    <x v="9"/>
    <n v="0.02"/>
    <n v="57610.559999999998"/>
    <n v="42655.237259007699"/>
    <n v="732"/>
  </r>
  <r>
    <n v="1310"/>
    <s v="03-10-2025"/>
    <x v="3"/>
    <x v="7"/>
    <s v="C1015"/>
    <s v="P105"/>
    <n v="10"/>
    <n v="2000"/>
    <n v="2"/>
    <n v="187045"/>
    <n v="7"/>
    <n v="5"/>
    <s v="Headset"/>
    <x v="0"/>
    <n v="1500"/>
    <n v="20000"/>
    <n v="400"/>
    <n v="19600"/>
    <n v="4600"/>
    <s v="East-C1015-1310"/>
    <s v="Regular"/>
    <s v="Poor"/>
    <n v="4"/>
    <x v="6"/>
    <n v="0.08"/>
    <n v="65465.75"/>
    <n v="3703.7151809796787"/>
    <n v="461"/>
  </r>
  <r>
    <n v="1311"/>
    <s v="15-05-2025"/>
    <x v="1"/>
    <x v="5"/>
    <s v="C1042"/>
    <s v="P102"/>
    <n v="4"/>
    <n v="500"/>
    <n v="0"/>
    <n v="374440"/>
    <n v="10"/>
    <n v="3"/>
    <s v="Mouse"/>
    <x v="0"/>
    <n v="350"/>
    <n v="2000"/>
    <n v="0"/>
    <n v="2000"/>
    <n v="600"/>
    <s v="North-C1042-1311"/>
    <s v="Regular"/>
    <s v="Poor"/>
    <n v="2"/>
    <x v="4"/>
    <n v="0.04"/>
    <n v="112332"/>
    <n v="12082.125572860508"/>
    <n v="926"/>
  </r>
  <r>
    <n v="1312"/>
    <s v="01-03-2025"/>
    <x v="3"/>
    <x v="2"/>
    <s v="C1016"/>
    <s v="P110"/>
    <n v="6"/>
    <n v="950"/>
    <n v="2"/>
    <n v="328439"/>
    <n v="7"/>
    <n v="2"/>
    <s v="Webcam"/>
    <x v="0"/>
    <n v="700"/>
    <n v="5700"/>
    <n v="114"/>
    <n v="5586"/>
    <n v="1386"/>
    <s v="East-C1016-1312"/>
    <s v="Regular"/>
    <s v="Poor"/>
    <n v="1"/>
    <x v="10"/>
    <n v="0.02"/>
    <n v="45981.46"/>
    <n v="14705.061108057977"/>
    <n v="770"/>
  </r>
  <r>
    <n v="1313"/>
    <s v="23-05-2025"/>
    <x v="3"/>
    <x v="0"/>
    <s v="C1047"/>
    <s v="P107"/>
    <n v="7"/>
    <n v="35000"/>
    <n v="8"/>
    <n v="379750"/>
    <n v="11"/>
    <n v="4"/>
    <s v="Tablet"/>
    <x v="1"/>
    <n v="29000"/>
    <n v="245000"/>
    <n v="19600"/>
    <n v="225400"/>
    <n v="22400"/>
    <s v="East-C1047-1313"/>
    <s v="High Value"/>
    <s v="Excellent"/>
    <n v="2"/>
    <x v="4"/>
    <n v="0.04"/>
    <n v="167090"/>
    <n v="9814.837211699205"/>
    <n v="93"/>
  </r>
  <r>
    <n v="1314"/>
    <s v="07-10-2025"/>
    <x v="3"/>
    <x v="5"/>
    <s v="C1002"/>
    <s v="P104"/>
    <n v="10"/>
    <n v="12000"/>
    <n v="0"/>
    <n v="312351"/>
    <n v="8"/>
    <n v="4"/>
    <s v="Monitor"/>
    <x v="1"/>
    <n v="9000"/>
    <n v="120000"/>
    <n v="0"/>
    <n v="120000"/>
    <n v="30000"/>
    <s v="East-C1002-1314"/>
    <s v="High Value"/>
    <s v="Excellent"/>
    <n v="4"/>
    <x v="6"/>
    <n v="0.08"/>
    <n v="99952.320000000007"/>
    <n v="7625.4007062906421"/>
    <n v="143"/>
  </r>
  <r>
    <n v="1315"/>
    <s v="03-10-2025"/>
    <x v="0"/>
    <x v="7"/>
    <s v="C1034"/>
    <s v="P109"/>
    <n v="2"/>
    <n v="7000"/>
    <n v="15"/>
    <n v="106047"/>
    <n v="10"/>
    <n v="2"/>
    <s v="Router"/>
    <x v="1"/>
    <n v="5000"/>
    <n v="14000"/>
    <n v="2100"/>
    <n v="11900"/>
    <n v="1900"/>
    <s v="West-C1034-1315"/>
    <s v="Regular"/>
    <s v="Poor"/>
    <n v="4"/>
    <x v="6"/>
    <n v="0.08"/>
    <n v="21209.4"/>
    <n v="4893.5310033146125"/>
    <n v="592"/>
  </r>
  <r>
    <n v="1316"/>
    <s v="14-10-2025"/>
    <x v="2"/>
    <x v="7"/>
    <s v="C1010"/>
    <s v="P108"/>
    <n v="9"/>
    <n v="2500"/>
    <n v="15"/>
    <n v="145063"/>
    <n v="10"/>
    <n v="3"/>
    <s v="Speaker"/>
    <x v="0"/>
    <n v="1800"/>
    <n v="22500"/>
    <n v="3375"/>
    <n v="19125"/>
    <n v="2925"/>
    <s v="South-C1010-1316"/>
    <s v="Regular"/>
    <s v="Poor"/>
    <n v="4"/>
    <x v="6"/>
    <n v="0.08"/>
    <n v="43518.9"/>
    <n v="4680.774975899647"/>
    <n v="464"/>
  </r>
  <r>
    <n v="1317"/>
    <s v="16-08-2025"/>
    <x v="1"/>
    <x v="7"/>
    <s v="C1001"/>
    <s v="P108"/>
    <n v="5"/>
    <n v="2500"/>
    <n v="10"/>
    <n v="341572"/>
    <n v="8"/>
    <n v="3"/>
    <s v="Speaker"/>
    <x v="0"/>
    <n v="1800"/>
    <n v="12500"/>
    <n v="1250"/>
    <n v="11250"/>
    <n v="2250"/>
    <s v="North-C1001-1317"/>
    <s v="Regular"/>
    <s v="Poor"/>
    <n v="3"/>
    <x v="7"/>
    <n v="0.06"/>
    <n v="81977.279999999999"/>
    <n v="10703.625023391858"/>
    <n v="612"/>
  </r>
  <r>
    <n v="1318"/>
    <s v="27-02-2025"/>
    <x v="0"/>
    <x v="3"/>
    <s v="C1044"/>
    <s v="P107"/>
    <n v="6"/>
    <n v="35000"/>
    <n v="0"/>
    <n v="69114"/>
    <n v="12"/>
    <n v="5"/>
    <s v="Tablet"/>
    <x v="1"/>
    <n v="29000"/>
    <n v="210000"/>
    <n v="0"/>
    <n v="210000"/>
    <n v="36000"/>
    <s v="West-C1044-1318"/>
    <s v="High Value"/>
    <s v="Excellent"/>
    <n v="1"/>
    <x v="9"/>
    <n v="0.02"/>
    <n v="41468.400000000001"/>
    <n v="1537.4027572943012"/>
    <n v="100"/>
  </r>
  <r>
    <n v="1319"/>
    <s v="30-12-2025"/>
    <x v="2"/>
    <x v="5"/>
    <s v="C1046"/>
    <s v="P102"/>
    <n v="1"/>
    <n v="500"/>
    <n v="12"/>
    <n v="335600"/>
    <n v="7"/>
    <n v="2"/>
    <s v="Mouse"/>
    <x v="0"/>
    <n v="350"/>
    <n v="500"/>
    <n v="60"/>
    <n v="440"/>
    <n v="90"/>
    <s v="South-C1046-1319"/>
    <s v="Regular"/>
    <s v="Poor"/>
    <n v="4"/>
    <x v="0"/>
    <n v="0.08"/>
    <n v="46984"/>
    <n v="15025.677547015603"/>
    <n v="997"/>
  </r>
  <r>
    <n v="1320"/>
    <s v="02-09-2025"/>
    <x v="3"/>
    <x v="3"/>
    <s v="C1033"/>
    <s v="P101"/>
    <n v="8"/>
    <n v="55000"/>
    <n v="15"/>
    <n v="297910"/>
    <n v="7"/>
    <n v="1"/>
    <s v="Laptop"/>
    <x v="1"/>
    <n v="45000"/>
    <n v="440000"/>
    <n v="66000"/>
    <n v="374000"/>
    <n v="14000"/>
    <s v="East-C1033-1320"/>
    <s v="High Value"/>
    <s v="Excellent"/>
    <n v="3"/>
    <x v="1"/>
    <n v="0.06"/>
    <n v="20853.7"/>
    <n v="25777.182930096307"/>
    <n v="27"/>
  </r>
  <r>
    <n v="1321"/>
    <s v="17-09-2025"/>
    <x v="1"/>
    <x v="6"/>
    <s v="C1018"/>
    <s v="P108"/>
    <n v="9"/>
    <n v="2500"/>
    <n v="8"/>
    <n v="373230"/>
    <n v="10"/>
    <n v="5"/>
    <s v="Speaker"/>
    <x v="0"/>
    <n v="1800"/>
    <n v="22500"/>
    <n v="1800"/>
    <n v="20700"/>
    <n v="4500"/>
    <s v="North-C1018-1321"/>
    <s v="Regular"/>
    <s v="Average"/>
    <n v="3"/>
    <x v="1"/>
    <n v="0.06"/>
    <n v="186615"/>
    <n v="7930.0344975866592"/>
    <n v="438"/>
  </r>
  <r>
    <n v="1322"/>
    <s v="20-06-2025"/>
    <x v="3"/>
    <x v="1"/>
    <s v="C1016"/>
    <s v="P105"/>
    <n v="7"/>
    <n v="2000"/>
    <n v="15"/>
    <n v="415455"/>
    <n v="11"/>
    <n v="4"/>
    <s v="Headset"/>
    <x v="0"/>
    <n v="1500"/>
    <n v="14000"/>
    <n v="2100"/>
    <n v="11900"/>
    <n v="1400"/>
    <s v="East-C1016-1322"/>
    <s v="Regular"/>
    <s v="Poor"/>
    <n v="2"/>
    <x v="3"/>
    <n v="0.04"/>
    <n v="182800.2"/>
    <n v="10737.651596541129"/>
    <n v="592"/>
  </r>
  <r>
    <n v="1323"/>
    <s v="01-05-2025"/>
    <x v="1"/>
    <x v="4"/>
    <s v="C1036"/>
    <s v="P106"/>
    <n v="4"/>
    <n v="8000"/>
    <n v="12"/>
    <n v="261227"/>
    <n v="7"/>
    <n v="3"/>
    <s v="Printer"/>
    <x v="1"/>
    <n v="6500"/>
    <n v="32000"/>
    <n v="3840"/>
    <n v="28160"/>
    <n v="2160"/>
    <s v="North-C1036-1323"/>
    <s v="Regular"/>
    <s v="Average"/>
    <n v="2"/>
    <x v="4"/>
    <n v="0.04"/>
    <n v="54857.67"/>
    <n v="8065.9313828505155"/>
    <n v="388"/>
  </r>
  <r>
    <n v="1324"/>
    <s v="01-03-2025"/>
    <x v="0"/>
    <x v="2"/>
    <s v="C1011"/>
    <s v="P103"/>
    <n v="2"/>
    <n v="1500"/>
    <n v="8"/>
    <n v="283036"/>
    <n v="8"/>
    <n v="3"/>
    <s v="Keyboard"/>
    <x v="0"/>
    <n v="1200"/>
    <n v="3000"/>
    <n v="240"/>
    <n v="2760"/>
    <n v="360"/>
    <s v="West-C1011-1324"/>
    <s v="Regular"/>
    <s v="Poor"/>
    <n v="1"/>
    <x v="10"/>
    <n v="0.02"/>
    <n v="67928.639999999999"/>
    <n v="8869.3195347415422"/>
    <n v="893"/>
  </r>
  <r>
    <n v="1325"/>
    <s v="13-01-2025"/>
    <x v="1"/>
    <x v="5"/>
    <s v="C1005"/>
    <s v="P104"/>
    <n v="9"/>
    <n v="12000"/>
    <n v="0"/>
    <n v="364232"/>
    <n v="11"/>
    <n v="2"/>
    <s v="Monitor"/>
    <x v="1"/>
    <n v="9000"/>
    <n v="108000"/>
    <n v="0"/>
    <n v="108000"/>
    <n v="27000"/>
    <s v="North-C1005-1325"/>
    <s v="High Value"/>
    <s v="Excellent"/>
    <n v="1"/>
    <x v="2"/>
    <n v="0.02"/>
    <n v="80131.039999999994"/>
    <n v="16976.066121996715"/>
    <n v="154"/>
  </r>
  <r>
    <n v="1326"/>
    <s v="23-06-2025"/>
    <x v="3"/>
    <x v="2"/>
    <s v="C1041"/>
    <s v="P101"/>
    <n v="3"/>
    <n v="55000"/>
    <n v="5"/>
    <n v="171834"/>
    <n v="7"/>
    <n v="4"/>
    <s v="Laptop"/>
    <x v="1"/>
    <n v="45000"/>
    <n v="165000"/>
    <n v="8250"/>
    <n v="156750"/>
    <n v="21750"/>
    <s v="East-C1041-1326"/>
    <s v="High Value"/>
    <s v="Excellent"/>
    <n v="2"/>
    <x v="3"/>
    <n v="0.04"/>
    <n v="48113.52"/>
    <n v="4114.7790053262152"/>
    <n v="129"/>
  </r>
  <r>
    <n v="1327"/>
    <s v="07-04-2025"/>
    <x v="2"/>
    <x v="1"/>
    <s v="C1049"/>
    <s v="P104"/>
    <n v="8"/>
    <n v="12000"/>
    <n v="2"/>
    <n v="375815"/>
    <n v="9"/>
    <n v="4"/>
    <s v="Monitor"/>
    <x v="1"/>
    <n v="9000"/>
    <n v="96000"/>
    <n v="1920"/>
    <n v="94080"/>
    <n v="22080"/>
    <s v="South-C1049-1327"/>
    <s v="High Value"/>
    <s v="Good"/>
    <n v="2"/>
    <x v="11"/>
    <n v="0.04"/>
    <n v="135293.4"/>
    <n v="9352.1721997600835"/>
    <n v="176"/>
  </r>
  <r>
    <n v="1328"/>
    <s v="13-02-2025"/>
    <x v="0"/>
    <x v="2"/>
    <s v="C1046"/>
    <s v="P104"/>
    <n v="6"/>
    <n v="12000"/>
    <n v="10"/>
    <n v="350773"/>
    <n v="8"/>
    <n v="1"/>
    <s v="Monitor"/>
    <x v="1"/>
    <n v="9000"/>
    <n v="72000"/>
    <n v="7200"/>
    <n v="64800"/>
    <n v="10800"/>
    <s v="West-C1046-1328"/>
    <s v="High Value"/>
    <s v="Good"/>
    <n v="1"/>
    <x v="9"/>
    <n v="0.02"/>
    <n v="28061.84"/>
    <n v="30513.192235580405"/>
    <n v="231"/>
  </r>
  <r>
    <n v="1329"/>
    <s v="13-04-2025"/>
    <x v="2"/>
    <x v="4"/>
    <s v="C1025"/>
    <s v="P102"/>
    <n v="4"/>
    <n v="500"/>
    <n v="12"/>
    <n v="396075"/>
    <n v="9"/>
    <n v="5"/>
    <s v="Mouse"/>
    <x v="0"/>
    <n v="350"/>
    <n v="2000"/>
    <n v="240"/>
    <n v="1760"/>
    <n v="360"/>
    <s v="South-C1025-1329"/>
    <s v="Regular"/>
    <s v="Poor"/>
    <n v="2"/>
    <x v="11"/>
    <n v="0.04"/>
    <n v="178233.75"/>
    <n v="8221.8655462781644"/>
    <n v="944"/>
  </r>
  <r>
    <n v="1330"/>
    <s v="26-09-2025"/>
    <x v="3"/>
    <x v="3"/>
    <s v="C1050"/>
    <s v="P107"/>
    <n v="6"/>
    <n v="35000"/>
    <n v="12"/>
    <n v="118312"/>
    <n v="11"/>
    <n v="1"/>
    <s v="Tablet"/>
    <x v="1"/>
    <n v="29000"/>
    <n v="210000"/>
    <n v="25200"/>
    <n v="184800"/>
    <n v="10800"/>
    <s v="East-C1050-1330"/>
    <s v="High Value"/>
    <s v="Excellent"/>
    <n v="3"/>
    <x v="1"/>
    <n v="0.06"/>
    <n v="13014.32"/>
    <n v="10456.610783008016"/>
    <n v="118"/>
  </r>
  <r>
    <n v="1331"/>
    <s v="08-03-2025"/>
    <x v="1"/>
    <x v="2"/>
    <s v="C1012"/>
    <s v="P104"/>
    <n v="2"/>
    <n v="12000"/>
    <n v="15"/>
    <n v="89662"/>
    <n v="12"/>
    <n v="4"/>
    <s v="Monitor"/>
    <x v="1"/>
    <n v="9000"/>
    <n v="24000"/>
    <n v="3600"/>
    <n v="20400"/>
    <n v="2400"/>
    <s v="North-C1012-1331"/>
    <s v="Regular"/>
    <s v="Average"/>
    <n v="1"/>
    <x v="10"/>
    <n v="0.02"/>
    <n v="43037.760000000002"/>
    <n v="2361.1443524975075"/>
    <n v="446"/>
  </r>
  <r>
    <n v="1332"/>
    <s v="20-04-2025"/>
    <x v="2"/>
    <x v="5"/>
    <s v="C1045"/>
    <s v="P108"/>
    <n v="7"/>
    <n v="2500"/>
    <n v="2"/>
    <n v="371525"/>
    <n v="10"/>
    <n v="1"/>
    <s v="Speaker"/>
    <x v="0"/>
    <n v="1800"/>
    <n v="17500"/>
    <n v="350"/>
    <n v="17150"/>
    <n v="4550"/>
    <s v="South-C1045-1332"/>
    <s v="Regular"/>
    <s v="Poor"/>
    <n v="2"/>
    <x v="11"/>
    <n v="0.04"/>
    <n v="37152.5"/>
    <n v="32662.950003129314"/>
    <n v="498"/>
  </r>
  <r>
    <n v="1333"/>
    <s v="10-08-2025"/>
    <x v="3"/>
    <x v="1"/>
    <s v="C1017"/>
    <s v="P101"/>
    <n v="5"/>
    <n v="55000"/>
    <n v="10"/>
    <n v="433713"/>
    <n v="8"/>
    <n v="3"/>
    <s v="Laptop"/>
    <x v="1"/>
    <n v="45000"/>
    <n v="275000"/>
    <n v="27500"/>
    <n v="247500"/>
    <n v="22500"/>
    <s v="East-C1017-1333"/>
    <s v="High Value"/>
    <s v="Excellent"/>
    <n v="3"/>
    <x v="7"/>
    <n v="0.06"/>
    <n v="104091.12"/>
    <n v="13590.989073373557"/>
    <n v="81"/>
  </r>
  <r>
    <n v="1334"/>
    <s v="02-09-2025"/>
    <x v="2"/>
    <x v="7"/>
    <s v="C1033"/>
    <s v="P109"/>
    <n v="3"/>
    <n v="7000"/>
    <n v="2"/>
    <n v="378132"/>
    <n v="8"/>
    <n v="3"/>
    <s v="Router"/>
    <x v="1"/>
    <n v="5000"/>
    <n v="21000"/>
    <n v="420"/>
    <n v="20580"/>
    <n v="5580"/>
    <s v="South-C1033-1334"/>
    <s v="Regular"/>
    <s v="Average"/>
    <n v="3"/>
    <x v="1"/>
    <n v="0.06"/>
    <n v="90751.679999999993"/>
    <n v="11849.28254466177"/>
    <n v="442"/>
  </r>
  <r>
    <n v="1335"/>
    <s v="23-09-2025"/>
    <x v="1"/>
    <x v="3"/>
    <s v="C1049"/>
    <s v="P105"/>
    <n v="10"/>
    <n v="2000"/>
    <n v="5"/>
    <n v="188397"/>
    <n v="9"/>
    <n v="2"/>
    <s v="Headset"/>
    <x v="0"/>
    <n v="1500"/>
    <n v="20000"/>
    <n v="1000"/>
    <n v="19000"/>
    <n v="4000"/>
    <s v="North-C1049-1335"/>
    <s v="Regular"/>
    <s v="Poor"/>
    <n v="3"/>
    <x v="1"/>
    <n v="0.06"/>
    <n v="33911.46"/>
    <n v="8606.8683911693734"/>
    <n v="465"/>
  </r>
  <r>
    <n v="1336"/>
    <s v="11-12-2025"/>
    <x v="2"/>
    <x v="7"/>
    <s v="C1017"/>
    <s v="P107"/>
    <n v="2"/>
    <n v="35000"/>
    <n v="10"/>
    <n v="318362"/>
    <n v="11"/>
    <n v="5"/>
    <s v="Tablet"/>
    <x v="1"/>
    <n v="29000"/>
    <n v="70000"/>
    <n v="7000"/>
    <n v="63000"/>
    <n v="5000"/>
    <s v="South-C1017-1336"/>
    <s v="High Value"/>
    <s v="Good"/>
    <n v="4"/>
    <x v="0"/>
    <n v="0.08"/>
    <n v="175099.1"/>
    <n v="6921.9612942528693"/>
    <n v="245"/>
  </r>
  <r>
    <n v="1337"/>
    <s v="11-12-2025"/>
    <x v="3"/>
    <x v="4"/>
    <s v="C1039"/>
    <s v="P109"/>
    <n v="4"/>
    <n v="7000"/>
    <n v="8"/>
    <n v="67519"/>
    <n v="8"/>
    <n v="1"/>
    <s v="Router"/>
    <x v="1"/>
    <n v="5000"/>
    <n v="28000"/>
    <n v="2240"/>
    <n v="25760"/>
    <n v="5760"/>
    <s v="East-C1039-1337"/>
    <s v="Regular"/>
    <s v="Average"/>
    <n v="4"/>
    <x v="0"/>
    <n v="0.08"/>
    <n v="5401.52"/>
    <n v="5873.3717434185455"/>
    <n v="393"/>
  </r>
  <r>
    <n v="1338"/>
    <s v="04-12-2025"/>
    <x v="2"/>
    <x v="3"/>
    <s v="C1048"/>
    <s v="P109"/>
    <n v="4"/>
    <n v="7000"/>
    <n v="15"/>
    <n v="134980"/>
    <n v="9"/>
    <n v="4"/>
    <s v="Router"/>
    <x v="1"/>
    <n v="5000"/>
    <n v="28000"/>
    <n v="4200"/>
    <n v="23800"/>
    <n v="3800"/>
    <s v="South-C1048-1338"/>
    <s v="Regular"/>
    <s v="Average"/>
    <n v="4"/>
    <x v="0"/>
    <n v="0.08"/>
    <n v="48592.800000000003"/>
    <n v="3358.9830196336393"/>
    <n v="404"/>
  </r>
  <r>
    <n v="1339"/>
    <s v="01-06-2025"/>
    <x v="3"/>
    <x v="6"/>
    <s v="C1002"/>
    <s v="P110"/>
    <n v="9"/>
    <n v="950"/>
    <n v="0"/>
    <n v="193093"/>
    <n v="8"/>
    <n v="2"/>
    <s v="Webcam"/>
    <x v="0"/>
    <n v="700"/>
    <n v="8550"/>
    <n v="0"/>
    <n v="8550"/>
    <n v="2250"/>
    <s v="East-C1002-1339"/>
    <s v="Regular"/>
    <s v="Poor"/>
    <n v="2"/>
    <x v="3"/>
    <n v="0.04"/>
    <n v="30894.880000000001"/>
    <n v="8733.0733891489672"/>
    <n v="675"/>
  </r>
  <r>
    <n v="1340"/>
    <s v="21-04-2025"/>
    <x v="3"/>
    <x v="1"/>
    <s v="C1044"/>
    <s v="P103"/>
    <n v="3"/>
    <n v="1500"/>
    <n v="8"/>
    <n v="157018"/>
    <n v="9"/>
    <n v="5"/>
    <s v="Keyboard"/>
    <x v="0"/>
    <n v="1200"/>
    <n v="4500"/>
    <n v="360"/>
    <n v="4140"/>
    <n v="540"/>
    <s v="East-C1044-1340"/>
    <s v="Regular"/>
    <s v="Poor"/>
    <n v="2"/>
    <x v="11"/>
    <n v="0.04"/>
    <n v="70658.100000000006"/>
    <n v="3259.4354209316539"/>
    <n v="829"/>
  </r>
  <r>
    <n v="1341"/>
    <s v="03-10-2025"/>
    <x v="1"/>
    <x v="5"/>
    <s v="C1003"/>
    <s v="P105"/>
    <n v="10"/>
    <n v="2000"/>
    <n v="5"/>
    <n v="497488"/>
    <n v="10"/>
    <n v="1"/>
    <s v="Headset"/>
    <x v="0"/>
    <n v="1500"/>
    <n v="20000"/>
    <n v="1000"/>
    <n v="19000"/>
    <n v="4000"/>
    <s v="North-C1003-1341"/>
    <s v="Regular"/>
    <s v="Poor"/>
    <n v="4"/>
    <x v="6"/>
    <n v="0.08"/>
    <n v="49748.800000000003"/>
    <n v="43737.098906283012"/>
    <n v="465"/>
  </r>
  <r>
    <n v="1342"/>
    <s v="11-09-2025"/>
    <x v="0"/>
    <x v="2"/>
    <s v="C1025"/>
    <s v="P102"/>
    <n v="10"/>
    <n v="500"/>
    <n v="8"/>
    <n v="288627"/>
    <n v="8"/>
    <n v="3"/>
    <s v="Mouse"/>
    <x v="0"/>
    <n v="350"/>
    <n v="5000"/>
    <n v="400"/>
    <n v="4600"/>
    <n v="1100"/>
    <s v="West-C1025-1342"/>
    <s v="Regular"/>
    <s v="Poor"/>
    <n v="3"/>
    <x v="1"/>
    <n v="0.06"/>
    <n v="69270.48"/>
    <n v="9044.5211540364016"/>
    <n v="802"/>
  </r>
  <r>
    <n v="1343"/>
    <s v="05-08-2025"/>
    <x v="3"/>
    <x v="5"/>
    <s v="C1007"/>
    <s v="P103"/>
    <n v="2"/>
    <n v="1500"/>
    <n v="0"/>
    <n v="157754"/>
    <n v="12"/>
    <n v="3"/>
    <s v="Keyboard"/>
    <x v="0"/>
    <n v="1200"/>
    <n v="3000"/>
    <n v="0"/>
    <n v="3000"/>
    <n v="600"/>
    <s v="East-C1007-1343"/>
    <s v="Regular"/>
    <s v="Poor"/>
    <n v="3"/>
    <x v="7"/>
    <n v="0.06"/>
    <n v="56791.44"/>
    <n v="5239.6902302165263"/>
    <n v="877"/>
  </r>
  <r>
    <n v="1344"/>
    <s v="08-02-2025"/>
    <x v="2"/>
    <x v="7"/>
    <s v="C1025"/>
    <s v="P106"/>
    <n v="2"/>
    <n v="8000"/>
    <n v="5"/>
    <n v="435265"/>
    <n v="12"/>
    <n v="3"/>
    <s v="Printer"/>
    <x v="1"/>
    <n v="6500"/>
    <n v="16000"/>
    <n v="800"/>
    <n v="15200"/>
    <n v="2200"/>
    <s v="South-C1025-1344"/>
    <s v="Regular"/>
    <s v="Poor"/>
    <n v="1"/>
    <x v="9"/>
    <n v="0.02"/>
    <n v="156695.4"/>
    <n v="14457.026560690674"/>
    <n v="521"/>
  </r>
  <r>
    <n v="1345"/>
    <s v="22-04-2025"/>
    <x v="1"/>
    <x v="5"/>
    <s v="C1019"/>
    <s v="P104"/>
    <n v="7"/>
    <n v="12000"/>
    <n v="2"/>
    <n v="459189"/>
    <n v="9"/>
    <n v="2"/>
    <s v="Monitor"/>
    <x v="1"/>
    <n v="9000"/>
    <n v="84000"/>
    <n v="1680"/>
    <n v="82320"/>
    <n v="19320"/>
    <s v="North-C1019-1345"/>
    <s v="High Value"/>
    <s v="Good"/>
    <n v="2"/>
    <x v="11"/>
    <n v="0.04"/>
    <n v="82654.02"/>
    <n v="20977.931122431215"/>
    <n v="193"/>
  </r>
  <r>
    <n v="1346"/>
    <s v="27-04-2025"/>
    <x v="0"/>
    <x v="2"/>
    <s v="C1003"/>
    <s v="P109"/>
    <n v="8"/>
    <n v="7000"/>
    <n v="8"/>
    <n v="371580"/>
    <n v="11"/>
    <n v="2"/>
    <s v="Router"/>
    <x v="1"/>
    <n v="5000"/>
    <n v="56000"/>
    <n v="4480"/>
    <n v="51520"/>
    <n v="11520"/>
    <s v="West-C1003-1346"/>
    <s v="High Value"/>
    <s v="Good"/>
    <n v="2"/>
    <x v="11"/>
    <n v="0.04"/>
    <n v="81747.600000000006"/>
    <n v="17318.540517064783"/>
    <n v="287"/>
  </r>
  <r>
    <n v="1347"/>
    <s v="27-02-2025"/>
    <x v="2"/>
    <x v="6"/>
    <s v="C1037"/>
    <s v="P101"/>
    <n v="5"/>
    <n v="55000"/>
    <n v="10"/>
    <n v="145765"/>
    <n v="8"/>
    <n v="5"/>
    <s v="Laptop"/>
    <x v="1"/>
    <n v="45000"/>
    <n v="275000"/>
    <n v="27500"/>
    <n v="247500"/>
    <n v="22500"/>
    <s v="South-C1037-1347"/>
    <s v="High Value"/>
    <s v="Excellent"/>
    <n v="1"/>
    <x v="9"/>
    <n v="0.02"/>
    <n v="58306"/>
    <n v="2955.58861345062"/>
    <n v="81"/>
  </r>
  <r>
    <n v="1348"/>
    <s v="30-05-2025"/>
    <x v="3"/>
    <x v="0"/>
    <s v="C1050"/>
    <s v="P108"/>
    <n v="5"/>
    <n v="2500"/>
    <n v="8"/>
    <n v="478640"/>
    <n v="9"/>
    <n v="4"/>
    <s v="Speaker"/>
    <x v="0"/>
    <n v="1800"/>
    <n v="12500"/>
    <n v="1000"/>
    <n v="11500"/>
    <n v="2500"/>
    <s v="East-C1050-1348"/>
    <s v="Regular"/>
    <s v="Poor"/>
    <n v="2"/>
    <x v="4"/>
    <n v="0.04"/>
    <n v="172310.39999999999"/>
    <n v="11910.976681859869"/>
    <n v="603"/>
  </r>
  <r>
    <n v="1349"/>
    <s v="16-02-2025"/>
    <x v="1"/>
    <x v="6"/>
    <s v="C1031"/>
    <s v="P105"/>
    <n v="10"/>
    <n v="2000"/>
    <n v="10"/>
    <n v="379033"/>
    <n v="7"/>
    <n v="2"/>
    <s v="Headset"/>
    <x v="0"/>
    <n v="1500"/>
    <n v="20000"/>
    <n v="2000"/>
    <n v="18000"/>
    <n v="3000"/>
    <s v="North-C1031-1349"/>
    <s v="Regular"/>
    <s v="Poor"/>
    <n v="1"/>
    <x v="9"/>
    <n v="0.02"/>
    <n v="53064.62"/>
    <n v="16970.284975202518"/>
    <n v="480"/>
  </r>
  <r>
    <n v="1350"/>
    <s v="27-11-2025"/>
    <x v="1"/>
    <x v="5"/>
    <s v="C1004"/>
    <s v="P105"/>
    <n v="3"/>
    <n v="2000"/>
    <n v="0"/>
    <n v="101178"/>
    <n v="10"/>
    <n v="5"/>
    <s v="Headset"/>
    <x v="0"/>
    <n v="1500"/>
    <n v="6000"/>
    <n v="0"/>
    <n v="6000"/>
    <n v="1500"/>
    <s v="North-C1004-1350"/>
    <s v="Regular"/>
    <s v="Poor"/>
    <n v="4"/>
    <x v="5"/>
    <n v="0.08"/>
    <n v="50589"/>
    <n v="2149.7334897967016"/>
    <n v="759"/>
  </r>
  <r>
    <n v="1351"/>
    <s v="06-04-2025"/>
    <x v="1"/>
    <x v="1"/>
    <s v="C1035"/>
    <s v="P103"/>
    <n v="8"/>
    <n v="1500"/>
    <n v="0"/>
    <n v="178324"/>
    <n v="11"/>
    <n v="3"/>
    <s v="Keyboard"/>
    <x v="0"/>
    <n v="1200"/>
    <n v="12000"/>
    <n v="0"/>
    <n v="12000"/>
    <n v="2400"/>
    <s v="North-C1035-1351"/>
    <s v="Regular"/>
    <s v="Poor"/>
    <n v="2"/>
    <x v="11"/>
    <n v="0.04"/>
    <n v="58846.92"/>
    <n v="5838.0989911722727"/>
    <n v="588"/>
  </r>
  <r>
    <n v="1352"/>
    <s v="11-06-2025"/>
    <x v="2"/>
    <x v="0"/>
    <s v="C1039"/>
    <s v="P108"/>
    <n v="6"/>
    <n v="2500"/>
    <n v="0"/>
    <n v="328192"/>
    <n v="9"/>
    <n v="5"/>
    <s v="Speaker"/>
    <x v="0"/>
    <n v="1800"/>
    <n v="15000"/>
    <n v="0"/>
    <n v="15000"/>
    <n v="4200"/>
    <s v="South-C1039-1352"/>
    <s v="Regular"/>
    <s v="Poor"/>
    <n v="2"/>
    <x v="3"/>
    <n v="0.04"/>
    <n v="147686.39999999999"/>
    <n v="6812.7261184475747"/>
    <n v="526"/>
  </r>
  <r>
    <n v="1353"/>
    <s v="06-01-2025"/>
    <x v="1"/>
    <x v="3"/>
    <s v="C1001"/>
    <s v="P102"/>
    <n v="8"/>
    <n v="500"/>
    <n v="5"/>
    <n v="199473"/>
    <n v="10"/>
    <n v="1"/>
    <s v="Mouse"/>
    <x v="0"/>
    <n v="350"/>
    <n v="4000"/>
    <n v="200"/>
    <n v="3800"/>
    <n v="1000"/>
    <s v="North-C1001-1353"/>
    <s v="Regular"/>
    <s v="Poor"/>
    <n v="1"/>
    <x v="2"/>
    <n v="0.02"/>
    <n v="19947.3"/>
    <n v="17536.845773431705"/>
    <n v="854"/>
  </r>
  <r>
    <n v="1354"/>
    <s v="07-07-2025"/>
    <x v="0"/>
    <x v="5"/>
    <s v="C1006"/>
    <s v="P106"/>
    <n v="8"/>
    <n v="8000"/>
    <n v="0"/>
    <n v="465016"/>
    <n v="9"/>
    <n v="4"/>
    <s v="Printer"/>
    <x v="1"/>
    <n v="6500"/>
    <n v="64000"/>
    <n v="0"/>
    <n v="64000"/>
    <n v="12000"/>
    <s v="West-C1006-1354"/>
    <s v="High Value"/>
    <s v="Good"/>
    <n v="3"/>
    <x v="8"/>
    <n v="0.06"/>
    <n v="167405.76000000001"/>
    <n v="11571.94286455739"/>
    <n v="237"/>
  </r>
  <r>
    <n v="1355"/>
    <s v="17-11-2025"/>
    <x v="2"/>
    <x v="0"/>
    <s v="C1036"/>
    <s v="P101"/>
    <n v="9"/>
    <n v="55000"/>
    <n v="15"/>
    <n v="229238"/>
    <n v="10"/>
    <n v="1"/>
    <s v="Laptop"/>
    <x v="1"/>
    <n v="45000"/>
    <n v="495000"/>
    <n v="74250"/>
    <n v="420750"/>
    <n v="15750"/>
    <s v="South-C1036-1355"/>
    <s v="High Value"/>
    <s v="Excellent"/>
    <n v="4"/>
    <x v="5"/>
    <n v="0.08"/>
    <n v="22923.8"/>
    <n v="20153.662156832939"/>
    <n v="19"/>
  </r>
  <r>
    <n v="1356"/>
    <s v="26-03-2025"/>
    <x v="1"/>
    <x v="0"/>
    <s v="C1025"/>
    <s v="P105"/>
    <n v="6"/>
    <n v="2000"/>
    <n v="5"/>
    <n v="331953"/>
    <n v="12"/>
    <n v="4"/>
    <s v="Headset"/>
    <x v="0"/>
    <n v="1500"/>
    <n v="12000"/>
    <n v="600"/>
    <n v="11400"/>
    <n v="2400"/>
    <s v="North-C1025-1356"/>
    <s v="Regular"/>
    <s v="Poor"/>
    <n v="1"/>
    <x v="10"/>
    <n v="0.02"/>
    <n v="159337.44"/>
    <n v="8741.5956731347178"/>
    <n v="607"/>
  </r>
  <r>
    <n v="1357"/>
    <s v="23-06-2025"/>
    <x v="3"/>
    <x v="6"/>
    <s v="C1027"/>
    <s v="P105"/>
    <n v="6"/>
    <n v="2000"/>
    <n v="8"/>
    <n v="238677"/>
    <n v="7"/>
    <n v="4"/>
    <s v="Headset"/>
    <x v="0"/>
    <n v="1500"/>
    <n v="12000"/>
    <n v="960"/>
    <n v="11040"/>
    <n v="2040"/>
    <s v="East-C1027-1357"/>
    <s v="Regular"/>
    <s v="Poor"/>
    <n v="2"/>
    <x v="3"/>
    <n v="0.04"/>
    <n v="66829.56"/>
    <n v="5715.4178372978859"/>
    <n v="613"/>
  </r>
  <r>
    <n v="1358"/>
    <s v="06-06-2025"/>
    <x v="0"/>
    <x v="6"/>
    <s v="C1037"/>
    <s v="P102"/>
    <n v="4"/>
    <n v="500"/>
    <n v="10"/>
    <n v="444551"/>
    <n v="7"/>
    <n v="1"/>
    <s v="Mouse"/>
    <x v="0"/>
    <n v="350"/>
    <n v="2000"/>
    <n v="200"/>
    <n v="1800"/>
    <n v="400"/>
    <s v="West-C1037-1358"/>
    <s v="Regular"/>
    <s v="Poor"/>
    <n v="2"/>
    <x v="3"/>
    <n v="0.04"/>
    <n v="31118.57"/>
    <n v="38465.551504673371"/>
    <n v="940"/>
  </r>
  <r>
    <n v="1359"/>
    <s v="31-03-2025"/>
    <x v="0"/>
    <x v="5"/>
    <s v="C1031"/>
    <s v="P108"/>
    <n v="4"/>
    <n v="2500"/>
    <n v="5"/>
    <n v="428946"/>
    <n v="12"/>
    <n v="3"/>
    <s v="Speaker"/>
    <x v="0"/>
    <n v="1800"/>
    <n v="10000"/>
    <n v="500"/>
    <n v="9500"/>
    <n v="2300"/>
    <s v="West-C1031-1359"/>
    <s v="Regular"/>
    <s v="Poor"/>
    <n v="1"/>
    <x v="10"/>
    <n v="0.02"/>
    <n v="154420.56"/>
    <n v="14247.145336983267"/>
    <n v="651"/>
  </r>
  <r>
    <n v="1360"/>
    <s v="25-07-2025"/>
    <x v="2"/>
    <x v="0"/>
    <s v="C1018"/>
    <s v="P106"/>
    <n v="6"/>
    <n v="8000"/>
    <n v="15"/>
    <n v="146238"/>
    <n v="12"/>
    <n v="1"/>
    <s v="Printer"/>
    <x v="1"/>
    <n v="6500"/>
    <n v="48000"/>
    <n v="7200"/>
    <n v="40800"/>
    <n v="1800"/>
    <s v="South-C1018-1360"/>
    <s v="Regular"/>
    <s v="Average"/>
    <n v="3"/>
    <x v="8"/>
    <n v="0.06"/>
    <n v="17548.560000000001"/>
    <n v="12993.069158743332"/>
    <n v="334"/>
  </r>
  <r>
    <n v="1361"/>
    <s v="14-07-2025"/>
    <x v="1"/>
    <x v="1"/>
    <s v="C1019"/>
    <s v="P101"/>
    <n v="4"/>
    <n v="55000"/>
    <n v="5"/>
    <n v="478051"/>
    <n v="10"/>
    <n v="3"/>
    <s v="Laptop"/>
    <x v="1"/>
    <n v="45000"/>
    <n v="220000"/>
    <n v="11000"/>
    <n v="209000"/>
    <n v="29000"/>
    <s v="North-C1019-1361"/>
    <s v="High Value"/>
    <s v="Excellent"/>
    <n v="3"/>
    <x v="8"/>
    <n v="0.06"/>
    <n v="143415.29999999999"/>
    <n v="15425.361105201204"/>
    <n v="102"/>
  </r>
  <r>
    <n v="1362"/>
    <s v="29-04-2025"/>
    <x v="0"/>
    <x v="7"/>
    <s v="C1001"/>
    <s v="P110"/>
    <n v="5"/>
    <n v="950"/>
    <n v="10"/>
    <n v="159955"/>
    <n v="9"/>
    <n v="3"/>
    <s v="Webcam"/>
    <x v="0"/>
    <n v="700"/>
    <n v="4750"/>
    <n v="475"/>
    <n v="4275"/>
    <n v="775"/>
    <s v="West-C1001-1362"/>
    <s v="Regular"/>
    <s v="Poor"/>
    <n v="2"/>
    <x v="11"/>
    <n v="0.04"/>
    <n v="43187.85"/>
    <n v="5086.526237620812"/>
    <n v="819"/>
  </r>
  <r>
    <n v="1363"/>
    <s v="14-12-2025"/>
    <x v="1"/>
    <x v="5"/>
    <s v="C1011"/>
    <s v="P103"/>
    <n v="2"/>
    <n v="1500"/>
    <n v="5"/>
    <n v="52383"/>
    <n v="7"/>
    <n v="1"/>
    <s v="Keyboard"/>
    <x v="0"/>
    <n v="1200"/>
    <n v="3000"/>
    <n v="150"/>
    <n v="2850"/>
    <n v="450"/>
    <s v="North-C1011-1363"/>
    <s v="Regular"/>
    <s v="Poor"/>
    <n v="4"/>
    <x v="0"/>
    <n v="0.08"/>
    <n v="3666.81"/>
    <n v="4532.5305408587656"/>
    <n v="887"/>
  </r>
  <r>
    <n v="1364"/>
    <s v="05-05-2025"/>
    <x v="3"/>
    <x v="1"/>
    <s v="C1013"/>
    <s v="P107"/>
    <n v="5"/>
    <n v="35000"/>
    <n v="15"/>
    <n v="113026"/>
    <n v="9"/>
    <n v="5"/>
    <s v="Tablet"/>
    <x v="1"/>
    <n v="29000"/>
    <n v="175000"/>
    <n v="26250"/>
    <n v="148750"/>
    <n v="3750"/>
    <s v="East-C1013-1364"/>
    <s v="High Value"/>
    <s v="Excellent"/>
    <n v="2"/>
    <x v="4"/>
    <n v="0.04"/>
    <n v="50861.7"/>
    <n v="2346.2338578138879"/>
    <n v="133"/>
  </r>
  <r>
    <n v="1365"/>
    <s v="04-05-2025"/>
    <x v="0"/>
    <x v="6"/>
    <s v="C1047"/>
    <s v="P108"/>
    <n v="9"/>
    <n v="2500"/>
    <n v="10"/>
    <n v="384716"/>
    <n v="8"/>
    <n v="5"/>
    <s v="Speaker"/>
    <x v="0"/>
    <n v="1800"/>
    <n v="22500"/>
    <n v="2250"/>
    <n v="20250"/>
    <n v="4050"/>
    <s v="West-C1047-1365"/>
    <s v="Regular"/>
    <s v="Average"/>
    <n v="2"/>
    <x v="4"/>
    <n v="0.04"/>
    <n v="153886.39999999999"/>
    <n v="7800.653305061358"/>
    <n v="449"/>
  </r>
  <r>
    <n v="1366"/>
    <s v="26-03-2025"/>
    <x v="2"/>
    <x v="0"/>
    <s v="C1019"/>
    <s v="P107"/>
    <n v="9"/>
    <n v="35000"/>
    <n v="5"/>
    <n v="270408"/>
    <n v="9"/>
    <n v="3"/>
    <s v="Tablet"/>
    <x v="1"/>
    <n v="29000"/>
    <n v="315000"/>
    <n v="15750"/>
    <n v="299250"/>
    <n v="38250"/>
    <s v="South-C1019-1366"/>
    <s v="High Value"/>
    <s v="Excellent"/>
    <n v="1"/>
    <x v="10"/>
    <n v="0.02"/>
    <n v="73010.16"/>
    <n v="8598.9021091092418"/>
    <n v="56"/>
  </r>
  <r>
    <n v="1367"/>
    <s v="03-01-2025"/>
    <x v="2"/>
    <x v="7"/>
    <s v="C1012"/>
    <s v="P104"/>
    <n v="10"/>
    <n v="12000"/>
    <n v="10"/>
    <n v="397890"/>
    <n v="10"/>
    <n v="4"/>
    <s v="Monitor"/>
    <x v="1"/>
    <n v="9000"/>
    <n v="120000"/>
    <n v="12000"/>
    <n v="108000"/>
    <n v="18000"/>
    <s v="South-C1012-1367"/>
    <s v="High Value"/>
    <s v="Excellent"/>
    <n v="1"/>
    <x v="2"/>
    <n v="0.02"/>
    <n v="159156"/>
    <n v="10091.51832285156"/>
    <n v="154"/>
  </r>
  <r>
    <n v="1368"/>
    <s v="14-02-2025"/>
    <x v="3"/>
    <x v="4"/>
    <s v="C1011"/>
    <s v="P102"/>
    <n v="2"/>
    <n v="500"/>
    <n v="12"/>
    <n v="475905"/>
    <n v="9"/>
    <n v="3"/>
    <s v="Mouse"/>
    <x v="0"/>
    <n v="350"/>
    <n v="1000"/>
    <n v="120"/>
    <n v="880"/>
    <n v="180"/>
    <s v="East-C1011-1368"/>
    <s v="Regular"/>
    <s v="Poor"/>
    <n v="1"/>
    <x v="9"/>
    <n v="0.02"/>
    <n v="128494.35"/>
    <n v="15133.651771529072"/>
    <n v="980"/>
  </r>
  <r>
    <n v="1369"/>
    <s v="23-09-2025"/>
    <x v="3"/>
    <x v="5"/>
    <s v="C1045"/>
    <s v="P103"/>
    <n v="6"/>
    <n v="1500"/>
    <n v="5"/>
    <n v="173628"/>
    <n v="10"/>
    <n v="4"/>
    <s v="Keyboard"/>
    <x v="0"/>
    <n v="1200"/>
    <n v="9000"/>
    <n v="450"/>
    <n v="8550"/>
    <n v="1350"/>
    <s v="East-C1045-1369"/>
    <s v="Regular"/>
    <s v="Poor"/>
    <n v="3"/>
    <x v="1"/>
    <n v="0.06"/>
    <n v="69451.199999999997"/>
    <n v="4403.6546366082857"/>
    <n v="675"/>
  </r>
  <r>
    <n v="1370"/>
    <s v="02-09-2025"/>
    <x v="1"/>
    <x v="0"/>
    <s v="C1002"/>
    <s v="P105"/>
    <n v="3"/>
    <n v="2000"/>
    <n v="5"/>
    <n v="408279"/>
    <n v="8"/>
    <n v="3"/>
    <s v="Headset"/>
    <x v="0"/>
    <n v="1500"/>
    <n v="6000"/>
    <n v="300"/>
    <n v="5700"/>
    <n v="1200"/>
    <s v="North-C1002-1370"/>
    <s v="Regular"/>
    <s v="Poor"/>
    <n v="3"/>
    <x v="1"/>
    <n v="0.06"/>
    <n v="97986.96"/>
    <n v="12793.979954227527"/>
    <n v="767"/>
  </r>
  <r>
    <n v="1371"/>
    <s v="19-01-2025"/>
    <x v="1"/>
    <x v="4"/>
    <s v="C1037"/>
    <s v="P109"/>
    <n v="2"/>
    <n v="7000"/>
    <n v="10"/>
    <n v="254056"/>
    <n v="9"/>
    <n v="1"/>
    <s v="Router"/>
    <x v="1"/>
    <n v="5000"/>
    <n v="14000"/>
    <n v="1400"/>
    <n v="12600"/>
    <n v="2600"/>
    <s v="North-C1037-1371"/>
    <s v="Regular"/>
    <s v="Poor"/>
    <n v="1"/>
    <x v="2"/>
    <n v="0.02"/>
    <n v="22865.040000000001"/>
    <n v="22217.572382259157"/>
    <n v="575"/>
  </r>
  <r>
    <n v="1372"/>
    <s v="13-08-2025"/>
    <x v="1"/>
    <x v="2"/>
    <s v="C1009"/>
    <s v="P105"/>
    <n v="4"/>
    <n v="2000"/>
    <n v="2"/>
    <n v="68241"/>
    <n v="8"/>
    <n v="4"/>
    <s v="Headset"/>
    <x v="0"/>
    <n v="1500"/>
    <n v="8000"/>
    <n v="160"/>
    <n v="7840"/>
    <n v="1840"/>
    <s v="North-C1009-1372"/>
    <s v="Regular"/>
    <s v="Poor"/>
    <n v="3"/>
    <x v="7"/>
    <n v="0.06"/>
    <n v="21837.119999999999"/>
    <n v="1665.962233506471"/>
    <n v="692"/>
  </r>
  <r>
    <n v="1373"/>
    <s v="30-04-2025"/>
    <x v="3"/>
    <x v="1"/>
    <s v="C1017"/>
    <s v="P107"/>
    <n v="10"/>
    <n v="35000"/>
    <n v="2"/>
    <n v="318709"/>
    <n v="10"/>
    <n v="5"/>
    <s v="Tablet"/>
    <x v="1"/>
    <n v="29000"/>
    <n v="350000"/>
    <n v="7000"/>
    <n v="343000"/>
    <n v="53000"/>
    <s v="East-C1017-1373"/>
    <s v="High Value"/>
    <s v="Excellent"/>
    <n v="2"/>
    <x v="11"/>
    <n v="0.04"/>
    <n v="159354.5"/>
    <n v="6771.6243728836007"/>
    <n v="36"/>
  </r>
  <r>
    <n v="1374"/>
    <s v="14-08-2025"/>
    <x v="1"/>
    <x v="3"/>
    <s v="C1023"/>
    <s v="P105"/>
    <n v="7"/>
    <n v="2000"/>
    <n v="15"/>
    <n v="95424"/>
    <n v="9"/>
    <n v="3"/>
    <s v="Headset"/>
    <x v="0"/>
    <n v="1500"/>
    <n v="14000"/>
    <n v="2100"/>
    <n v="11900"/>
    <n v="1400"/>
    <s v="North-C1023-1374"/>
    <s v="Regular"/>
    <s v="Poor"/>
    <n v="3"/>
    <x v="7"/>
    <n v="0.06"/>
    <n v="25764.48"/>
    <n v="3034.4576893421799"/>
    <n v="592"/>
  </r>
  <r>
    <n v="1375"/>
    <s v="04-01-2025"/>
    <x v="2"/>
    <x v="7"/>
    <s v="C1019"/>
    <s v="P109"/>
    <n v="4"/>
    <n v="7000"/>
    <n v="12"/>
    <n v="364074"/>
    <n v="10"/>
    <n v="2"/>
    <s v="Router"/>
    <x v="1"/>
    <n v="5000"/>
    <n v="28000"/>
    <n v="3360"/>
    <n v="24640"/>
    <n v="4640"/>
    <s v="South-C1019-1375"/>
    <s v="Regular"/>
    <s v="Average"/>
    <n v="1"/>
    <x v="2"/>
    <n v="0.02"/>
    <n v="72814.8"/>
    <n v="16800.167911404984"/>
    <n v="400"/>
  </r>
  <r>
    <n v="1376"/>
    <s v="08-09-2025"/>
    <x v="0"/>
    <x v="2"/>
    <s v="C1004"/>
    <s v="P103"/>
    <n v="9"/>
    <n v="1500"/>
    <n v="15"/>
    <n v="497494"/>
    <n v="11"/>
    <n v="2"/>
    <s v="Keyboard"/>
    <x v="0"/>
    <n v="1200"/>
    <n v="13500"/>
    <n v="2025"/>
    <n v="11475"/>
    <n v="675"/>
    <s v="West-C1004-1376"/>
    <s v="Regular"/>
    <s v="Poor"/>
    <n v="3"/>
    <x v="1"/>
    <n v="0.06"/>
    <n v="109448.68"/>
    <n v="23187.119855742043"/>
    <n v="606"/>
  </r>
  <r>
    <n v="1377"/>
    <s v="16-12-2025"/>
    <x v="2"/>
    <x v="0"/>
    <s v="C1009"/>
    <s v="P101"/>
    <n v="1"/>
    <n v="55000"/>
    <n v="2"/>
    <n v="106944"/>
    <n v="8"/>
    <n v="5"/>
    <s v="Laptop"/>
    <x v="1"/>
    <n v="45000"/>
    <n v="55000"/>
    <n v="1100"/>
    <n v="53900"/>
    <n v="8900"/>
    <s v="South-C1009-1377"/>
    <s v="High Value"/>
    <s v="Good"/>
    <n v="4"/>
    <x v="0"/>
    <n v="0.08"/>
    <n v="42777.599999999999"/>
    <n v="2168.4387107801126"/>
    <n v="277"/>
  </r>
  <r>
    <n v="1378"/>
    <s v="08-03-2025"/>
    <x v="1"/>
    <x v="4"/>
    <s v="C1031"/>
    <s v="P103"/>
    <n v="5"/>
    <n v="1500"/>
    <n v="12"/>
    <n v="135974"/>
    <n v="7"/>
    <n v="3"/>
    <s v="Keyboard"/>
    <x v="0"/>
    <n v="1200"/>
    <n v="7500"/>
    <n v="900"/>
    <n v="6600"/>
    <n v="600"/>
    <s v="North-C1031-1378"/>
    <s v="Regular"/>
    <s v="Poor"/>
    <n v="1"/>
    <x v="10"/>
    <n v="0.02"/>
    <n v="28554.54"/>
    <n v="4198.4823691720849"/>
    <n v="738"/>
  </r>
  <r>
    <n v="1379"/>
    <s v="18-05-2025"/>
    <x v="2"/>
    <x v="6"/>
    <s v="C1035"/>
    <s v="P102"/>
    <n v="8"/>
    <n v="500"/>
    <n v="10"/>
    <n v="433814"/>
    <n v="7"/>
    <n v="1"/>
    <s v="Mouse"/>
    <x v="0"/>
    <n v="350"/>
    <n v="4000"/>
    <n v="400"/>
    <n v="3600"/>
    <n v="800"/>
    <s v="South-C1035-1379"/>
    <s v="Regular"/>
    <s v="Poor"/>
    <n v="2"/>
    <x v="4"/>
    <n v="0.04"/>
    <n v="30366.98"/>
    <n v="37536.513831817661"/>
    <n v="861"/>
  </r>
  <r>
    <n v="1380"/>
    <s v="20-05-2025"/>
    <x v="3"/>
    <x v="2"/>
    <s v="C1027"/>
    <s v="P105"/>
    <n v="8"/>
    <n v="2000"/>
    <n v="2"/>
    <n v="65918"/>
    <n v="9"/>
    <n v="1"/>
    <s v="Headset"/>
    <x v="0"/>
    <n v="1500"/>
    <n v="16000"/>
    <n v="320"/>
    <n v="15680"/>
    <n v="3680"/>
    <s v="East-C1027-1380"/>
    <s v="Regular"/>
    <s v="Poor"/>
    <n v="2"/>
    <x v="4"/>
    <n v="0.04"/>
    <n v="5932.62"/>
    <n v="5764.6264457196803"/>
    <n v="519"/>
  </r>
  <r>
    <n v="1381"/>
    <s v="10-10-2025"/>
    <x v="0"/>
    <x v="4"/>
    <s v="C1049"/>
    <s v="P110"/>
    <n v="3"/>
    <n v="950"/>
    <n v="10"/>
    <n v="59859"/>
    <n v="7"/>
    <n v="2"/>
    <s v="Webcam"/>
    <x v="0"/>
    <n v="700"/>
    <n v="2850"/>
    <n v="285"/>
    <n v="2565"/>
    <n v="465"/>
    <s v="West-C1049-1381"/>
    <s v="Regular"/>
    <s v="Poor"/>
    <n v="4"/>
    <x v="6"/>
    <n v="0.08"/>
    <n v="8380.26"/>
    <n v="2680.0418125351812"/>
    <n v="901"/>
  </r>
  <r>
    <n v="1382"/>
    <s v="20-02-2025"/>
    <x v="0"/>
    <x v="3"/>
    <s v="C1023"/>
    <s v="P102"/>
    <n v="3"/>
    <n v="500"/>
    <n v="8"/>
    <n v="174679"/>
    <n v="9"/>
    <n v="4"/>
    <s v="Mouse"/>
    <x v="0"/>
    <n v="350"/>
    <n v="1500"/>
    <n v="120"/>
    <n v="1380"/>
    <n v="330"/>
    <s v="West-C1023-1382"/>
    <s v="Regular"/>
    <s v="Poor"/>
    <n v="1"/>
    <x v="9"/>
    <n v="0.02"/>
    <n v="62884.44"/>
    <n v="4346.8943168364531"/>
    <n v="954"/>
  </r>
  <r>
    <n v="1383"/>
    <s v="10-08-2025"/>
    <x v="0"/>
    <x v="7"/>
    <s v="C1049"/>
    <s v="P107"/>
    <n v="7"/>
    <n v="35000"/>
    <n v="10"/>
    <n v="281812"/>
    <n v="9"/>
    <n v="1"/>
    <s v="Tablet"/>
    <x v="1"/>
    <n v="29000"/>
    <n v="245000"/>
    <n v="24500"/>
    <n v="220500"/>
    <n v="17500"/>
    <s v="West-C1049-1383"/>
    <s v="High Value"/>
    <s v="Excellent"/>
    <n v="3"/>
    <x v="7"/>
    <n v="0.06"/>
    <n v="25363.08"/>
    <n v="24644.875571485099"/>
    <n v="96"/>
  </r>
  <r>
    <n v="1384"/>
    <s v="14-03-2025"/>
    <x v="1"/>
    <x v="7"/>
    <s v="C1038"/>
    <s v="P109"/>
    <n v="10"/>
    <n v="7000"/>
    <n v="2"/>
    <n v="176993"/>
    <n v="11"/>
    <n v="4"/>
    <s v="Router"/>
    <x v="1"/>
    <n v="5000"/>
    <n v="70000"/>
    <n v="1400"/>
    <n v="68600"/>
    <n v="18600"/>
    <s v="North-C1038-1384"/>
    <s v="High Value"/>
    <s v="Good"/>
    <n v="1"/>
    <x v="10"/>
    <n v="0.02"/>
    <n v="77876.92"/>
    <n v="4574.4765835688677"/>
    <n v="221"/>
  </r>
  <r>
    <n v="1385"/>
    <s v="22-08-2025"/>
    <x v="1"/>
    <x v="6"/>
    <s v="C1041"/>
    <s v="P109"/>
    <n v="6"/>
    <n v="7000"/>
    <n v="2"/>
    <n v="204624"/>
    <n v="9"/>
    <n v="5"/>
    <s v="Router"/>
    <x v="1"/>
    <n v="5000"/>
    <n v="42000"/>
    <n v="840"/>
    <n v="41160"/>
    <n v="11160"/>
    <s v="North-C1041-1385"/>
    <s v="Regular"/>
    <s v="Average"/>
    <n v="3"/>
    <x v="7"/>
    <n v="0.06"/>
    <n v="92080.8"/>
    <n v="4247.6576798374626"/>
    <n v="331"/>
  </r>
  <r>
    <n v="1386"/>
    <s v="14-06-2025"/>
    <x v="0"/>
    <x v="2"/>
    <s v="C1028"/>
    <s v="P105"/>
    <n v="5"/>
    <n v="2000"/>
    <n v="2"/>
    <n v="162691"/>
    <n v="8"/>
    <n v="3"/>
    <s v="Headset"/>
    <x v="0"/>
    <n v="1500"/>
    <n v="10000"/>
    <n v="200"/>
    <n v="9800"/>
    <n v="2300"/>
    <s v="West-C1028-1386"/>
    <s v="Regular"/>
    <s v="Poor"/>
    <n v="2"/>
    <x v="3"/>
    <n v="0.04"/>
    <n v="39045.839999999997"/>
    <n v="5098.1446332856467"/>
    <n v="645"/>
  </r>
  <r>
    <n v="1387"/>
    <s v="23-09-2025"/>
    <x v="3"/>
    <x v="3"/>
    <s v="C1048"/>
    <s v="P107"/>
    <n v="3"/>
    <n v="35000"/>
    <n v="5"/>
    <n v="473058"/>
    <n v="7"/>
    <n v="3"/>
    <s v="Tablet"/>
    <x v="1"/>
    <n v="29000"/>
    <n v="105000"/>
    <n v="5250"/>
    <n v="99750"/>
    <n v="12750"/>
    <s v="East-C1048-1387"/>
    <s v="High Value"/>
    <s v="Good"/>
    <n v="3"/>
    <x v="1"/>
    <n v="0.06"/>
    <n v="99342.18"/>
    <n v="14606.657688939118"/>
    <n v="164"/>
  </r>
  <r>
    <n v="1388"/>
    <s v="24-01-2025"/>
    <x v="3"/>
    <x v="7"/>
    <s v="C1021"/>
    <s v="P101"/>
    <n v="4"/>
    <n v="55000"/>
    <n v="15"/>
    <n v="404014"/>
    <n v="11"/>
    <n v="4"/>
    <s v="Laptop"/>
    <x v="1"/>
    <n v="45000"/>
    <n v="220000"/>
    <n v="33000"/>
    <n v="187000"/>
    <n v="7000"/>
    <s v="East-C1021-1388"/>
    <s v="High Value"/>
    <s v="Excellent"/>
    <n v="1"/>
    <x v="2"/>
    <n v="0.02"/>
    <n v="177766.16"/>
    <n v="10441.952972343497"/>
    <n v="113"/>
  </r>
  <r>
    <n v="1389"/>
    <s v="18-09-2025"/>
    <x v="0"/>
    <x v="7"/>
    <s v="C1048"/>
    <s v="P110"/>
    <n v="8"/>
    <n v="950"/>
    <n v="15"/>
    <n v="204028"/>
    <n v="9"/>
    <n v="1"/>
    <s v="Webcam"/>
    <x v="0"/>
    <n v="700"/>
    <n v="7600"/>
    <n v="1140"/>
    <n v="6460"/>
    <n v="860"/>
    <s v="West-C1048-1389"/>
    <s v="Regular"/>
    <s v="Poor"/>
    <n v="3"/>
    <x v="1"/>
    <n v="0.06"/>
    <n v="18362.52"/>
    <n v="17842.549902413532"/>
    <n v="745"/>
  </r>
  <r>
    <n v="1390"/>
    <s v="23-09-2025"/>
    <x v="1"/>
    <x v="1"/>
    <s v="C1027"/>
    <s v="P108"/>
    <n v="7"/>
    <n v="2500"/>
    <n v="0"/>
    <n v="408509"/>
    <n v="7"/>
    <n v="3"/>
    <s v="Speaker"/>
    <x v="0"/>
    <n v="1800"/>
    <n v="17500"/>
    <n v="0"/>
    <n v="17500"/>
    <n v="4900"/>
    <s v="North-C1027-1390"/>
    <s v="Regular"/>
    <s v="Poor"/>
    <n v="3"/>
    <x v="1"/>
    <n v="0.06"/>
    <n v="85786.89"/>
    <n v="12613.571963376226"/>
    <n v="494"/>
  </r>
  <r>
    <n v="1391"/>
    <s v="03-05-2025"/>
    <x v="1"/>
    <x v="6"/>
    <s v="C1035"/>
    <s v="P106"/>
    <n v="7"/>
    <n v="8000"/>
    <n v="2"/>
    <n v="417371"/>
    <n v="10"/>
    <n v="2"/>
    <s v="Printer"/>
    <x v="1"/>
    <n v="6500"/>
    <n v="56000"/>
    <n v="1120"/>
    <n v="54880"/>
    <n v="9380"/>
    <s v="North-C1035-1391"/>
    <s v="High Value"/>
    <s v="Good"/>
    <n v="2"/>
    <x v="4"/>
    <n v="0.04"/>
    <n v="83474.2"/>
    <n v="19259.554050415602"/>
    <n v="273"/>
  </r>
  <r>
    <n v="1392"/>
    <s v="18-07-2025"/>
    <x v="3"/>
    <x v="2"/>
    <s v="C1006"/>
    <s v="P105"/>
    <n v="5"/>
    <n v="2000"/>
    <n v="5"/>
    <n v="233295"/>
    <n v="9"/>
    <n v="1"/>
    <s v="Headset"/>
    <x v="0"/>
    <n v="1500"/>
    <n v="10000"/>
    <n v="500"/>
    <n v="9500"/>
    <n v="2000"/>
    <s v="East-C1006-1392"/>
    <s v="Regular"/>
    <s v="Poor"/>
    <n v="3"/>
    <x v="8"/>
    <n v="0.06"/>
    <n v="20996.55"/>
    <n v="20401.992273038821"/>
    <n v="651"/>
  </r>
  <r>
    <n v="1393"/>
    <s v="05-03-2025"/>
    <x v="1"/>
    <x v="1"/>
    <s v="C1044"/>
    <s v="P105"/>
    <n v="6"/>
    <n v="2000"/>
    <n v="12"/>
    <n v="228059"/>
    <n v="11"/>
    <n v="4"/>
    <s v="Headset"/>
    <x v="0"/>
    <n v="1500"/>
    <n v="12000"/>
    <n v="1440"/>
    <n v="10560"/>
    <n v="1560"/>
    <s v="North-C1044-1393"/>
    <s v="Regular"/>
    <s v="Poor"/>
    <n v="1"/>
    <x v="10"/>
    <n v="0.02"/>
    <n v="100345.96"/>
    <n v="5894.3040412453165"/>
    <n v="629"/>
  </r>
  <r>
    <n v="1394"/>
    <s v="27-03-2025"/>
    <x v="3"/>
    <x v="1"/>
    <s v="C1007"/>
    <s v="P105"/>
    <n v="7"/>
    <n v="2000"/>
    <n v="2"/>
    <n v="405601"/>
    <n v="8"/>
    <n v="1"/>
    <s v="Headset"/>
    <x v="0"/>
    <n v="1500"/>
    <n v="14000"/>
    <n v="280"/>
    <n v="13720"/>
    <n v="3220"/>
    <s v="East-C1007-1394"/>
    <s v="Regular"/>
    <s v="Poor"/>
    <n v="1"/>
    <x v="10"/>
    <n v="0.02"/>
    <n v="32448.080000000002"/>
    <n v="35282.593825475866"/>
    <n v="549"/>
  </r>
  <r>
    <n v="1395"/>
    <s v="26-10-2025"/>
    <x v="1"/>
    <x v="5"/>
    <s v="C1039"/>
    <s v="P104"/>
    <n v="1"/>
    <n v="12000"/>
    <n v="2"/>
    <n v="359535"/>
    <n v="12"/>
    <n v="2"/>
    <s v="Monitor"/>
    <x v="1"/>
    <n v="9000"/>
    <n v="12000"/>
    <n v="240"/>
    <n v="11760"/>
    <n v="2760"/>
    <s v="North-C1039-1395"/>
    <s v="Regular"/>
    <s v="Poor"/>
    <n v="4"/>
    <x v="6"/>
    <n v="0.08"/>
    <n v="86288.4"/>
    <n v="16924.560835791475"/>
    <n v="599"/>
  </r>
  <r>
    <n v="1396"/>
    <s v="14-09-2025"/>
    <x v="2"/>
    <x v="2"/>
    <s v="C1039"/>
    <s v="P106"/>
    <n v="8"/>
    <n v="8000"/>
    <n v="0"/>
    <n v="159583"/>
    <n v="12"/>
    <n v="5"/>
    <s v="Printer"/>
    <x v="1"/>
    <n v="6500"/>
    <n v="64000"/>
    <n v="0"/>
    <n v="64000"/>
    <n v="12000"/>
    <s v="South-C1039-1396"/>
    <s v="High Value"/>
    <s v="Good"/>
    <n v="3"/>
    <x v="1"/>
    <n v="0.06"/>
    <n v="95749.8"/>
    <n v="3549.8356948996798"/>
    <n v="237"/>
  </r>
  <r>
    <n v="1397"/>
    <s v="29-07-2025"/>
    <x v="3"/>
    <x v="6"/>
    <s v="C1049"/>
    <s v="P101"/>
    <n v="1"/>
    <n v="55000"/>
    <n v="0"/>
    <n v="111297"/>
    <n v="10"/>
    <n v="5"/>
    <s v="Laptop"/>
    <x v="1"/>
    <n v="45000"/>
    <n v="55000"/>
    <n v="0"/>
    <n v="55000"/>
    <n v="10000"/>
    <s v="East-C1049-1397"/>
    <s v="High Value"/>
    <s v="Good"/>
    <n v="3"/>
    <x v="8"/>
    <n v="0.06"/>
    <n v="55648.5"/>
    <n v="2364.732335230025"/>
    <n v="271"/>
  </r>
  <r>
    <n v="1398"/>
    <s v="29-04-2025"/>
    <x v="2"/>
    <x v="7"/>
    <s v="C1009"/>
    <s v="P104"/>
    <n v="6"/>
    <n v="12000"/>
    <n v="12"/>
    <n v="458707"/>
    <n v="11"/>
    <n v="3"/>
    <s v="Monitor"/>
    <x v="1"/>
    <n v="9000"/>
    <n v="72000"/>
    <n v="8640"/>
    <n v="63360"/>
    <n v="9360"/>
    <s v="South-C1009-1398"/>
    <s v="High Value"/>
    <s v="Good"/>
    <n v="2"/>
    <x v="11"/>
    <n v="0.04"/>
    <n v="151373.31"/>
    <n v="15017.478712588656"/>
    <n v="240"/>
  </r>
  <r>
    <n v="1399"/>
    <s v="02-09-2025"/>
    <x v="3"/>
    <x v="0"/>
    <s v="C1036"/>
    <s v="P102"/>
    <n v="2"/>
    <n v="500"/>
    <n v="8"/>
    <n v="422033"/>
    <n v="9"/>
    <n v="2"/>
    <s v="Mouse"/>
    <x v="0"/>
    <n v="350"/>
    <n v="1000"/>
    <n v="80"/>
    <n v="920"/>
    <n v="220"/>
    <s v="East-C1036-1399"/>
    <s v="Regular"/>
    <s v="Poor"/>
    <n v="3"/>
    <x v="1"/>
    <n v="0.06"/>
    <n v="75965.94"/>
    <n v="19280.468838306257"/>
    <n v="971"/>
  </r>
  <r>
    <n v="1400"/>
    <s v="07-09-2025"/>
    <x v="2"/>
    <x v="1"/>
    <s v="C1012"/>
    <s v="P104"/>
    <n v="7"/>
    <n v="12000"/>
    <n v="10"/>
    <n v="225929"/>
    <n v="7"/>
    <n v="1"/>
    <s v="Monitor"/>
    <x v="1"/>
    <n v="9000"/>
    <n v="84000"/>
    <n v="8400"/>
    <n v="75600"/>
    <n v="12600"/>
    <s v="South-C1012-1400"/>
    <s v="High Value"/>
    <s v="Good"/>
    <n v="3"/>
    <x v="1"/>
    <n v="0.06"/>
    <n v="15815.03"/>
    <n v="19548.901219206233"/>
    <n v="200"/>
  </r>
  <r>
    <n v="1401"/>
    <s v="21-01-2025"/>
    <x v="0"/>
    <x v="7"/>
    <s v="C1014"/>
    <s v="P101"/>
    <n v="9"/>
    <n v="55000"/>
    <n v="15"/>
    <n v="101807"/>
    <n v="7"/>
    <n v="5"/>
    <s v="Laptop"/>
    <x v="1"/>
    <n v="45000"/>
    <n v="495000"/>
    <n v="74250"/>
    <n v="420750"/>
    <n v="15750"/>
    <s v="West-C1014-1401"/>
    <s v="High Value"/>
    <s v="Excellent"/>
    <n v="1"/>
    <x v="2"/>
    <n v="0.02"/>
    <n v="35632.449999999997"/>
    <n v="2015.9006197973652"/>
    <n v="19"/>
  </r>
  <r>
    <n v="1402"/>
    <s v="13-04-2025"/>
    <x v="0"/>
    <x v="7"/>
    <s v="C1024"/>
    <s v="P109"/>
    <n v="9"/>
    <n v="7000"/>
    <n v="15"/>
    <n v="495645"/>
    <n v="7"/>
    <n v="3"/>
    <s v="Router"/>
    <x v="1"/>
    <n v="5000"/>
    <n v="63000"/>
    <n v="9450"/>
    <n v="53550"/>
    <n v="8550"/>
    <s v="West-C1024-1402"/>
    <s v="High Value"/>
    <s v="Good"/>
    <n v="2"/>
    <x v="11"/>
    <n v="0.04"/>
    <n v="104085.45"/>
    <n v="15304.078675837276"/>
    <n v="279"/>
  </r>
  <r>
    <n v="1403"/>
    <s v="04-09-2025"/>
    <x v="1"/>
    <x v="0"/>
    <s v="C1047"/>
    <s v="P105"/>
    <n v="3"/>
    <n v="2000"/>
    <n v="15"/>
    <n v="244757"/>
    <n v="10"/>
    <n v="4"/>
    <s v="Headset"/>
    <x v="0"/>
    <n v="1500"/>
    <n v="6000"/>
    <n v="900"/>
    <n v="5100"/>
    <n v="600"/>
    <s v="North-C1047-1403"/>
    <s v="Regular"/>
    <s v="Poor"/>
    <n v="3"/>
    <x v="1"/>
    <n v="0.06"/>
    <n v="97902.8"/>
    <n v="6207.6698337384178"/>
    <n v="786"/>
  </r>
  <r>
    <n v="1404"/>
    <s v="23-08-2025"/>
    <x v="3"/>
    <x v="0"/>
    <s v="C1009"/>
    <s v="P105"/>
    <n v="3"/>
    <n v="2000"/>
    <n v="8"/>
    <n v="444644"/>
    <n v="7"/>
    <n v="3"/>
    <s v="Headset"/>
    <x v="0"/>
    <n v="1500"/>
    <n v="6000"/>
    <n v="480"/>
    <n v="5520"/>
    <n v="1020"/>
    <s v="East-C1009-1404"/>
    <s v="Regular"/>
    <s v="Poor"/>
    <n v="3"/>
    <x v="7"/>
    <n v="0.06"/>
    <n v="93375.24"/>
    <n v="13729.315858606442"/>
    <n v="771"/>
  </r>
  <r>
    <n v="1405"/>
    <s v="14-08-2025"/>
    <x v="0"/>
    <x v="2"/>
    <s v="C1019"/>
    <s v="P106"/>
    <n v="3"/>
    <n v="8000"/>
    <n v="12"/>
    <n v="54814"/>
    <n v="10"/>
    <n v="1"/>
    <s v="Printer"/>
    <x v="1"/>
    <n v="6500"/>
    <n v="24000"/>
    <n v="2880"/>
    <n v="21120"/>
    <n v="1620"/>
    <s v="West-C1019-1405"/>
    <s v="Regular"/>
    <s v="Average"/>
    <n v="3"/>
    <x v="7"/>
    <n v="0.06"/>
    <n v="5481.4"/>
    <n v="4819.0214426257462"/>
    <n v="429"/>
  </r>
  <r>
    <n v="1406"/>
    <s v="13-09-2025"/>
    <x v="1"/>
    <x v="3"/>
    <s v="C1039"/>
    <s v="P109"/>
    <n v="10"/>
    <n v="7000"/>
    <n v="5"/>
    <n v="366791"/>
    <n v="12"/>
    <n v="2"/>
    <s v="Router"/>
    <x v="1"/>
    <n v="5000"/>
    <n v="70000"/>
    <n v="3500"/>
    <n v="66500"/>
    <n v="16500"/>
    <s v="North-C1039-1406"/>
    <s v="High Value"/>
    <s v="Good"/>
    <n v="3"/>
    <x v="1"/>
    <n v="0.06"/>
    <n v="88029.84"/>
    <n v="17266.125950243484"/>
    <n v="228"/>
  </r>
  <r>
    <n v="1407"/>
    <s v="13-08-2025"/>
    <x v="2"/>
    <x v="2"/>
    <s v="C1038"/>
    <s v="P105"/>
    <n v="1"/>
    <n v="2000"/>
    <n v="2"/>
    <n v="330591"/>
    <n v="9"/>
    <n v="3"/>
    <s v="Headset"/>
    <x v="0"/>
    <n v="1500"/>
    <n v="2000"/>
    <n v="40"/>
    <n v="1960"/>
    <n v="460"/>
    <s v="South-C1038-1407"/>
    <s v="Regular"/>
    <s v="Poor"/>
    <n v="3"/>
    <x v="7"/>
    <n v="0.06"/>
    <n v="89259.57"/>
    <n v="10512.705419782451"/>
    <n v="932"/>
  </r>
  <r>
    <n v="1408"/>
    <s v="21-09-2025"/>
    <x v="1"/>
    <x v="7"/>
    <s v="C1028"/>
    <s v="P103"/>
    <n v="8"/>
    <n v="1500"/>
    <n v="5"/>
    <n v="482446"/>
    <n v="9"/>
    <n v="5"/>
    <s v="Keyboard"/>
    <x v="0"/>
    <n v="1200"/>
    <n v="12000"/>
    <n v="600"/>
    <n v="11400"/>
    <n v="1800"/>
    <s v="North-C1028-1408"/>
    <s v="Regular"/>
    <s v="Poor"/>
    <n v="3"/>
    <x v="1"/>
    <n v="0.06"/>
    <n v="217100.7"/>
    <n v="10014.785445533587"/>
    <n v="607"/>
  </r>
  <r>
    <n v="1409"/>
    <s v="06-08-2025"/>
    <x v="2"/>
    <x v="5"/>
    <s v="C1043"/>
    <s v="P104"/>
    <n v="5"/>
    <n v="12000"/>
    <n v="0"/>
    <n v="399142"/>
    <n v="11"/>
    <n v="4"/>
    <s v="Monitor"/>
    <x v="1"/>
    <n v="9000"/>
    <n v="60000"/>
    <n v="0"/>
    <n v="60000"/>
    <n v="15000"/>
    <s v="South-C1043-1409"/>
    <s v="High Value"/>
    <s v="Good"/>
    <n v="3"/>
    <x v="7"/>
    <n v="0.06"/>
    <n v="175622.48"/>
    <n v="10316.0335861805"/>
    <n v="254"/>
  </r>
  <r>
    <n v="1410"/>
    <s v="13-02-2025"/>
    <x v="3"/>
    <x v="7"/>
    <s v="C1020"/>
    <s v="P105"/>
    <n v="5"/>
    <n v="2000"/>
    <n v="8"/>
    <n v="128250"/>
    <n v="10"/>
    <n v="3"/>
    <s v="Headset"/>
    <x v="0"/>
    <n v="1500"/>
    <n v="10000"/>
    <n v="800"/>
    <n v="9200"/>
    <n v="1700"/>
    <s v="East-C1020-1410"/>
    <s v="Regular"/>
    <s v="Poor"/>
    <n v="1"/>
    <x v="9"/>
    <n v="0.02"/>
    <n v="38475"/>
    <n v="4138.2667576096574"/>
    <n v="657"/>
  </r>
  <r>
    <n v="1411"/>
    <s v="07-07-2025"/>
    <x v="0"/>
    <x v="7"/>
    <s v="C1049"/>
    <s v="P101"/>
    <n v="3"/>
    <n v="55000"/>
    <n v="15"/>
    <n v="486893"/>
    <n v="9"/>
    <n v="3"/>
    <s v="Laptop"/>
    <x v="1"/>
    <n v="45000"/>
    <n v="165000"/>
    <n v="24750"/>
    <n v="140250"/>
    <n v="5250"/>
    <s v="West-C1049-1411"/>
    <s v="High Value"/>
    <s v="Excellent"/>
    <n v="3"/>
    <x v="8"/>
    <n v="0.06"/>
    <n v="131461.10999999999"/>
    <n v="15483.0672339965"/>
    <n v="136"/>
  </r>
  <r>
    <n v="1412"/>
    <s v="18-04-2025"/>
    <x v="3"/>
    <x v="3"/>
    <s v="C1002"/>
    <s v="P103"/>
    <n v="6"/>
    <n v="1500"/>
    <n v="2"/>
    <n v="451605"/>
    <n v="11"/>
    <n v="5"/>
    <s v="Keyboard"/>
    <x v="0"/>
    <n v="1200"/>
    <n v="9000"/>
    <n v="180"/>
    <n v="8820"/>
    <n v="1620"/>
    <s v="East-C1002-1412"/>
    <s v="Regular"/>
    <s v="Poor"/>
    <n v="2"/>
    <x v="11"/>
    <n v="0.04"/>
    <n v="248382.75"/>
    <n v="9818.9869717210822"/>
    <n v="669"/>
  </r>
  <r>
    <n v="1413"/>
    <s v="12-04-2025"/>
    <x v="2"/>
    <x v="1"/>
    <s v="C1010"/>
    <s v="P101"/>
    <n v="6"/>
    <n v="55000"/>
    <n v="15"/>
    <n v="307520"/>
    <n v="11"/>
    <n v="4"/>
    <s v="Laptop"/>
    <x v="1"/>
    <n v="45000"/>
    <n v="330000"/>
    <n v="49500"/>
    <n v="280500"/>
    <n v="10500"/>
    <s v="South-C1010-1413"/>
    <s v="High Value"/>
    <s v="Excellent"/>
    <n v="2"/>
    <x v="11"/>
    <n v="0.04"/>
    <n v="135308.79999999999"/>
    <n v="7948.0151134739699"/>
    <n v="59"/>
  </r>
  <r>
    <n v="1414"/>
    <s v="10-03-2025"/>
    <x v="2"/>
    <x v="4"/>
    <s v="C1023"/>
    <s v="P107"/>
    <n v="2"/>
    <n v="35000"/>
    <n v="8"/>
    <n v="356998"/>
    <n v="9"/>
    <n v="2"/>
    <s v="Tablet"/>
    <x v="1"/>
    <n v="29000"/>
    <n v="70000"/>
    <n v="5600"/>
    <n v="64400"/>
    <n v="6400"/>
    <s v="South-C1023-1414"/>
    <s v="High Value"/>
    <s v="Good"/>
    <n v="1"/>
    <x v="10"/>
    <n v="0.02"/>
    <n v="64259.64"/>
    <n v="16309.361624180237"/>
    <n v="234"/>
  </r>
  <r>
    <n v="1415"/>
    <s v="25-05-2025"/>
    <x v="2"/>
    <x v="3"/>
    <s v="C1030"/>
    <s v="P105"/>
    <n v="4"/>
    <n v="2000"/>
    <n v="2"/>
    <n v="403132"/>
    <n v="12"/>
    <n v="3"/>
    <s v="Headset"/>
    <x v="0"/>
    <n v="1500"/>
    <n v="8000"/>
    <n v="160"/>
    <n v="7840"/>
    <n v="1840"/>
    <s v="South-C1030-1415"/>
    <s v="Regular"/>
    <s v="Poor"/>
    <n v="2"/>
    <x v="4"/>
    <n v="0.04"/>
    <n v="145127.51999999999"/>
    <n v="13389.751143474325"/>
    <n v="692"/>
  </r>
  <r>
    <n v="1416"/>
    <s v="26-01-2025"/>
    <x v="3"/>
    <x v="7"/>
    <s v="C1005"/>
    <s v="P102"/>
    <n v="7"/>
    <n v="500"/>
    <n v="2"/>
    <n v="315305"/>
    <n v="12"/>
    <n v="1"/>
    <s v="Mouse"/>
    <x v="0"/>
    <n v="350"/>
    <n v="3500"/>
    <n v="70"/>
    <n v="3430"/>
    <n v="980"/>
    <s v="East-C1005-1416"/>
    <s v="Regular"/>
    <s v="Poor"/>
    <n v="1"/>
    <x v="2"/>
    <n v="0.02"/>
    <n v="37836.6"/>
    <n v="28014.467314224526"/>
    <n v="867"/>
  </r>
  <r>
    <n v="1417"/>
    <s v="24-06-2025"/>
    <x v="3"/>
    <x v="7"/>
    <s v="C1006"/>
    <s v="P104"/>
    <n v="1"/>
    <n v="12000"/>
    <n v="0"/>
    <n v="155311"/>
    <n v="8"/>
    <n v="4"/>
    <s v="Monitor"/>
    <x v="1"/>
    <n v="9000"/>
    <n v="12000"/>
    <n v="0"/>
    <n v="12000"/>
    <n v="3000"/>
    <s v="East-C1006-1417"/>
    <s v="Regular"/>
    <s v="Poor"/>
    <n v="2"/>
    <x v="3"/>
    <n v="0.04"/>
    <n v="49699.519999999997"/>
    <n v="3791.5953817810919"/>
    <n v="588"/>
  </r>
  <r>
    <n v="1418"/>
    <s v="09-07-2025"/>
    <x v="2"/>
    <x v="7"/>
    <s v="C1038"/>
    <s v="P104"/>
    <n v="5"/>
    <n v="12000"/>
    <n v="8"/>
    <n v="53572"/>
    <n v="10"/>
    <n v="1"/>
    <s v="Monitor"/>
    <x v="1"/>
    <n v="9000"/>
    <n v="60000"/>
    <n v="4800"/>
    <n v="55200"/>
    <n v="10200"/>
    <s v="South-C1038-1418"/>
    <s v="High Value"/>
    <s v="Good"/>
    <n v="3"/>
    <x v="8"/>
    <n v="0.06"/>
    <n v="5357.2"/>
    <n v="4709.8299106860741"/>
    <n v="268"/>
  </r>
  <r>
    <n v="1419"/>
    <s v="25-07-2025"/>
    <x v="2"/>
    <x v="7"/>
    <s v="C1047"/>
    <s v="P101"/>
    <n v="8"/>
    <n v="55000"/>
    <n v="15"/>
    <n v="157220"/>
    <n v="8"/>
    <n v="3"/>
    <s v="Laptop"/>
    <x v="1"/>
    <n v="45000"/>
    <n v="440000"/>
    <n v="66000"/>
    <n v="374000"/>
    <n v="14000"/>
    <s v="South-C1047-1419"/>
    <s v="High Value"/>
    <s v="Excellent"/>
    <n v="3"/>
    <x v="8"/>
    <n v="0.06"/>
    <n v="37732.800000000003"/>
    <n v="4926.7033778461582"/>
    <n v="27"/>
  </r>
  <r>
    <n v="1420"/>
    <s v="01-01-2025"/>
    <x v="0"/>
    <x v="2"/>
    <s v="C1013"/>
    <s v="P102"/>
    <n v="8"/>
    <n v="500"/>
    <n v="8"/>
    <n v="411242"/>
    <n v="9"/>
    <n v="5"/>
    <s v="Mouse"/>
    <x v="0"/>
    <n v="350"/>
    <n v="4000"/>
    <n v="320"/>
    <n v="3680"/>
    <n v="880"/>
    <s v="West-C1013-1420"/>
    <s v="Regular"/>
    <s v="Poor"/>
    <n v="1"/>
    <x v="2"/>
    <n v="0.02"/>
    <n v="185058.9"/>
    <n v="8536.7075199962746"/>
    <n v="857"/>
  </r>
  <r>
    <n v="1421"/>
    <s v="09-10-2025"/>
    <x v="0"/>
    <x v="7"/>
    <s v="C1003"/>
    <s v="P101"/>
    <n v="4"/>
    <n v="55000"/>
    <n v="2"/>
    <n v="258535"/>
    <n v="7"/>
    <n v="2"/>
    <s v="Laptop"/>
    <x v="1"/>
    <n v="45000"/>
    <n v="220000"/>
    <n v="4400"/>
    <n v="215600"/>
    <n v="35600"/>
    <s v="West-C1003-1421"/>
    <s v="High Value"/>
    <s v="Excellent"/>
    <n v="4"/>
    <x v="6"/>
    <n v="0.08"/>
    <n v="36194.9"/>
    <n v="11575.278738431702"/>
    <n v="98"/>
  </r>
  <r>
    <n v="1422"/>
    <s v="25-07-2025"/>
    <x v="2"/>
    <x v="6"/>
    <s v="C1033"/>
    <s v="P103"/>
    <n v="7"/>
    <n v="1500"/>
    <n v="5"/>
    <n v="325129"/>
    <n v="7"/>
    <n v="1"/>
    <s v="Keyboard"/>
    <x v="0"/>
    <n v="1200"/>
    <n v="10500"/>
    <n v="525"/>
    <n v="9975"/>
    <n v="1575"/>
    <s v="South-C1033-1422"/>
    <s v="Regular"/>
    <s v="Poor"/>
    <n v="3"/>
    <x v="8"/>
    <n v="0.06"/>
    <n v="22759.03"/>
    <n v="28132.354432141528"/>
    <n v="643"/>
  </r>
  <r>
    <n v="1423"/>
    <s v="25-10-2025"/>
    <x v="2"/>
    <x v="3"/>
    <s v="C1049"/>
    <s v="P110"/>
    <n v="1"/>
    <n v="950"/>
    <n v="5"/>
    <n v="442005"/>
    <n v="8"/>
    <n v="4"/>
    <s v="Webcam"/>
    <x v="0"/>
    <n v="700"/>
    <n v="950"/>
    <n v="47.5"/>
    <n v="902.5"/>
    <n v="202.5"/>
    <s v="South-C1049-1423"/>
    <s v="Regular"/>
    <s v="Poor"/>
    <n v="4"/>
    <x v="6"/>
    <n v="0.08"/>
    <n v="141441.60000000001"/>
    <n v="10790.633739555804"/>
    <n v="976"/>
  </r>
  <r>
    <n v="1424"/>
    <s v="25-06-2025"/>
    <x v="1"/>
    <x v="7"/>
    <s v="C1038"/>
    <s v="P104"/>
    <n v="5"/>
    <n v="12000"/>
    <n v="15"/>
    <n v="173422"/>
    <n v="11"/>
    <n v="3"/>
    <s v="Monitor"/>
    <x v="1"/>
    <n v="9000"/>
    <n v="60000"/>
    <n v="9000"/>
    <n v="51000"/>
    <n v="6000"/>
    <s v="North-C1038-1424"/>
    <s v="High Value"/>
    <s v="Good"/>
    <n v="2"/>
    <x v="3"/>
    <n v="0.04"/>
    <n v="57229.26"/>
    <n v="5677.6137998647282"/>
    <n v="293"/>
  </r>
  <r>
    <n v="1425"/>
    <s v="06-02-2025"/>
    <x v="1"/>
    <x v="1"/>
    <s v="C1004"/>
    <s v="P105"/>
    <n v="7"/>
    <n v="2000"/>
    <n v="15"/>
    <n v="136853"/>
    <n v="9"/>
    <n v="4"/>
    <s v="Headset"/>
    <x v="0"/>
    <n v="1500"/>
    <n v="14000"/>
    <n v="2100"/>
    <n v="11900"/>
    <n v="1400"/>
    <s v="North-C1004-1425"/>
    <s v="Regular"/>
    <s v="Poor"/>
    <n v="1"/>
    <x v="9"/>
    <n v="0.02"/>
    <n v="49267.08"/>
    <n v="3405.5927040000183"/>
    <n v="592"/>
  </r>
  <r>
    <n v="1426"/>
    <s v="16-09-2025"/>
    <x v="2"/>
    <x v="7"/>
    <s v="C1021"/>
    <s v="P109"/>
    <n v="2"/>
    <n v="7000"/>
    <n v="0"/>
    <n v="493195"/>
    <n v="8"/>
    <n v="5"/>
    <s v="Router"/>
    <x v="1"/>
    <n v="5000"/>
    <n v="14000"/>
    <n v="0"/>
    <n v="14000"/>
    <n v="4000"/>
    <s v="South-C1021-1426"/>
    <s v="Regular"/>
    <s v="Poor"/>
    <n v="3"/>
    <x v="1"/>
    <n v="0.06"/>
    <n v="197278"/>
    <n v="10000.216281074185"/>
    <n v="539"/>
  </r>
  <r>
    <n v="1427"/>
    <s v="15-01-2025"/>
    <x v="1"/>
    <x v="4"/>
    <s v="C1040"/>
    <s v="P105"/>
    <n v="5"/>
    <n v="2000"/>
    <n v="8"/>
    <n v="362349"/>
    <n v="8"/>
    <n v="5"/>
    <s v="Headset"/>
    <x v="0"/>
    <n v="1500"/>
    <n v="10000"/>
    <n v="800"/>
    <n v="9200"/>
    <n v="1700"/>
    <s v="North-C1040-1427"/>
    <s v="Regular"/>
    <s v="Poor"/>
    <n v="1"/>
    <x v="2"/>
    <n v="0.02"/>
    <n v="144939.6"/>
    <n v="7347.1311940124097"/>
    <n v="657"/>
  </r>
  <r>
    <n v="1428"/>
    <s v="29-03-2025"/>
    <x v="1"/>
    <x v="5"/>
    <s v="C1029"/>
    <s v="P109"/>
    <n v="5"/>
    <n v="7000"/>
    <n v="8"/>
    <n v="200178"/>
    <n v="12"/>
    <n v="5"/>
    <s v="Router"/>
    <x v="1"/>
    <n v="5000"/>
    <n v="35000"/>
    <n v="2800"/>
    <n v="32200"/>
    <n v="7200"/>
    <s v="North-C1029-1428"/>
    <s v="Regular"/>
    <s v="Average"/>
    <n v="1"/>
    <x v="10"/>
    <n v="0.02"/>
    <n v="120106.8"/>
    <n v="4452.8490486682676"/>
    <n v="359"/>
  </r>
  <r>
    <n v="1429"/>
    <s v="28-12-2025"/>
    <x v="1"/>
    <x v="2"/>
    <s v="C1036"/>
    <s v="P106"/>
    <n v="7"/>
    <n v="8000"/>
    <n v="2"/>
    <n v="144947"/>
    <n v="8"/>
    <n v="4"/>
    <s v="Printer"/>
    <x v="1"/>
    <n v="6500"/>
    <n v="56000"/>
    <n v="1120"/>
    <n v="54880"/>
    <n v="9380"/>
    <s v="North-C1036-1429"/>
    <s v="High Value"/>
    <s v="Good"/>
    <n v="4"/>
    <x v="0"/>
    <n v="0.08"/>
    <n v="46383.040000000001"/>
    <n v="3538.5798546337601"/>
    <n v="273"/>
  </r>
  <r>
    <n v="1430"/>
    <s v="29-10-2025"/>
    <x v="0"/>
    <x v="3"/>
    <s v="C1046"/>
    <s v="P106"/>
    <n v="4"/>
    <n v="8000"/>
    <n v="2"/>
    <n v="455395"/>
    <n v="8"/>
    <n v="3"/>
    <s v="Printer"/>
    <x v="1"/>
    <n v="6500"/>
    <n v="32000"/>
    <n v="640"/>
    <n v="31360"/>
    <n v="5360"/>
    <s v="West-C1046-1430"/>
    <s v="Regular"/>
    <s v="Average"/>
    <n v="4"/>
    <x v="6"/>
    <n v="0.08"/>
    <n v="109294.8"/>
    <n v="14270.424149308301"/>
    <n v="370"/>
  </r>
  <r>
    <n v="1431"/>
    <s v="18-04-2025"/>
    <x v="1"/>
    <x v="1"/>
    <s v="C1021"/>
    <s v="P102"/>
    <n v="3"/>
    <n v="500"/>
    <n v="5"/>
    <n v="166095"/>
    <n v="11"/>
    <n v="3"/>
    <s v="Mouse"/>
    <x v="0"/>
    <n v="350"/>
    <n v="1500"/>
    <n v="75"/>
    <n v="1425"/>
    <n v="375"/>
    <s v="North-C1021-1431"/>
    <s v="Regular"/>
    <s v="Poor"/>
    <n v="2"/>
    <x v="11"/>
    <n v="0.04"/>
    <n v="54811.35"/>
    <n v="5437.737219548454"/>
    <n v="952"/>
  </r>
  <r>
    <n v="1432"/>
    <s v="08-04-2025"/>
    <x v="0"/>
    <x v="6"/>
    <s v="C1026"/>
    <s v="P109"/>
    <n v="8"/>
    <n v="7000"/>
    <n v="0"/>
    <n v="255823"/>
    <n v="12"/>
    <n v="4"/>
    <s v="Router"/>
    <x v="1"/>
    <n v="5000"/>
    <n v="56000"/>
    <n v="0"/>
    <n v="56000"/>
    <n v="16000"/>
    <s v="West-C1026-1432"/>
    <s v="High Value"/>
    <s v="Good"/>
    <n v="2"/>
    <x v="11"/>
    <n v="0.04"/>
    <n v="122795.04"/>
    <n v="6736.8007817020571"/>
    <n v="265"/>
  </r>
  <r>
    <n v="1433"/>
    <s v="31-08-2025"/>
    <x v="3"/>
    <x v="1"/>
    <s v="C1037"/>
    <s v="P104"/>
    <n v="2"/>
    <n v="12000"/>
    <n v="12"/>
    <n v="329158"/>
    <n v="8"/>
    <n v="3"/>
    <s v="Monitor"/>
    <x v="1"/>
    <n v="9000"/>
    <n v="24000"/>
    <n v="2880"/>
    <n v="21120"/>
    <n v="3120"/>
    <s v="East-C1037-1433"/>
    <s v="Regular"/>
    <s v="Average"/>
    <n v="3"/>
    <x v="7"/>
    <n v="0.06"/>
    <n v="78997.919999999998"/>
    <n v="10314.615382553657"/>
    <n v="429"/>
  </r>
  <r>
    <n v="1434"/>
    <s v="09-07-2025"/>
    <x v="3"/>
    <x v="0"/>
    <s v="C1019"/>
    <s v="P105"/>
    <n v="3"/>
    <n v="2000"/>
    <n v="8"/>
    <n v="89531"/>
    <n v="12"/>
    <n v="2"/>
    <s v="Headset"/>
    <x v="0"/>
    <n v="1500"/>
    <n v="6000"/>
    <n v="480"/>
    <n v="5520"/>
    <n v="1020"/>
    <s v="East-C1019-1434"/>
    <s v="Regular"/>
    <s v="Poor"/>
    <n v="3"/>
    <x v="8"/>
    <n v="0.06"/>
    <n v="21487.439999999999"/>
    <n v="4214.5350416211122"/>
    <n v="771"/>
  </r>
  <r>
    <n v="1435"/>
    <s v="21-12-2025"/>
    <x v="0"/>
    <x v="5"/>
    <s v="C1029"/>
    <s v="P102"/>
    <n v="2"/>
    <n v="500"/>
    <n v="15"/>
    <n v="312329"/>
    <n v="11"/>
    <n v="2"/>
    <s v="Mouse"/>
    <x v="0"/>
    <n v="350"/>
    <n v="1000"/>
    <n v="150"/>
    <n v="850"/>
    <n v="150"/>
    <s v="West-C1029-1435"/>
    <s v="Regular"/>
    <s v="Poor"/>
    <n v="4"/>
    <x v="0"/>
    <n v="0.08"/>
    <n v="68712.38"/>
    <n v="14556.979496082475"/>
    <n v="985"/>
  </r>
  <r>
    <n v="1436"/>
    <s v="08-06-2025"/>
    <x v="3"/>
    <x v="1"/>
    <s v="C1046"/>
    <s v="P108"/>
    <n v="8"/>
    <n v="2500"/>
    <n v="12"/>
    <n v="171360"/>
    <n v="8"/>
    <n v="1"/>
    <s v="Speaker"/>
    <x v="0"/>
    <n v="1800"/>
    <n v="20000"/>
    <n v="2400"/>
    <n v="17600"/>
    <n v="3200"/>
    <s v="East-C1046-1436"/>
    <s v="Regular"/>
    <s v="Poor"/>
    <n v="2"/>
    <x v="3"/>
    <n v="0.04"/>
    <n v="13708.8"/>
    <n v="14906.337208077754"/>
    <n v="491"/>
  </r>
  <r>
    <n v="1437"/>
    <s v="13-05-2025"/>
    <x v="0"/>
    <x v="4"/>
    <s v="C1005"/>
    <s v="P107"/>
    <n v="4"/>
    <n v="35000"/>
    <n v="15"/>
    <n v="493947"/>
    <n v="10"/>
    <n v="3"/>
    <s v="Tablet"/>
    <x v="1"/>
    <n v="29000"/>
    <n v="140000"/>
    <n v="21000"/>
    <n v="119000"/>
    <n v="3000"/>
    <s v="West-C1005-1437"/>
    <s v="High Value"/>
    <s v="Excellent"/>
    <n v="2"/>
    <x v="4"/>
    <n v="0.04"/>
    <n v="148184.1"/>
    <n v="15938.280312834444"/>
    <n v="145"/>
  </r>
  <r>
    <n v="1438"/>
    <s v="25-04-2025"/>
    <x v="1"/>
    <x v="7"/>
    <s v="C1027"/>
    <s v="P102"/>
    <n v="7"/>
    <n v="500"/>
    <n v="0"/>
    <n v="312538"/>
    <n v="9"/>
    <n v="2"/>
    <s v="Mouse"/>
    <x v="0"/>
    <n v="350"/>
    <n v="3500"/>
    <n v="0"/>
    <n v="3500"/>
    <n v="1050"/>
    <s v="North-C1027-1438"/>
    <s v="Regular"/>
    <s v="Poor"/>
    <n v="2"/>
    <x v="11"/>
    <n v="0.04"/>
    <n v="56256.84"/>
    <n v="14278.217982448201"/>
    <n v="865"/>
  </r>
  <r>
    <n v="1439"/>
    <s v="09-07-2025"/>
    <x v="1"/>
    <x v="2"/>
    <s v="C1010"/>
    <s v="P104"/>
    <n v="9"/>
    <n v="12000"/>
    <n v="15"/>
    <n v="351993"/>
    <n v="12"/>
    <n v="2"/>
    <s v="Monitor"/>
    <x v="1"/>
    <n v="9000"/>
    <n v="108000"/>
    <n v="16200"/>
    <n v="91800"/>
    <n v="10800"/>
    <s v="North-C1010-1439"/>
    <s v="High Value"/>
    <s v="Good"/>
    <n v="3"/>
    <x v="8"/>
    <n v="0.06"/>
    <n v="84478.32"/>
    <n v="16569.532708283612"/>
    <n v="183"/>
  </r>
  <r>
    <n v="1440"/>
    <s v="30-01-2025"/>
    <x v="2"/>
    <x v="6"/>
    <s v="C1004"/>
    <s v="P104"/>
    <n v="8"/>
    <n v="12000"/>
    <n v="0"/>
    <n v="261798"/>
    <n v="12"/>
    <n v="1"/>
    <s v="Monitor"/>
    <x v="1"/>
    <n v="9000"/>
    <n v="96000"/>
    <n v="0"/>
    <n v="96000"/>
    <n v="24000"/>
    <s v="South-C1004-1440"/>
    <s v="High Value"/>
    <s v="Good"/>
    <n v="1"/>
    <x v="2"/>
    <n v="0.02"/>
    <n v="31415.759999999998"/>
    <n v="23260.435178412499"/>
    <n v="172"/>
  </r>
  <r>
    <n v="1441"/>
    <s v="27-08-2025"/>
    <x v="2"/>
    <x v="1"/>
    <s v="C1020"/>
    <s v="P106"/>
    <n v="10"/>
    <n v="8000"/>
    <n v="15"/>
    <n v="162379"/>
    <n v="8"/>
    <n v="4"/>
    <s v="Printer"/>
    <x v="1"/>
    <n v="6500"/>
    <n v="80000"/>
    <n v="12000"/>
    <n v="68000"/>
    <n v="3000"/>
    <s v="South-C1020-1441"/>
    <s v="High Value"/>
    <s v="Good"/>
    <n v="3"/>
    <x v="7"/>
    <n v="0.06"/>
    <n v="51961.279999999999"/>
    <n v="3964.1459168908323"/>
    <n v="227"/>
  </r>
  <r>
    <n v="1442"/>
    <s v="06-07-2025"/>
    <x v="3"/>
    <x v="0"/>
    <s v="C1028"/>
    <s v="P102"/>
    <n v="5"/>
    <n v="500"/>
    <n v="2"/>
    <n v="430576"/>
    <n v="9"/>
    <n v="4"/>
    <s v="Mouse"/>
    <x v="0"/>
    <n v="350"/>
    <n v="2500"/>
    <n v="50"/>
    <n v="2450"/>
    <n v="700"/>
    <s v="East-C1028-1442"/>
    <s v="Regular"/>
    <s v="Poor"/>
    <n v="3"/>
    <x v="8"/>
    <n v="0.06"/>
    <n v="155007.35999999999"/>
    <n v="10714.902005199096"/>
    <n v="908"/>
  </r>
  <r>
    <n v="1443"/>
    <s v="15-10-2025"/>
    <x v="0"/>
    <x v="4"/>
    <s v="C1011"/>
    <s v="P107"/>
    <n v="1"/>
    <n v="35000"/>
    <n v="0"/>
    <n v="255809"/>
    <n v="7"/>
    <n v="3"/>
    <s v="Tablet"/>
    <x v="1"/>
    <n v="29000"/>
    <n v="35000"/>
    <n v="0"/>
    <n v="35000"/>
    <n v="6000"/>
    <s v="West-C1011-1443"/>
    <s v="Regular"/>
    <s v="Average"/>
    <n v="4"/>
    <x v="6"/>
    <n v="0.08"/>
    <n v="53719.89"/>
    <n v="7898.6392720339309"/>
    <n v="351"/>
  </r>
  <r>
    <n v="1444"/>
    <s v="18-11-2025"/>
    <x v="2"/>
    <x v="1"/>
    <s v="C1024"/>
    <s v="P101"/>
    <n v="6"/>
    <n v="55000"/>
    <n v="8"/>
    <n v="89355"/>
    <n v="9"/>
    <n v="2"/>
    <s v="Laptop"/>
    <x v="1"/>
    <n v="45000"/>
    <n v="330000"/>
    <n v="26400"/>
    <n v="303600"/>
    <n v="33600"/>
    <s v="South-C1024-1444"/>
    <s v="High Value"/>
    <s v="Excellent"/>
    <n v="4"/>
    <x v="5"/>
    <n v="0.08"/>
    <n v="16083.9"/>
    <n v="4082.1601463555116"/>
    <n v="54"/>
  </r>
  <r>
    <n v="1445"/>
    <s v="26-01-2025"/>
    <x v="2"/>
    <x v="3"/>
    <s v="C1028"/>
    <s v="P102"/>
    <n v="8"/>
    <n v="500"/>
    <n v="0"/>
    <n v="181105"/>
    <n v="10"/>
    <n v="1"/>
    <s v="Mouse"/>
    <x v="0"/>
    <n v="350"/>
    <n v="4000"/>
    <n v="0"/>
    <n v="4000"/>
    <n v="1200"/>
    <s v="South-C1028-1445"/>
    <s v="Regular"/>
    <s v="Poor"/>
    <n v="1"/>
    <x v="2"/>
    <n v="0.02"/>
    <n v="18110.5"/>
    <n v="15922.006756790888"/>
    <n v="837"/>
  </r>
  <r>
    <n v="1446"/>
    <s v="21-11-2025"/>
    <x v="1"/>
    <x v="0"/>
    <s v="C1020"/>
    <s v="P104"/>
    <n v="4"/>
    <n v="12000"/>
    <n v="5"/>
    <n v="147056"/>
    <n v="12"/>
    <n v="5"/>
    <s v="Monitor"/>
    <x v="1"/>
    <n v="9000"/>
    <n v="48000"/>
    <n v="2400"/>
    <n v="45600"/>
    <n v="9600"/>
    <s v="North-C1020-1446"/>
    <s v="Regular"/>
    <s v="Average"/>
    <n v="4"/>
    <x v="5"/>
    <n v="0.08"/>
    <n v="88233.600000000006"/>
    <n v="3271.1794987509152"/>
    <n v="317"/>
  </r>
  <r>
    <n v="1447"/>
    <s v="10-03-2025"/>
    <x v="1"/>
    <x v="4"/>
    <s v="C1035"/>
    <s v="P108"/>
    <n v="6"/>
    <n v="2500"/>
    <n v="8"/>
    <n v="74594"/>
    <n v="9"/>
    <n v="5"/>
    <s v="Speaker"/>
    <x v="0"/>
    <n v="1800"/>
    <n v="15000"/>
    <n v="1200"/>
    <n v="13800"/>
    <n v="3000"/>
    <s v="North-C1035-1447"/>
    <s v="Regular"/>
    <s v="Poor"/>
    <n v="1"/>
    <x v="10"/>
    <n v="0.02"/>
    <n v="33567.300000000003"/>
    <n v="1548.4487497546509"/>
    <n v="544"/>
  </r>
  <r>
    <n v="1448"/>
    <s v="03-07-2025"/>
    <x v="1"/>
    <x v="0"/>
    <s v="C1042"/>
    <s v="P107"/>
    <n v="7"/>
    <n v="35000"/>
    <n v="8"/>
    <n v="278475"/>
    <n v="8"/>
    <n v="2"/>
    <s v="Tablet"/>
    <x v="1"/>
    <n v="29000"/>
    <n v="245000"/>
    <n v="19600"/>
    <n v="225400"/>
    <n v="22400"/>
    <s v="North-C1042-1448"/>
    <s v="High Value"/>
    <s v="Excellent"/>
    <n v="3"/>
    <x v="8"/>
    <n v="0.06"/>
    <n v="44556"/>
    <n v="12594.669988260881"/>
    <n v="93"/>
  </r>
  <r>
    <n v="1449"/>
    <s v="08-07-2025"/>
    <x v="2"/>
    <x v="1"/>
    <s v="C1044"/>
    <s v="P103"/>
    <n v="8"/>
    <n v="1500"/>
    <n v="10"/>
    <n v="136616"/>
    <n v="8"/>
    <n v="5"/>
    <s v="Keyboard"/>
    <x v="0"/>
    <n v="1200"/>
    <n v="12000"/>
    <n v="1200"/>
    <n v="10800"/>
    <n v="1200"/>
    <s v="South-C1044-1449"/>
    <s v="Regular"/>
    <s v="Poor"/>
    <n v="3"/>
    <x v="8"/>
    <n v="0.06"/>
    <n v="54646.400000000001"/>
    <n v="2770.0798821059234"/>
    <n v="619"/>
  </r>
  <r>
    <n v="1450"/>
    <s v="21-05-2025"/>
    <x v="1"/>
    <x v="0"/>
    <s v="C1011"/>
    <s v="P105"/>
    <n v="7"/>
    <n v="2000"/>
    <n v="5"/>
    <n v="243124"/>
    <n v="7"/>
    <n v="4"/>
    <s v="Headset"/>
    <x v="0"/>
    <n v="1500"/>
    <n v="14000"/>
    <n v="700"/>
    <n v="13300"/>
    <n v="2800"/>
    <s v="North-C1011-1450"/>
    <s v="Regular"/>
    <s v="Poor"/>
    <n v="2"/>
    <x v="4"/>
    <n v="0.04"/>
    <n v="68074.720000000001"/>
    <n v="5821.9067873117692"/>
    <n v="559"/>
  </r>
  <r>
    <n v="1451"/>
    <s v="02-01-2025"/>
    <x v="3"/>
    <x v="0"/>
    <s v="C1002"/>
    <s v="P110"/>
    <n v="4"/>
    <n v="950"/>
    <n v="15"/>
    <n v="153002"/>
    <n v="12"/>
    <n v="2"/>
    <s v="Webcam"/>
    <x v="0"/>
    <n v="700"/>
    <n v="3800"/>
    <n v="570"/>
    <n v="3230"/>
    <n v="430"/>
    <s v="East-C1002-1451"/>
    <s v="Regular"/>
    <s v="Poor"/>
    <n v="1"/>
    <x v="2"/>
    <n v="0.02"/>
    <n v="36720.480000000003"/>
    <n v="7202.335397103946"/>
    <n v="871"/>
  </r>
  <r>
    <n v="1452"/>
    <s v="03-07-2025"/>
    <x v="1"/>
    <x v="7"/>
    <s v="C1028"/>
    <s v="P101"/>
    <n v="10"/>
    <n v="55000"/>
    <n v="8"/>
    <n v="288442"/>
    <n v="10"/>
    <n v="2"/>
    <s v="Laptop"/>
    <x v="1"/>
    <n v="45000"/>
    <n v="550000"/>
    <n v="44000"/>
    <n v="506000"/>
    <n v="56000"/>
    <s v="North-C1028-1452"/>
    <s v="High Value"/>
    <s v="Excellent"/>
    <n v="3"/>
    <x v="8"/>
    <n v="0.06"/>
    <n v="57688.4"/>
    <n v="13310.134842645935"/>
    <n v="3"/>
  </r>
  <r>
    <n v="1453"/>
    <s v="14-06-2025"/>
    <x v="0"/>
    <x v="6"/>
    <s v="C1009"/>
    <s v="P107"/>
    <n v="10"/>
    <n v="35000"/>
    <n v="12"/>
    <n v="405367"/>
    <n v="7"/>
    <n v="1"/>
    <s v="Tablet"/>
    <x v="1"/>
    <n v="29000"/>
    <n v="350000"/>
    <n v="42000"/>
    <n v="308000"/>
    <n v="18000"/>
    <s v="West-C1009-1453"/>
    <s v="High Value"/>
    <s v="Excellent"/>
    <n v="2"/>
    <x v="3"/>
    <n v="0.04"/>
    <n v="28375.69"/>
    <n v="35075.087485563927"/>
    <n v="52"/>
  </r>
  <r>
    <n v="1454"/>
    <s v="14-11-2025"/>
    <x v="1"/>
    <x v="1"/>
    <s v="C1050"/>
    <s v="P107"/>
    <n v="8"/>
    <n v="35000"/>
    <n v="8"/>
    <n v="156178"/>
    <n v="8"/>
    <n v="2"/>
    <s v="Tablet"/>
    <x v="1"/>
    <n v="29000"/>
    <n v="280000"/>
    <n v="22400"/>
    <n v="257600"/>
    <n v="25600"/>
    <s v="North-C1050-1454"/>
    <s v="High Value"/>
    <s v="Excellent"/>
    <n v="4"/>
    <x v="5"/>
    <n v="0.08"/>
    <n v="24988.48"/>
    <n v="7063.5079250439294"/>
    <n v="72"/>
  </r>
  <r>
    <n v="1455"/>
    <s v="25-09-2025"/>
    <x v="3"/>
    <x v="5"/>
    <s v="C1005"/>
    <s v="P103"/>
    <n v="5"/>
    <n v="1500"/>
    <n v="12"/>
    <n v="230524"/>
    <n v="9"/>
    <n v="1"/>
    <s v="Keyboard"/>
    <x v="0"/>
    <n v="1200"/>
    <n v="7500"/>
    <n v="900"/>
    <n v="6600"/>
    <n v="600"/>
    <s v="East-C1005-1455"/>
    <s v="Regular"/>
    <s v="Poor"/>
    <n v="3"/>
    <x v="1"/>
    <n v="0.06"/>
    <n v="20747.16"/>
    <n v="20159.664230909366"/>
    <n v="738"/>
  </r>
  <r>
    <n v="1456"/>
    <s v="16-03-2025"/>
    <x v="3"/>
    <x v="6"/>
    <s v="C1002"/>
    <s v="P102"/>
    <n v="4"/>
    <n v="500"/>
    <n v="12"/>
    <n v="141041"/>
    <n v="8"/>
    <n v="5"/>
    <s v="Mouse"/>
    <x v="0"/>
    <n v="350"/>
    <n v="2000"/>
    <n v="240"/>
    <n v="1760"/>
    <n v="360"/>
    <s v="East-C1002-1456"/>
    <s v="Regular"/>
    <s v="Poor"/>
    <n v="1"/>
    <x v="10"/>
    <n v="0.02"/>
    <n v="56416.4"/>
    <n v="2859.8029268321538"/>
    <n v="944"/>
  </r>
  <r>
    <n v="1457"/>
    <s v="09-07-2025"/>
    <x v="1"/>
    <x v="4"/>
    <s v="C1026"/>
    <s v="P101"/>
    <n v="10"/>
    <n v="55000"/>
    <n v="15"/>
    <n v="352122"/>
    <n v="9"/>
    <n v="2"/>
    <s v="Laptop"/>
    <x v="1"/>
    <n v="45000"/>
    <n v="550000"/>
    <n v="82500"/>
    <n v="467500"/>
    <n v="17500"/>
    <s v="North-C1026-1457"/>
    <s v="High Value"/>
    <s v="Excellent"/>
    <n v="3"/>
    <x v="8"/>
    <n v="0.06"/>
    <n v="63381.96"/>
    <n v="16086.602820826987"/>
    <n v="13"/>
  </r>
  <r>
    <n v="1458"/>
    <s v="27-04-2025"/>
    <x v="2"/>
    <x v="7"/>
    <s v="C1013"/>
    <s v="P102"/>
    <n v="2"/>
    <n v="500"/>
    <n v="8"/>
    <n v="353466"/>
    <n v="12"/>
    <n v="1"/>
    <s v="Mouse"/>
    <x v="0"/>
    <n v="350"/>
    <n v="1000"/>
    <n v="80"/>
    <n v="920"/>
    <n v="220"/>
    <s v="South-C1013-1458"/>
    <s v="Regular"/>
    <s v="Poor"/>
    <n v="2"/>
    <x v="11"/>
    <n v="0.04"/>
    <n v="42415.92"/>
    <n v="31405.025938978721"/>
    <n v="971"/>
  </r>
  <r>
    <n v="1459"/>
    <s v="18-02-2025"/>
    <x v="0"/>
    <x v="7"/>
    <s v="C1002"/>
    <s v="P110"/>
    <n v="8"/>
    <n v="950"/>
    <n v="15"/>
    <n v="408316"/>
    <n v="8"/>
    <n v="2"/>
    <s v="Webcam"/>
    <x v="0"/>
    <n v="700"/>
    <n v="7600"/>
    <n v="1140"/>
    <n v="6460"/>
    <n v="860"/>
    <s v="West-C1002-1459"/>
    <s v="Regular"/>
    <s v="Poor"/>
    <n v="1"/>
    <x v="9"/>
    <n v="0.02"/>
    <n v="65330.559999999998"/>
    <n v="18467.026738223289"/>
    <n v="745"/>
  </r>
  <r>
    <n v="1460"/>
    <s v="25-12-2025"/>
    <x v="3"/>
    <x v="2"/>
    <s v="C1043"/>
    <s v="P108"/>
    <n v="3"/>
    <n v="2500"/>
    <n v="8"/>
    <n v="349440"/>
    <n v="11"/>
    <n v="4"/>
    <s v="Speaker"/>
    <x v="0"/>
    <n v="1800"/>
    <n v="7500"/>
    <n v="600"/>
    <n v="6900"/>
    <n v="1500"/>
    <s v="East-C1043-1460"/>
    <s v="Regular"/>
    <s v="Poor"/>
    <n v="4"/>
    <x v="0"/>
    <n v="0.08"/>
    <n v="153753.60000000001"/>
    <n v="9031.4594213460714"/>
    <n v="724"/>
  </r>
  <r>
    <n v="1461"/>
    <s v="10-07-2025"/>
    <x v="1"/>
    <x v="1"/>
    <s v="C1012"/>
    <s v="P108"/>
    <n v="6"/>
    <n v="2500"/>
    <n v="12"/>
    <n v="196480"/>
    <n v="8"/>
    <n v="1"/>
    <s v="Speaker"/>
    <x v="0"/>
    <n v="1800"/>
    <n v="15000"/>
    <n v="1800"/>
    <n v="13200"/>
    <n v="2400"/>
    <s v="North-C1012-1461"/>
    <s v="Regular"/>
    <s v="Poor"/>
    <n v="3"/>
    <x v="8"/>
    <n v="0.06"/>
    <n v="15718.4"/>
    <n v="17091.486546703531"/>
    <n v="564"/>
  </r>
  <r>
    <n v="1462"/>
    <s v="21-06-2025"/>
    <x v="1"/>
    <x v="5"/>
    <s v="C1029"/>
    <s v="P108"/>
    <n v="8"/>
    <n v="2500"/>
    <n v="0"/>
    <n v="479387"/>
    <n v="10"/>
    <n v="1"/>
    <s v="Speaker"/>
    <x v="0"/>
    <n v="1800"/>
    <n v="20000"/>
    <n v="0"/>
    <n v="20000"/>
    <n v="5600"/>
    <s v="North-C1029-1462"/>
    <s v="Regular"/>
    <s v="Average"/>
    <n v="2"/>
    <x v="3"/>
    <n v="0.04"/>
    <n v="47938.7"/>
    <n v="42145.733431532608"/>
    <n v="453"/>
  </r>
  <r>
    <n v="1463"/>
    <s v="16-06-2025"/>
    <x v="3"/>
    <x v="6"/>
    <s v="C1033"/>
    <s v="P106"/>
    <n v="7"/>
    <n v="8000"/>
    <n v="12"/>
    <n v="358069"/>
    <n v="8"/>
    <n v="4"/>
    <s v="Printer"/>
    <x v="1"/>
    <n v="6500"/>
    <n v="56000"/>
    <n v="6720"/>
    <n v="49280"/>
    <n v="3780"/>
    <s v="East-C1033-1463"/>
    <s v="Regular"/>
    <s v="Average"/>
    <n v="2"/>
    <x v="3"/>
    <n v="0.04"/>
    <n v="114582.08"/>
    <n v="8741.5106898994527"/>
    <n v="297"/>
  </r>
  <r>
    <n v="1464"/>
    <s v="18-07-2025"/>
    <x v="2"/>
    <x v="2"/>
    <s v="C1016"/>
    <s v="P104"/>
    <n v="4"/>
    <n v="12000"/>
    <n v="10"/>
    <n v="343377"/>
    <n v="7"/>
    <n v="4"/>
    <s v="Monitor"/>
    <x v="1"/>
    <n v="9000"/>
    <n v="48000"/>
    <n v="4800"/>
    <n v="43200"/>
    <n v="7200"/>
    <s v="South-C1016-1464"/>
    <s v="Regular"/>
    <s v="Average"/>
    <n v="3"/>
    <x v="8"/>
    <n v="0.06"/>
    <n v="96145.56"/>
    <n v="8222.5896534556578"/>
    <n v="323"/>
  </r>
  <r>
    <n v="1465"/>
    <s v="27-10-2025"/>
    <x v="1"/>
    <x v="5"/>
    <s v="C1021"/>
    <s v="P110"/>
    <n v="1"/>
    <n v="950"/>
    <n v="12"/>
    <n v="256250"/>
    <n v="10"/>
    <n v="3"/>
    <s v="Webcam"/>
    <x v="0"/>
    <n v="700"/>
    <n v="950"/>
    <n v="114"/>
    <n v="836"/>
    <n v="136"/>
    <s v="North-C1021-1465"/>
    <s v="Regular"/>
    <s v="Poor"/>
    <n v="4"/>
    <x v="6"/>
    <n v="0.08"/>
    <n v="76875"/>
    <n v="8268.4667184208556"/>
    <n v="989"/>
  </r>
  <r>
    <n v="1466"/>
    <s v="24-11-2025"/>
    <x v="3"/>
    <x v="2"/>
    <s v="C1050"/>
    <s v="P106"/>
    <n v="9"/>
    <n v="8000"/>
    <n v="5"/>
    <n v="326445"/>
    <n v="11"/>
    <n v="2"/>
    <s v="Printer"/>
    <x v="1"/>
    <n v="6500"/>
    <n v="72000"/>
    <n v="3600"/>
    <n v="68400"/>
    <n v="9900"/>
    <s v="East-C1050-1466"/>
    <s v="High Value"/>
    <s v="Good"/>
    <n v="4"/>
    <x v="5"/>
    <n v="0.08"/>
    <n v="71817.899999999994"/>
    <n v="15214.895740064623"/>
    <n v="224"/>
  </r>
  <r>
    <n v="1467"/>
    <s v="18-01-2025"/>
    <x v="3"/>
    <x v="6"/>
    <s v="C1046"/>
    <s v="P108"/>
    <n v="1"/>
    <n v="2500"/>
    <n v="8"/>
    <n v="439921"/>
    <n v="8"/>
    <n v="4"/>
    <s v="Speaker"/>
    <x v="0"/>
    <n v="1800"/>
    <n v="2500"/>
    <n v="200"/>
    <n v="2300"/>
    <n v="500"/>
    <s v="East-C1046-1467"/>
    <s v="Regular"/>
    <s v="Poor"/>
    <n v="1"/>
    <x v="2"/>
    <n v="0.02"/>
    <n v="140774.72"/>
    <n v="10739.757209396115"/>
    <n v="917"/>
  </r>
  <r>
    <n v="1468"/>
    <s v="06-06-2025"/>
    <x v="1"/>
    <x v="2"/>
    <s v="C1004"/>
    <s v="P102"/>
    <n v="1"/>
    <n v="500"/>
    <n v="15"/>
    <n v="341763"/>
    <n v="7"/>
    <n v="5"/>
    <s v="Mouse"/>
    <x v="0"/>
    <n v="350"/>
    <n v="500"/>
    <n v="75"/>
    <n v="425"/>
    <n v="75"/>
    <s v="North-C1004-1468"/>
    <s v="Regular"/>
    <s v="Poor"/>
    <n v="2"/>
    <x v="3"/>
    <n v="0.04"/>
    <n v="119617.05"/>
    <n v="6767.3170167454791"/>
    <n v="999"/>
  </r>
  <r>
    <n v="1469"/>
    <s v="03-05-2025"/>
    <x v="1"/>
    <x v="2"/>
    <s v="C1040"/>
    <s v="P110"/>
    <n v="1"/>
    <n v="950"/>
    <n v="5"/>
    <n v="218294"/>
    <n v="7"/>
    <n v="1"/>
    <s v="Webcam"/>
    <x v="0"/>
    <n v="700"/>
    <n v="950"/>
    <n v="47.5"/>
    <n v="902.5"/>
    <n v="202.5"/>
    <s v="North-C1040-1469"/>
    <s v="Regular"/>
    <s v="Poor"/>
    <n v="2"/>
    <x v="4"/>
    <n v="0.04"/>
    <n v="15280.58"/>
    <n v="18888.269512746949"/>
    <n v="976"/>
  </r>
  <r>
    <n v="1470"/>
    <s v="25-03-2025"/>
    <x v="2"/>
    <x v="3"/>
    <s v="C1042"/>
    <s v="P101"/>
    <n v="9"/>
    <n v="55000"/>
    <n v="0"/>
    <n v="413476"/>
    <n v="10"/>
    <n v="3"/>
    <s v="Laptop"/>
    <x v="1"/>
    <n v="45000"/>
    <n v="495000"/>
    <n v="0"/>
    <n v="495000"/>
    <n v="90000"/>
    <s v="South-C1042-1470"/>
    <s v="High Value"/>
    <s v="Excellent"/>
    <n v="1"/>
    <x v="10"/>
    <n v="0.02"/>
    <n v="124042.8"/>
    <n v="13341.707492159148"/>
    <n v="4"/>
  </r>
  <r>
    <n v="1471"/>
    <s v="28-11-2025"/>
    <x v="3"/>
    <x v="1"/>
    <s v="C1015"/>
    <s v="P108"/>
    <n v="6"/>
    <n v="2500"/>
    <n v="8"/>
    <n v="137184"/>
    <n v="11"/>
    <n v="3"/>
    <s v="Speaker"/>
    <x v="0"/>
    <n v="1800"/>
    <n v="15000"/>
    <n v="1200"/>
    <n v="13800"/>
    <n v="3000"/>
    <s v="East-C1015-1471"/>
    <s v="Regular"/>
    <s v="Poor"/>
    <n v="4"/>
    <x v="5"/>
    <n v="0.08"/>
    <n v="45270.720000000001"/>
    <n v="4491.2281689788078"/>
    <n v="544"/>
  </r>
  <r>
    <n v="1472"/>
    <s v="14-11-2025"/>
    <x v="1"/>
    <x v="7"/>
    <s v="C1013"/>
    <s v="P105"/>
    <n v="2"/>
    <n v="2000"/>
    <n v="2"/>
    <n v="351375"/>
    <n v="9"/>
    <n v="1"/>
    <s v="Headset"/>
    <x v="0"/>
    <n v="1500"/>
    <n v="4000"/>
    <n v="80"/>
    <n v="3920"/>
    <n v="920"/>
    <s v="North-C1013-1472"/>
    <s v="Regular"/>
    <s v="Poor"/>
    <n v="4"/>
    <x v="5"/>
    <n v="0.08"/>
    <n v="31623.75"/>
    <n v="30728.262650031142"/>
    <n v="846"/>
  </r>
  <r>
    <n v="1473"/>
    <s v="27-10-2025"/>
    <x v="0"/>
    <x v="3"/>
    <s v="C1019"/>
    <s v="P103"/>
    <n v="8"/>
    <n v="1500"/>
    <n v="5"/>
    <n v="264325"/>
    <n v="8"/>
    <n v="5"/>
    <s v="Keyboard"/>
    <x v="0"/>
    <n v="1200"/>
    <n v="12000"/>
    <n v="600"/>
    <n v="11400"/>
    <n v="1800"/>
    <s v="West-C1019-1473"/>
    <s v="Regular"/>
    <s v="Poor"/>
    <n v="4"/>
    <x v="6"/>
    <n v="0.08"/>
    <n v="105730"/>
    <n v="5359.5579202849458"/>
    <n v="607"/>
  </r>
  <r>
    <n v="1474"/>
    <s v="22-02-2025"/>
    <x v="0"/>
    <x v="5"/>
    <s v="C1049"/>
    <s v="P103"/>
    <n v="9"/>
    <n v="1500"/>
    <n v="8"/>
    <n v="376580"/>
    <n v="8"/>
    <n v="1"/>
    <s v="Keyboard"/>
    <x v="0"/>
    <n v="1200"/>
    <n v="13500"/>
    <n v="1080"/>
    <n v="12420"/>
    <n v="1620"/>
    <s v="West-C1049-1474"/>
    <s v="Regular"/>
    <s v="Poor"/>
    <n v="1"/>
    <x v="9"/>
    <n v="0.02"/>
    <n v="30126.400000000001"/>
    <n v="32758.102624987863"/>
    <n v="582"/>
  </r>
  <r>
    <n v="1475"/>
    <s v="29-07-2025"/>
    <x v="1"/>
    <x v="1"/>
    <s v="C1034"/>
    <s v="P102"/>
    <n v="3"/>
    <n v="500"/>
    <n v="15"/>
    <n v="99064"/>
    <n v="11"/>
    <n v="4"/>
    <s v="Mouse"/>
    <x v="0"/>
    <n v="350"/>
    <n v="1500"/>
    <n v="225"/>
    <n v="1275"/>
    <n v="225"/>
    <s v="North-C1034-1475"/>
    <s v="Regular"/>
    <s v="Poor"/>
    <n v="3"/>
    <x v="8"/>
    <n v="0.06"/>
    <n v="43588.160000000003"/>
    <n v="2560.3608519809613"/>
    <n v="961"/>
  </r>
  <r>
    <n v="1476"/>
    <s v="03-06-2025"/>
    <x v="2"/>
    <x v="3"/>
    <s v="C1002"/>
    <s v="P103"/>
    <n v="3"/>
    <n v="1500"/>
    <n v="12"/>
    <n v="341729"/>
    <n v="7"/>
    <n v="2"/>
    <s v="Keyboard"/>
    <x v="0"/>
    <n v="1200"/>
    <n v="4500"/>
    <n v="540"/>
    <n v="3960"/>
    <n v="360"/>
    <s v="South-C1002-1476"/>
    <s v="Regular"/>
    <s v="Poor"/>
    <n v="2"/>
    <x v="3"/>
    <n v="0.04"/>
    <n v="47842.06"/>
    <n v="15300.08868433878"/>
    <n v="840"/>
  </r>
  <r>
    <n v="1477"/>
    <s v="19-06-2025"/>
    <x v="2"/>
    <x v="7"/>
    <s v="C1001"/>
    <s v="P108"/>
    <n v="2"/>
    <n v="2500"/>
    <n v="0"/>
    <n v="296013"/>
    <n v="9"/>
    <n v="5"/>
    <s v="Speaker"/>
    <x v="0"/>
    <n v="1800"/>
    <n v="5000"/>
    <n v="0"/>
    <n v="5000"/>
    <n v="1400"/>
    <s v="South-C1001-1477"/>
    <s v="Regular"/>
    <s v="Poor"/>
    <n v="2"/>
    <x v="3"/>
    <n v="0.04"/>
    <n v="133205.85"/>
    <n v="6144.7430056187286"/>
    <n v="790"/>
  </r>
  <r>
    <n v="1478"/>
    <s v="10-02-2025"/>
    <x v="0"/>
    <x v="7"/>
    <s v="C1036"/>
    <s v="P106"/>
    <n v="9"/>
    <n v="8000"/>
    <n v="10"/>
    <n v="289060"/>
    <n v="7"/>
    <n v="2"/>
    <s v="Printer"/>
    <x v="1"/>
    <n v="6500"/>
    <n v="72000"/>
    <n v="7200"/>
    <n v="64800"/>
    <n v="6300"/>
    <s v="West-C1036-1478"/>
    <s v="High Value"/>
    <s v="Good"/>
    <n v="1"/>
    <x v="9"/>
    <n v="0.02"/>
    <n v="40468.400000000001"/>
    <n v="12941.961715555213"/>
    <n v="231"/>
  </r>
  <r>
    <n v="1479"/>
    <s v="24-01-2025"/>
    <x v="2"/>
    <x v="7"/>
    <s v="C1013"/>
    <s v="P101"/>
    <n v="1"/>
    <n v="55000"/>
    <n v="12"/>
    <n v="159645"/>
    <n v="10"/>
    <n v="2"/>
    <s v="Laptop"/>
    <x v="1"/>
    <n v="45000"/>
    <n v="55000"/>
    <n v="6600"/>
    <n v="48400"/>
    <n v="3400"/>
    <s v="South-C1013-1479"/>
    <s v="Regular"/>
    <s v="Average"/>
    <n v="1"/>
    <x v="2"/>
    <n v="0.02"/>
    <n v="31929"/>
    <n v="7366.8067651528227"/>
    <n v="305"/>
  </r>
  <r>
    <n v="1480"/>
    <s v="16-09-2025"/>
    <x v="1"/>
    <x v="4"/>
    <s v="C1047"/>
    <s v="P107"/>
    <n v="3"/>
    <n v="35000"/>
    <n v="12"/>
    <n v="164066"/>
    <n v="11"/>
    <n v="4"/>
    <s v="Tablet"/>
    <x v="1"/>
    <n v="29000"/>
    <n v="105000"/>
    <n v="12600"/>
    <n v="92400"/>
    <n v="5400"/>
    <s v="North-C1047-1480"/>
    <s v="High Value"/>
    <s v="Good"/>
    <n v="3"/>
    <x v="1"/>
    <n v="0.06"/>
    <n v="72189.039999999994"/>
    <n v="4240.3715127706173"/>
    <n v="181"/>
  </r>
  <r>
    <n v="1481"/>
    <s v="19-11-2025"/>
    <x v="2"/>
    <x v="0"/>
    <s v="C1032"/>
    <s v="P106"/>
    <n v="2"/>
    <n v="8000"/>
    <n v="2"/>
    <n v="419649"/>
    <n v="10"/>
    <n v="2"/>
    <s v="Printer"/>
    <x v="1"/>
    <n v="6500"/>
    <n v="16000"/>
    <n v="320"/>
    <n v="15680"/>
    <n v="2680"/>
    <s v="South-C1032-1481"/>
    <s v="Regular"/>
    <s v="Poor"/>
    <n v="4"/>
    <x v="5"/>
    <n v="0.08"/>
    <n v="83929.8"/>
    <n v="19364.672192612466"/>
    <n v="519"/>
  </r>
  <r>
    <n v="1482"/>
    <s v="08-04-2025"/>
    <x v="0"/>
    <x v="0"/>
    <s v="C1014"/>
    <s v="P107"/>
    <n v="7"/>
    <n v="35000"/>
    <n v="0"/>
    <n v="275998"/>
    <n v="12"/>
    <n v="4"/>
    <s v="Tablet"/>
    <x v="1"/>
    <n v="29000"/>
    <n v="245000"/>
    <n v="0"/>
    <n v="245000"/>
    <n v="42000"/>
    <s v="West-C1014-1482"/>
    <s v="High Value"/>
    <s v="Excellent"/>
    <n v="2"/>
    <x v="11"/>
    <n v="0.04"/>
    <n v="132479.04000000001"/>
    <n v="7268.0859115411995"/>
    <n v="84"/>
  </r>
  <r>
    <n v="1483"/>
    <s v="20-12-2025"/>
    <x v="3"/>
    <x v="0"/>
    <s v="C1046"/>
    <s v="P102"/>
    <n v="9"/>
    <n v="500"/>
    <n v="2"/>
    <n v="84410"/>
    <n v="9"/>
    <n v="3"/>
    <s v="Mouse"/>
    <x v="0"/>
    <n v="350"/>
    <n v="4500"/>
    <n v="90"/>
    <n v="4410"/>
    <n v="1260"/>
    <s v="East-C1046-1483"/>
    <s v="Regular"/>
    <s v="Poor"/>
    <n v="4"/>
    <x v="0"/>
    <n v="0.08"/>
    <n v="22790.7"/>
    <n v="2684.2154338255932"/>
    <n v="812"/>
  </r>
  <r>
    <n v="1484"/>
    <s v="30-03-2025"/>
    <x v="2"/>
    <x v="2"/>
    <s v="C1049"/>
    <s v="P103"/>
    <n v="3"/>
    <n v="1500"/>
    <n v="2"/>
    <n v="325623"/>
    <n v="8"/>
    <n v="2"/>
    <s v="Keyboard"/>
    <x v="0"/>
    <n v="1200"/>
    <n v="4500"/>
    <n v="90"/>
    <n v="4410"/>
    <n v="810"/>
    <s v="South-C1049-1484"/>
    <s v="Regular"/>
    <s v="Poor"/>
    <n v="1"/>
    <x v="10"/>
    <n v="0.02"/>
    <n v="52099.68"/>
    <n v="14727.046325837051"/>
    <n v="812"/>
  </r>
  <r>
    <n v="1485"/>
    <s v="15-07-2025"/>
    <x v="3"/>
    <x v="3"/>
    <s v="C1047"/>
    <s v="P105"/>
    <n v="7"/>
    <n v="2000"/>
    <n v="0"/>
    <n v="384279"/>
    <n v="7"/>
    <n v="2"/>
    <s v="Headset"/>
    <x v="0"/>
    <n v="1500"/>
    <n v="14000"/>
    <n v="0"/>
    <n v="14000"/>
    <n v="3500"/>
    <s v="East-C1047-1485"/>
    <s v="Regular"/>
    <s v="Poor"/>
    <n v="3"/>
    <x v="8"/>
    <n v="0.06"/>
    <n v="53799.06"/>
    <n v="17205.161925177617"/>
    <n v="539"/>
  </r>
  <r>
    <n v="1486"/>
    <s v="13-03-2025"/>
    <x v="3"/>
    <x v="6"/>
    <s v="C1006"/>
    <s v="P105"/>
    <n v="9"/>
    <n v="2000"/>
    <n v="2"/>
    <n v="234166"/>
    <n v="12"/>
    <n v="4"/>
    <s v="Headset"/>
    <x v="0"/>
    <n v="1500"/>
    <n v="18000"/>
    <n v="360"/>
    <n v="17640"/>
    <n v="4140"/>
    <s v="East-C1006-1486"/>
    <s v="Regular"/>
    <s v="Poor"/>
    <n v="1"/>
    <x v="10"/>
    <n v="0.02"/>
    <n v="112399.67999999999"/>
    <n v="6166.4889077527978"/>
    <n v="487"/>
  </r>
  <r>
    <n v="1487"/>
    <s v="21-06-2025"/>
    <x v="0"/>
    <x v="5"/>
    <s v="C1036"/>
    <s v="P109"/>
    <n v="3"/>
    <n v="7000"/>
    <n v="5"/>
    <n v="65004"/>
    <n v="11"/>
    <n v="2"/>
    <s v="Router"/>
    <x v="1"/>
    <n v="5000"/>
    <n v="21000"/>
    <n v="1050"/>
    <n v="19950"/>
    <n v="4950"/>
    <s v="West-C1036-1487"/>
    <s v="Regular"/>
    <s v="Poor"/>
    <n v="2"/>
    <x v="3"/>
    <n v="0.04"/>
    <n v="14300.88"/>
    <n v="3029.6959141269153"/>
    <n v="458"/>
  </r>
  <r>
    <n v="1488"/>
    <s v="27-07-2025"/>
    <x v="3"/>
    <x v="3"/>
    <s v="C1026"/>
    <s v="P104"/>
    <n v="2"/>
    <n v="12000"/>
    <n v="5"/>
    <n v="493385"/>
    <n v="12"/>
    <n v="4"/>
    <s v="Monitor"/>
    <x v="1"/>
    <n v="9000"/>
    <n v="24000"/>
    <n v="1200"/>
    <n v="22800"/>
    <n v="4800"/>
    <s v="East-C1026-1488"/>
    <s v="Regular"/>
    <s v="Average"/>
    <n v="3"/>
    <x v="8"/>
    <n v="0.06"/>
    <n v="236824.8"/>
    <n v="12992.719394581682"/>
    <n v="410"/>
  </r>
  <r>
    <n v="1489"/>
    <s v="17-03-2025"/>
    <x v="0"/>
    <x v="5"/>
    <s v="C1032"/>
    <s v="P101"/>
    <n v="2"/>
    <n v="55000"/>
    <n v="8"/>
    <n v="280437"/>
    <n v="9"/>
    <n v="2"/>
    <s v="Laptop"/>
    <x v="1"/>
    <n v="45000"/>
    <n v="110000"/>
    <n v="8800"/>
    <n v="101200"/>
    <n v="11200"/>
    <s v="West-C1032-1489"/>
    <s v="High Value"/>
    <s v="Excellent"/>
    <n v="1"/>
    <x v="10"/>
    <n v="0.02"/>
    <n v="50478.66"/>
    <n v="12811.692070544465"/>
    <n v="162"/>
  </r>
  <r>
    <n v="1490"/>
    <s v="04-11-2025"/>
    <x v="0"/>
    <x v="2"/>
    <s v="C1041"/>
    <s v="P109"/>
    <n v="7"/>
    <n v="7000"/>
    <n v="2"/>
    <n v="432048"/>
    <n v="11"/>
    <n v="3"/>
    <s v="Router"/>
    <x v="1"/>
    <n v="5000"/>
    <n v="49000"/>
    <n v="980"/>
    <n v="48020"/>
    <n v="13020"/>
    <s v="West-C1041-1490"/>
    <s v="Regular"/>
    <s v="Average"/>
    <n v="4"/>
    <x v="5"/>
    <n v="0.08"/>
    <n v="142575.84"/>
    <n v="14144.697252966496"/>
    <n v="307"/>
  </r>
  <r>
    <n v="1491"/>
    <s v="28-02-2025"/>
    <x v="0"/>
    <x v="5"/>
    <s v="C1025"/>
    <s v="P102"/>
    <n v="2"/>
    <n v="500"/>
    <n v="5"/>
    <n v="358241"/>
    <n v="10"/>
    <n v="1"/>
    <s v="Mouse"/>
    <x v="0"/>
    <n v="350"/>
    <n v="1000"/>
    <n v="50"/>
    <n v="950"/>
    <n v="250"/>
    <s v="West-C1025-1491"/>
    <s v="Regular"/>
    <s v="Poor"/>
    <n v="1"/>
    <x v="9"/>
    <n v="0.02"/>
    <n v="35824.1"/>
    <n v="31495.075357165868"/>
    <n v="967"/>
  </r>
  <r>
    <n v="1492"/>
    <s v="20-07-2025"/>
    <x v="1"/>
    <x v="1"/>
    <s v="C1046"/>
    <s v="P108"/>
    <n v="5"/>
    <n v="2500"/>
    <n v="12"/>
    <n v="216715"/>
    <n v="11"/>
    <n v="5"/>
    <s v="Speaker"/>
    <x v="0"/>
    <n v="1800"/>
    <n v="12500"/>
    <n v="1500"/>
    <n v="11000"/>
    <n v="2000"/>
    <s v="North-C1046-1492"/>
    <s v="Regular"/>
    <s v="Poor"/>
    <n v="3"/>
    <x v="8"/>
    <n v="0.06"/>
    <n v="119193.25"/>
    <n v="4711.9092161878953"/>
    <n v="616"/>
  </r>
  <r>
    <n v="1493"/>
    <s v="22-10-2025"/>
    <x v="1"/>
    <x v="2"/>
    <s v="C1024"/>
    <s v="P107"/>
    <n v="5"/>
    <n v="35000"/>
    <n v="15"/>
    <n v="246700"/>
    <n v="11"/>
    <n v="4"/>
    <s v="Tablet"/>
    <x v="1"/>
    <n v="29000"/>
    <n v="175000"/>
    <n v="26250"/>
    <n v="148750"/>
    <n v="3750"/>
    <s v="North-C1024-1493"/>
    <s v="High Value"/>
    <s v="Excellent"/>
    <n v="4"/>
    <x v="6"/>
    <n v="0.08"/>
    <n v="108548"/>
    <n v="6376.0904282454094"/>
    <n v="133"/>
  </r>
  <r>
    <n v="1494"/>
    <s v="18-12-2025"/>
    <x v="3"/>
    <x v="0"/>
    <s v="C1048"/>
    <s v="P106"/>
    <n v="4"/>
    <n v="8000"/>
    <n v="15"/>
    <n v="186535"/>
    <n v="10"/>
    <n v="1"/>
    <s v="Printer"/>
    <x v="1"/>
    <n v="6500"/>
    <n v="32000"/>
    <n v="4800"/>
    <n v="27200"/>
    <n v="1200"/>
    <s v="East-C1048-1494"/>
    <s v="Regular"/>
    <s v="Average"/>
    <n v="4"/>
    <x v="0"/>
    <n v="0.08"/>
    <n v="18653.5"/>
    <n v="16399.39002444984"/>
    <n v="390"/>
  </r>
  <r>
    <n v="1495"/>
    <s v="05-04-2025"/>
    <x v="1"/>
    <x v="2"/>
    <s v="C1030"/>
    <s v="P101"/>
    <n v="2"/>
    <n v="55000"/>
    <n v="8"/>
    <n v="449809"/>
    <n v="8"/>
    <n v="3"/>
    <s v="Laptop"/>
    <x v="1"/>
    <n v="45000"/>
    <n v="110000"/>
    <n v="8800"/>
    <n v="101200"/>
    <n v="11200"/>
    <s v="North-C1030-1495"/>
    <s v="High Value"/>
    <s v="Excellent"/>
    <n v="2"/>
    <x v="11"/>
    <n v="0.04"/>
    <n v="107954.16"/>
    <n v="14095.379211840749"/>
    <n v="162"/>
  </r>
  <r>
    <n v="1496"/>
    <s v="10-03-2025"/>
    <x v="1"/>
    <x v="5"/>
    <s v="C1029"/>
    <s v="P103"/>
    <n v="9"/>
    <n v="1500"/>
    <n v="0"/>
    <n v="300473"/>
    <n v="11"/>
    <n v="3"/>
    <s v="Keyboard"/>
    <x v="0"/>
    <n v="1200"/>
    <n v="13500"/>
    <n v="0"/>
    <n v="13500"/>
    <n v="2700"/>
    <s v="North-C1029-1496"/>
    <s v="Regular"/>
    <s v="Poor"/>
    <n v="1"/>
    <x v="10"/>
    <n v="0.02"/>
    <n v="99156.09"/>
    <n v="9837.100548296954"/>
    <n v="553"/>
  </r>
  <r>
    <n v="1497"/>
    <s v="08-11-2025"/>
    <x v="1"/>
    <x v="6"/>
    <s v="C1016"/>
    <s v="P107"/>
    <n v="7"/>
    <n v="35000"/>
    <n v="8"/>
    <n v="283592"/>
    <n v="8"/>
    <n v="4"/>
    <s v="Tablet"/>
    <x v="1"/>
    <n v="29000"/>
    <n v="245000"/>
    <n v="19600"/>
    <n v="225400"/>
    <n v="22400"/>
    <s v="North-C1016-1497"/>
    <s v="High Value"/>
    <s v="Excellent"/>
    <n v="4"/>
    <x v="5"/>
    <n v="0.08"/>
    <n v="90749.440000000002"/>
    <n v="6923.3094726713716"/>
    <n v="93"/>
  </r>
  <r>
    <n v="1498"/>
    <s v="27-02-2025"/>
    <x v="1"/>
    <x v="2"/>
    <s v="C1035"/>
    <s v="P106"/>
    <n v="4"/>
    <n v="8000"/>
    <n v="5"/>
    <n v="401469"/>
    <n v="12"/>
    <n v="2"/>
    <s v="Printer"/>
    <x v="1"/>
    <n v="6500"/>
    <n v="32000"/>
    <n v="1600"/>
    <n v="30400"/>
    <n v="4400"/>
    <s v="North-C1035-1498"/>
    <s v="Regular"/>
    <s v="Average"/>
    <n v="1"/>
    <x v="9"/>
    <n v="0.02"/>
    <n v="96352.56"/>
    <n v="18898.539820001857"/>
    <n v="375"/>
  </r>
  <r>
    <n v="1499"/>
    <s v="02-05-2025"/>
    <x v="1"/>
    <x v="6"/>
    <s v="C1041"/>
    <s v="P108"/>
    <n v="8"/>
    <n v="2500"/>
    <n v="10"/>
    <n v="340106"/>
    <n v="11"/>
    <n v="3"/>
    <s v="Speaker"/>
    <x v="0"/>
    <n v="1800"/>
    <n v="20000"/>
    <n v="2000"/>
    <n v="18000"/>
    <n v="3600"/>
    <s v="North-C1041-1499"/>
    <s v="Regular"/>
    <s v="Poor"/>
    <n v="2"/>
    <x v="4"/>
    <n v="0.04"/>
    <n v="112234.98"/>
    <n v="11134.634123795096"/>
    <n v="480"/>
  </r>
  <r>
    <n v="1500"/>
    <s v="23-05-2025"/>
    <x v="0"/>
    <x v="1"/>
    <s v="C1021"/>
    <s v="P104"/>
    <n v="6"/>
    <n v="12000"/>
    <n v="5"/>
    <n v="238438"/>
    <n v="10"/>
    <n v="5"/>
    <s v="Monitor"/>
    <x v="1"/>
    <n v="9000"/>
    <n v="72000"/>
    <n v="3600"/>
    <n v="68400"/>
    <n v="14400"/>
    <s v="West-C1021-1500"/>
    <s v="High Value"/>
    <s v="Good"/>
    <n v="2"/>
    <x v="4"/>
    <n v="0.04"/>
    <n v="119219"/>
    <n v="5066.1028468653849"/>
    <n v="224"/>
  </r>
  <r>
    <n v="1501"/>
    <s v="05-07-2025"/>
    <x v="0"/>
    <x v="5"/>
    <s v="C1022"/>
    <s v="P102"/>
    <n v="1"/>
    <n v="500"/>
    <n v="0"/>
    <n v="114457"/>
    <n v="9"/>
    <n v="2"/>
    <s v="Mouse"/>
    <x v="0"/>
    <n v="350"/>
    <n v="500"/>
    <n v="0"/>
    <n v="500"/>
    <n v="150"/>
    <s v="West-C1022-1501"/>
    <s v="Regular"/>
    <s v="Poor"/>
    <n v="3"/>
    <x v="8"/>
    <n v="0.06"/>
    <n v="20602.259999999998"/>
    <n v="5228.9385470473144"/>
    <n v="993"/>
  </r>
  <r>
    <n v="1502"/>
    <s v="01-12-2025"/>
    <x v="1"/>
    <x v="3"/>
    <s v="C1015"/>
    <s v="P109"/>
    <n v="10"/>
    <n v="7000"/>
    <n v="0"/>
    <n v="405060"/>
    <n v="8"/>
    <n v="3"/>
    <s v="Router"/>
    <x v="1"/>
    <n v="5000"/>
    <n v="70000"/>
    <n v="0"/>
    <n v="70000"/>
    <n v="20000"/>
    <s v="North-C1015-1502"/>
    <s v="High Value"/>
    <s v="Good"/>
    <n v="4"/>
    <x v="0"/>
    <n v="0.08"/>
    <n v="97214.399999999994"/>
    <n v="12693.10819380718"/>
    <n v="220"/>
  </r>
  <r>
    <n v="1503"/>
    <s v="28-09-2025"/>
    <x v="1"/>
    <x v="5"/>
    <s v="C1033"/>
    <s v="P108"/>
    <n v="4"/>
    <n v="2500"/>
    <n v="15"/>
    <n v="131882"/>
    <n v="8"/>
    <n v="4"/>
    <s v="Speaker"/>
    <x v="0"/>
    <n v="1800"/>
    <n v="10000"/>
    <n v="1500"/>
    <n v="8500"/>
    <n v="1300"/>
    <s v="North-C1033-1503"/>
    <s v="Regular"/>
    <s v="Poor"/>
    <n v="3"/>
    <x v="1"/>
    <n v="0.06"/>
    <n v="42202.239999999998"/>
    <n v="3219.6250242420306"/>
    <n v="680"/>
  </r>
  <r>
    <n v="1504"/>
    <s v="12-04-2025"/>
    <x v="0"/>
    <x v="2"/>
    <s v="C1021"/>
    <s v="P107"/>
    <n v="5"/>
    <n v="35000"/>
    <n v="2"/>
    <n v="105429"/>
    <n v="12"/>
    <n v="3"/>
    <s v="Tablet"/>
    <x v="1"/>
    <n v="29000"/>
    <n v="175000"/>
    <n v="3500"/>
    <n v="171500"/>
    <n v="26500"/>
    <s v="West-C1021-1504"/>
    <s v="High Value"/>
    <s v="Excellent"/>
    <n v="2"/>
    <x v="11"/>
    <n v="0.04"/>
    <n v="37954.44"/>
    <n v="3501.751469259088"/>
    <n v="121"/>
  </r>
  <r>
    <n v="1505"/>
    <s v="09-08-2025"/>
    <x v="1"/>
    <x v="5"/>
    <s v="C1036"/>
    <s v="P108"/>
    <n v="6"/>
    <n v="2500"/>
    <n v="8"/>
    <n v="419159"/>
    <n v="10"/>
    <n v="4"/>
    <s v="Speaker"/>
    <x v="0"/>
    <n v="1800"/>
    <n v="15000"/>
    <n v="1200"/>
    <n v="13800"/>
    <n v="3000"/>
    <s v="North-C1036-1505"/>
    <s v="Regular"/>
    <s v="Poor"/>
    <n v="3"/>
    <x v="7"/>
    <n v="0.06"/>
    <n v="167663.6"/>
    <n v="10630.955109925197"/>
    <n v="544"/>
  </r>
  <r>
    <n v="1506"/>
    <s v="01-09-2025"/>
    <x v="2"/>
    <x v="1"/>
    <s v="C1043"/>
    <s v="P104"/>
    <n v="2"/>
    <n v="12000"/>
    <n v="8"/>
    <n v="396249"/>
    <n v="10"/>
    <n v="1"/>
    <s v="Monitor"/>
    <x v="1"/>
    <n v="9000"/>
    <n v="24000"/>
    <n v="1920"/>
    <n v="22080"/>
    <n v="4080"/>
    <s v="South-C1043-1506"/>
    <s v="Regular"/>
    <s v="Average"/>
    <n v="3"/>
    <x v="1"/>
    <n v="0.06"/>
    <n v="39624.9"/>
    <n v="34836.582399004074"/>
    <n v="418"/>
  </r>
  <r>
    <n v="1507"/>
    <s v="23-09-2025"/>
    <x v="2"/>
    <x v="7"/>
    <s v="C1031"/>
    <s v="P104"/>
    <n v="3"/>
    <n v="12000"/>
    <n v="2"/>
    <n v="480089"/>
    <n v="8"/>
    <n v="3"/>
    <s v="Monitor"/>
    <x v="1"/>
    <n v="9000"/>
    <n v="36000"/>
    <n v="720"/>
    <n v="35280"/>
    <n v="8280"/>
    <s v="South-C1031-1507"/>
    <s v="Regular"/>
    <s v="Average"/>
    <n v="3"/>
    <x v="1"/>
    <n v="0.06"/>
    <n v="115221.36"/>
    <n v="15044.244358012877"/>
    <n v="349"/>
  </r>
  <r>
    <n v="1508"/>
    <s v="03-10-2025"/>
    <x v="0"/>
    <x v="0"/>
    <s v="C1025"/>
    <s v="P109"/>
    <n v="9"/>
    <n v="7000"/>
    <n v="15"/>
    <n v="456639"/>
    <n v="10"/>
    <n v="2"/>
    <s v="Router"/>
    <x v="1"/>
    <n v="5000"/>
    <n v="63000"/>
    <n v="9450"/>
    <n v="53550"/>
    <n v="8550"/>
    <s v="West-C1025-1508"/>
    <s v="High Value"/>
    <s v="Good"/>
    <n v="4"/>
    <x v="6"/>
    <n v="0.08"/>
    <n v="91327.8"/>
    <n v="21071.5730178372"/>
    <n v="279"/>
  </r>
  <r>
    <n v="1509"/>
    <s v="25-02-2025"/>
    <x v="2"/>
    <x v="5"/>
    <s v="C1040"/>
    <s v="P110"/>
    <n v="4"/>
    <n v="950"/>
    <n v="15"/>
    <n v="209728"/>
    <n v="11"/>
    <n v="3"/>
    <s v="Webcam"/>
    <x v="0"/>
    <n v="700"/>
    <n v="3800"/>
    <n v="570"/>
    <n v="3230"/>
    <n v="430"/>
    <s v="South-C1040-1509"/>
    <s v="Regular"/>
    <s v="Poor"/>
    <n v="1"/>
    <x v="9"/>
    <n v="0.02"/>
    <n v="69210.240000000005"/>
    <n v="6866.2256635146041"/>
    <n v="871"/>
  </r>
  <r>
    <n v="1510"/>
    <s v="19-06-2025"/>
    <x v="2"/>
    <x v="3"/>
    <s v="C1034"/>
    <s v="P105"/>
    <n v="6"/>
    <n v="2000"/>
    <n v="2"/>
    <n v="342727"/>
    <n v="12"/>
    <n v="4"/>
    <s v="Headset"/>
    <x v="0"/>
    <n v="1500"/>
    <n v="12000"/>
    <n v="240"/>
    <n v="11760"/>
    <n v="2760"/>
    <s v="South-C1034-1510"/>
    <s v="Regular"/>
    <s v="Poor"/>
    <n v="2"/>
    <x v="3"/>
    <n v="0.04"/>
    <n v="164508.96"/>
    <n v="9025.3164160783072"/>
    <n v="599"/>
  </r>
  <r>
    <n v="1511"/>
    <s v="25-04-2025"/>
    <x v="3"/>
    <x v="0"/>
    <s v="C1004"/>
    <s v="P109"/>
    <n v="7"/>
    <n v="7000"/>
    <n v="0"/>
    <n v="105054"/>
    <n v="10"/>
    <n v="3"/>
    <s v="Router"/>
    <x v="1"/>
    <n v="5000"/>
    <n v="49000"/>
    <n v="0"/>
    <n v="49000"/>
    <n v="14000"/>
    <s v="East-C1004-1511"/>
    <s v="Regular"/>
    <s v="Average"/>
    <n v="2"/>
    <x v="11"/>
    <n v="0.04"/>
    <n v="31516.2"/>
    <n v="3389.797083461403"/>
    <n v="302"/>
  </r>
  <r>
    <n v="1512"/>
    <s v="14-05-2025"/>
    <x v="3"/>
    <x v="6"/>
    <s v="C1032"/>
    <s v="P105"/>
    <n v="4"/>
    <n v="2000"/>
    <n v="2"/>
    <n v="397893"/>
    <n v="9"/>
    <n v="3"/>
    <s v="Headset"/>
    <x v="0"/>
    <n v="1500"/>
    <n v="8000"/>
    <n v="160"/>
    <n v="7840"/>
    <n v="1840"/>
    <s v="East-C1032-1512"/>
    <s v="Regular"/>
    <s v="Poor"/>
    <n v="2"/>
    <x v="4"/>
    <n v="0.04"/>
    <n v="107431.11"/>
    <n v="12652.89102726178"/>
    <n v="692"/>
  </r>
  <r>
    <n v="1513"/>
    <s v="03-08-2025"/>
    <x v="0"/>
    <x v="2"/>
    <s v="C1010"/>
    <s v="P110"/>
    <n v="9"/>
    <n v="950"/>
    <n v="10"/>
    <n v="330810"/>
    <n v="8"/>
    <n v="2"/>
    <s v="Webcam"/>
    <x v="0"/>
    <n v="700"/>
    <n v="8550"/>
    <n v="855"/>
    <n v="7695"/>
    <n v="1395"/>
    <s v="West-C1010-1513"/>
    <s v="Regular"/>
    <s v="Poor"/>
    <n v="3"/>
    <x v="7"/>
    <n v="0.06"/>
    <n v="52929.599999999999"/>
    <n v="14961.640286620279"/>
    <n v="699"/>
  </r>
  <r>
    <n v="1514"/>
    <s v="16-02-2025"/>
    <x v="1"/>
    <x v="6"/>
    <s v="C1008"/>
    <s v="P106"/>
    <n v="7"/>
    <n v="8000"/>
    <n v="10"/>
    <n v="67220"/>
    <n v="10"/>
    <n v="2"/>
    <s v="Printer"/>
    <x v="1"/>
    <n v="6500"/>
    <n v="56000"/>
    <n v="5600"/>
    <n v="50400"/>
    <n v="4900"/>
    <s v="North-C1008-1514"/>
    <s v="High Value"/>
    <s v="Good"/>
    <n v="1"/>
    <x v="9"/>
    <n v="0.02"/>
    <n v="13444"/>
    <n v="3101.8619484078595"/>
    <n v="294"/>
  </r>
  <r>
    <n v="1515"/>
    <s v="02-02-2025"/>
    <x v="3"/>
    <x v="2"/>
    <s v="C1036"/>
    <s v="P102"/>
    <n v="4"/>
    <n v="500"/>
    <n v="10"/>
    <n v="326936"/>
    <n v="7"/>
    <n v="4"/>
    <s v="Mouse"/>
    <x v="0"/>
    <n v="350"/>
    <n v="2000"/>
    <n v="200"/>
    <n v="1800"/>
    <n v="400"/>
    <s v="East-C1036-1515"/>
    <s v="Regular"/>
    <s v="Poor"/>
    <n v="1"/>
    <x v="9"/>
    <n v="0.02"/>
    <n v="91542.080000000002"/>
    <n v="7828.889444960434"/>
    <n v="940"/>
  </r>
  <r>
    <n v="1516"/>
    <s v="12-10-2025"/>
    <x v="1"/>
    <x v="7"/>
    <s v="C1015"/>
    <s v="P107"/>
    <n v="7"/>
    <n v="35000"/>
    <n v="2"/>
    <n v="228212"/>
    <n v="10"/>
    <n v="1"/>
    <s v="Tablet"/>
    <x v="1"/>
    <n v="29000"/>
    <n v="245000"/>
    <n v="4900"/>
    <n v="240100"/>
    <n v="37100"/>
    <s v="North-C1015-1516"/>
    <s v="High Value"/>
    <s v="Excellent"/>
    <n v="4"/>
    <x v="6"/>
    <n v="0.08"/>
    <n v="22821.200000000001"/>
    <n v="20063.460456534947"/>
    <n v="85"/>
  </r>
  <r>
    <n v="1517"/>
    <s v="04-11-2025"/>
    <x v="0"/>
    <x v="6"/>
    <s v="C1026"/>
    <s v="P108"/>
    <n v="7"/>
    <n v="2500"/>
    <n v="0"/>
    <n v="394156"/>
    <n v="12"/>
    <n v="3"/>
    <s v="Speaker"/>
    <x v="0"/>
    <n v="1800"/>
    <n v="17500"/>
    <n v="0"/>
    <n v="17500"/>
    <n v="4900"/>
    <s v="West-C1026-1517"/>
    <s v="Regular"/>
    <s v="Poor"/>
    <n v="4"/>
    <x v="5"/>
    <n v="0.08"/>
    <n v="141896.16"/>
    <n v="13091.619498594173"/>
    <n v="494"/>
  </r>
  <r>
    <n v="1518"/>
    <s v="13-07-2025"/>
    <x v="0"/>
    <x v="0"/>
    <s v="C1030"/>
    <s v="P105"/>
    <n v="5"/>
    <n v="2000"/>
    <n v="10"/>
    <n v="55658"/>
    <n v="9"/>
    <n v="5"/>
    <s v="Headset"/>
    <x v="0"/>
    <n v="1500"/>
    <n v="10000"/>
    <n v="1000"/>
    <n v="9000"/>
    <n v="1500"/>
    <s v="West-C1030-1518"/>
    <s v="Regular"/>
    <s v="Poor"/>
    <n v="3"/>
    <x v="8"/>
    <n v="0.06"/>
    <n v="25046.1"/>
    <n v="1155.3685351884114"/>
    <n v="663"/>
  </r>
  <r>
    <n v="1519"/>
    <s v="30-01-2025"/>
    <x v="3"/>
    <x v="3"/>
    <s v="C1003"/>
    <s v="P101"/>
    <n v="2"/>
    <n v="55000"/>
    <n v="15"/>
    <n v="439759"/>
    <n v="8"/>
    <n v="3"/>
    <s v="Laptop"/>
    <x v="1"/>
    <n v="45000"/>
    <n v="110000"/>
    <n v="16500"/>
    <n v="93500"/>
    <n v="3500"/>
    <s v="East-C1003-1519"/>
    <s v="High Value"/>
    <s v="Good"/>
    <n v="1"/>
    <x v="2"/>
    <n v="0.02"/>
    <n v="105542.16"/>
    <n v="13780.44873895337"/>
    <n v="179"/>
  </r>
  <r>
    <n v="1520"/>
    <s v="23-07-2025"/>
    <x v="0"/>
    <x v="2"/>
    <s v="C1015"/>
    <s v="P104"/>
    <n v="8"/>
    <n v="12000"/>
    <n v="5"/>
    <n v="336120"/>
    <n v="12"/>
    <n v="2"/>
    <s v="Monitor"/>
    <x v="1"/>
    <n v="9000"/>
    <n v="96000"/>
    <n v="4800"/>
    <n v="91200"/>
    <n v="19200"/>
    <s v="West-C1015-1520"/>
    <s v="High Value"/>
    <s v="Good"/>
    <n v="3"/>
    <x v="8"/>
    <n v="0.06"/>
    <n v="80668.800000000003"/>
    <n v="15822.335483683732"/>
    <n v="184"/>
  </r>
  <r>
    <n v="1521"/>
    <s v="27-07-2025"/>
    <x v="2"/>
    <x v="2"/>
    <s v="C1002"/>
    <s v="P103"/>
    <n v="3"/>
    <n v="1500"/>
    <n v="12"/>
    <n v="339145"/>
    <n v="9"/>
    <n v="2"/>
    <s v="Keyboard"/>
    <x v="0"/>
    <n v="1200"/>
    <n v="4500"/>
    <n v="540"/>
    <n v="3960"/>
    <n v="360"/>
    <s v="South-C1002-1521"/>
    <s v="Regular"/>
    <s v="Poor"/>
    <n v="3"/>
    <x v="8"/>
    <n v="0.06"/>
    <n v="61046.1"/>
    <n v="15493.751920270159"/>
    <n v="840"/>
  </r>
  <r>
    <n v="1522"/>
    <s v="15-11-2025"/>
    <x v="2"/>
    <x v="6"/>
    <s v="C1023"/>
    <s v="P110"/>
    <n v="1"/>
    <n v="950"/>
    <n v="5"/>
    <n v="99298"/>
    <n v="11"/>
    <n v="2"/>
    <s v="Webcam"/>
    <x v="0"/>
    <n v="700"/>
    <n v="950"/>
    <n v="47.5"/>
    <n v="902.5"/>
    <n v="202.5"/>
    <s v="South-C1023-1522"/>
    <s v="Regular"/>
    <s v="Poor"/>
    <n v="4"/>
    <x v="5"/>
    <n v="0.08"/>
    <n v="21845.56"/>
    <n v="4628.065117238546"/>
    <n v="976"/>
  </r>
  <r>
    <n v="1523"/>
    <s v="16-05-2025"/>
    <x v="2"/>
    <x v="4"/>
    <s v="C1016"/>
    <s v="P107"/>
    <n v="7"/>
    <n v="35000"/>
    <n v="2"/>
    <n v="67641"/>
    <n v="11"/>
    <n v="5"/>
    <s v="Tablet"/>
    <x v="1"/>
    <n v="29000"/>
    <n v="245000"/>
    <n v="4900"/>
    <n v="240100"/>
    <n v="37100"/>
    <s v="South-C1016-1523"/>
    <s v="High Value"/>
    <s v="Excellent"/>
    <n v="2"/>
    <x v="4"/>
    <n v="0.04"/>
    <n v="37202.550000000003"/>
    <n v="1470.6792390566659"/>
    <n v="85"/>
  </r>
  <r>
    <n v="1524"/>
    <s v="20-06-2025"/>
    <x v="3"/>
    <x v="2"/>
    <s v="C1034"/>
    <s v="P105"/>
    <n v="10"/>
    <n v="2000"/>
    <n v="0"/>
    <n v="197520"/>
    <n v="10"/>
    <n v="5"/>
    <s v="Headset"/>
    <x v="0"/>
    <n v="1500"/>
    <n v="20000"/>
    <n v="0"/>
    <n v="20000"/>
    <n v="5000"/>
    <s v="East-C1034-1524"/>
    <s v="Regular"/>
    <s v="Average"/>
    <n v="2"/>
    <x v="3"/>
    <n v="0.04"/>
    <n v="98760"/>
    <n v="4196.7162713697098"/>
    <n v="453"/>
  </r>
  <r>
    <n v="1525"/>
    <s v="09-01-2025"/>
    <x v="1"/>
    <x v="4"/>
    <s v="C1030"/>
    <s v="P109"/>
    <n v="9"/>
    <n v="7000"/>
    <n v="8"/>
    <n v="496509"/>
    <n v="11"/>
    <n v="3"/>
    <s v="Router"/>
    <x v="1"/>
    <n v="5000"/>
    <n v="63000"/>
    <n v="5040"/>
    <n v="57960"/>
    <n v="12960"/>
    <s v="North-C1030-1525"/>
    <s v="High Value"/>
    <s v="Good"/>
    <n v="1"/>
    <x v="2"/>
    <n v="0.02"/>
    <n v="163847.97"/>
    <n v="16255.067697045566"/>
    <n v="259"/>
  </r>
  <r>
    <n v="1526"/>
    <s v="02-09-2025"/>
    <x v="1"/>
    <x v="6"/>
    <s v="C1044"/>
    <s v="P102"/>
    <n v="4"/>
    <n v="500"/>
    <n v="15"/>
    <n v="255261"/>
    <n v="9"/>
    <n v="5"/>
    <s v="Mouse"/>
    <x v="0"/>
    <n v="350"/>
    <n v="2000"/>
    <n v="300"/>
    <n v="1700"/>
    <n v="300"/>
    <s v="North-C1044-1526"/>
    <s v="Regular"/>
    <s v="Poor"/>
    <n v="3"/>
    <x v="1"/>
    <n v="0.06"/>
    <n v="114867.45"/>
    <n v="5298.7985134343498"/>
    <n v="947"/>
  </r>
  <r>
    <n v="1527"/>
    <s v="14-07-2025"/>
    <x v="3"/>
    <x v="7"/>
    <s v="C1022"/>
    <s v="P106"/>
    <n v="7"/>
    <n v="8000"/>
    <n v="12"/>
    <n v="420975"/>
    <n v="10"/>
    <n v="5"/>
    <s v="Printer"/>
    <x v="1"/>
    <n v="6500"/>
    <n v="56000"/>
    <n v="6720"/>
    <n v="49280"/>
    <n v="3780"/>
    <s v="East-C1022-1527"/>
    <s v="Regular"/>
    <s v="Average"/>
    <n v="3"/>
    <x v="8"/>
    <n v="0.06"/>
    <n v="210487.5"/>
    <n v="8944.4746473261621"/>
    <n v="297"/>
  </r>
  <r>
    <n v="1528"/>
    <s v="24-02-2025"/>
    <x v="1"/>
    <x v="1"/>
    <s v="C1025"/>
    <s v="P103"/>
    <n v="10"/>
    <n v="1500"/>
    <n v="10"/>
    <n v="423152"/>
    <n v="9"/>
    <n v="5"/>
    <s v="Keyboard"/>
    <x v="0"/>
    <n v="1200"/>
    <n v="15000"/>
    <n v="1500"/>
    <n v="13500"/>
    <n v="1500"/>
    <s v="North-C1025-1528"/>
    <s v="Regular"/>
    <s v="Poor"/>
    <n v="1"/>
    <x v="9"/>
    <n v="0.02"/>
    <n v="190418.4"/>
    <n v="8783.939530742151"/>
    <n v="553"/>
  </r>
  <r>
    <n v="1529"/>
    <s v="06-03-2025"/>
    <x v="2"/>
    <x v="4"/>
    <s v="C1029"/>
    <s v="P101"/>
    <n v="5"/>
    <n v="55000"/>
    <n v="5"/>
    <n v="315403"/>
    <n v="10"/>
    <n v="5"/>
    <s v="Laptop"/>
    <x v="1"/>
    <n v="45000"/>
    <n v="275000"/>
    <n v="13750"/>
    <n v="261250"/>
    <n v="36250"/>
    <s v="South-C1029-1529"/>
    <s v="High Value"/>
    <s v="Excellent"/>
    <n v="1"/>
    <x v="10"/>
    <n v="0.02"/>
    <n v="157701.5"/>
    <n v="6701.3816430681482"/>
    <n v="70"/>
  </r>
  <r>
    <n v="1530"/>
    <s v="26-11-2025"/>
    <x v="3"/>
    <x v="6"/>
    <s v="C1038"/>
    <s v="P101"/>
    <n v="7"/>
    <n v="55000"/>
    <n v="15"/>
    <n v="226466"/>
    <n v="11"/>
    <n v="4"/>
    <s v="Laptop"/>
    <x v="1"/>
    <n v="45000"/>
    <n v="385000"/>
    <n v="57750"/>
    <n v="327250"/>
    <n v="12250"/>
    <s v="East-C1038-1530"/>
    <s v="High Value"/>
    <s v="Excellent"/>
    <n v="4"/>
    <x v="5"/>
    <n v="0.08"/>
    <n v="99645.04"/>
    <n v="5853.1321237252723"/>
    <n v="41"/>
  </r>
  <r>
    <n v="1531"/>
    <s v="08-12-2025"/>
    <x v="0"/>
    <x v="2"/>
    <s v="C1020"/>
    <s v="P108"/>
    <n v="8"/>
    <n v="2500"/>
    <n v="8"/>
    <n v="199952"/>
    <n v="8"/>
    <n v="1"/>
    <s v="Speaker"/>
    <x v="0"/>
    <n v="1800"/>
    <n v="20000"/>
    <n v="1600"/>
    <n v="18400"/>
    <n v="4000"/>
    <s v="West-C1020-1531"/>
    <s v="Regular"/>
    <s v="Poor"/>
    <n v="4"/>
    <x v="0"/>
    <n v="0.08"/>
    <n v="15996.16"/>
    <n v="17393.510372488112"/>
    <n v="473"/>
  </r>
  <r>
    <n v="1532"/>
    <s v="11-10-2025"/>
    <x v="3"/>
    <x v="3"/>
    <s v="C1039"/>
    <s v="P107"/>
    <n v="4"/>
    <n v="35000"/>
    <n v="5"/>
    <n v="456223"/>
    <n v="11"/>
    <n v="5"/>
    <s v="Tablet"/>
    <x v="1"/>
    <n v="29000"/>
    <n v="140000"/>
    <n v="7000"/>
    <n v="133000"/>
    <n v="17000"/>
    <s v="East-C1039-1532"/>
    <s v="High Value"/>
    <s v="Excellent"/>
    <n v="4"/>
    <x v="6"/>
    <n v="0.08"/>
    <n v="250922.65"/>
    <n v="9919.3934814705481"/>
    <n v="140"/>
  </r>
  <r>
    <n v="1533"/>
    <s v="10-06-2025"/>
    <x v="2"/>
    <x v="4"/>
    <s v="C1025"/>
    <s v="P108"/>
    <n v="1"/>
    <n v="2500"/>
    <n v="12"/>
    <n v="373629"/>
    <n v="11"/>
    <n v="2"/>
    <s v="Speaker"/>
    <x v="0"/>
    <n v="1800"/>
    <n v="2500"/>
    <n v="300"/>
    <n v="2200"/>
    <n v="400"/>
    <s v="South-C1025-1533"/>
    <s v="Regular"/>
    <s v="Poor"/>
    <n v="2"/>
    <x v="3"/>
    <n v="0.04"/>
    <n v="82198.38"/>
    <n v="17414.039977529465"/>
    <n v="922"/>
  </r>
  <r>
    <n v="1534"/>
    <s v="21-09-2025"/>
    <x v="0"/>
    <x v="0"/>
    <s v="C1022"/>
    <s v="P109"/>
    <n v="8"/>
    <n v="7000"/>
    <n v="5"/>
    <n v="149158"/>
    <n v="9"/>
    <n v="4"/>
    <s v="Router"/>
    <x v="1"/>
    <n v="5000"/>
    <n v="56000"/>
    <n v="2800"/>
    <n v="53200"/>
    <n v="13200"/>
    <s v="West-C1022-1534"/>
    <s v="High Value"/>
    <s v="Good"/>
    <n v="3"/>
    <x v="1"/>
    <n v="0.06"/>
    <n v="53696.88"/>
    <n v="3711.8031504112787"/>
    <n v="283"/>
  </r>
  <r>
    <n v="1535"/>
    <s v="17-07-2025"/>
    <x v="3"/>
    <x v="5"/>
    <s v="C1029"/>
    <s v="P110"/>
    <n v="3"/>
    <n v="950"/>
    <n v="0"/>
    <n v="302246"/>
    <n v="11"/>
    <n v="5"/>
    <s v="Webcam"/>
    <x v="0"/>
    <n v="700"/>
    <n v="2850"/>
    <n v="0"/>
    <n v="2850"/>
    <n v="750"/>
    <s v="East-C1029-1535"/>
    <s v="Regular"/>
    <s v="Poor"/>
    <n v="3"/>
    <x v="8"/>
    <n v="0.06"/>
    <n v="166235.29999999999"/>
    <n v="6571.5604040141488"/>
    <n v="887"/>
  </r>
  <r>
    <n v="1536"/>
    <s v="11-03-2025"/>
    <x v="0"/>
    <x v="2"/>
    <s v="C1019"/>
    <s v="P107"/>
    <n v="3"/>
    <n v="35000"/>
    <n v="10"/>
    <n v="171080"/>
    <n v="11"/>
    <n v="2"/>
    <s v="Tablet"/>
    <x v="1"/>
    <n v="29000"/>
    <n v="105000"/>
    <n v="10500"/>
    <n v="94500"/>
    <n v="7500"/>
    <s v="West-C1019-1536"/>
    <s v="High Value"/>
    <s v="Good"/>
    <n v="1"/>
    <x v="10"/>
    <n v="0.02"/>
    <n v="37637.599999999999"/>
    <n v="7973.6689586615075"/>
    <n v="175"/>
  </r>
  <r>
    <n v="1537"/>
    <s v="10-05-2025"/>
    <x v="1"/>
    <x v="5"/>
    <s v="C1005"/>
    <s v="P109"/>
    <n v="2"/>
    <n v="7000"/>
    <n v="8"/>
    <n v="383026"/>
    <n v="11"/>
    <n v="4"/>
    <s v="Router"/>
    <x v="1"/>
    <n v="5000"/>
    <n v="14000"/>
    <n v="1120"/>
    <n v="12880"/>
    <n v="2880"/>
    <s v="North-C1005-1537"/>
    <s v="Regular"/>
    <s v="Poor"/>
    <n v="2"/>
    <x v="4"/>
    <n v="0.04"/>
    <n v="168531.44"/>
    <n v="9899.5071437743245"/>
    <n v="568"/>
  </r>
  <r>
    <n v="1538"/>
    <s v="16-03-2025"/>
    <x v="1"/>
    <x v="5"/>
    <s v="C1005"/>
    <s v="P102"/>
    <n v="8"/>
    <n v="500"/>
    <n v="12"/>
    <n v="315363"/>
    <n v="12"/>
    <n v="4"/>
    <s v="Mouse"/>
    <x v="0"/>
    <n v="350"/>
    <n v="4000"/>
    <n v="480"/>
    <n v="3520"/>
    <n v="720"/>
    <s v="North-C1005-1538"/>
    <s v="Regular"/>
    <s v="Poor"/>
    <n v="1"/>
    <x v="10"/>
    <n v="0.02"/>
    <n v="151374.24"/>
    <n v="8304.7173433190364"/>
    <n v="862"/>
  </r>
  <r>
    <n v="1539"/>
    <s v="17-02-2025"/>
    <x v="0"/>
    <x v="0"/>
    <s v="C1040"/>
    <s v="P101"/>
    <n v="4"/>
    <n v="55000"/>
    <n v="5"/>
    <n v="185246"/>
    <n v="8"/>
    <n v="4"/>
    <s v="Laptop"/>
    <x v="1"/>
    <n v="45000"/>
    <n v="220000"/>
    <n v="11000"/>
    <n v="209000"/>
    <n v="29000"/>
    <s v="West-C1040-1539"/>
    <s v="High Value"/>
    <s v="Excellent"/>
    <n v="1"/>
    <x v="9"/>
    <n v="0.02"/>
    <n v="59278.720000000001"/>
    <n v="4522.3962120739689"/>
    <n v="102"/>
  </r>
  <r>
    <n v="1540"/>
    <s v="09-04-2025"/>
    <x v="1"/>
    <x v="3"/>
    <s v="C1047"/>
    <s v="P106"/>
    <n v="4"/>
    <n v="8000"/>
    <n v="10"/>
    <n v="76562"/>
    <n v="10"/>
    <n v="2"/>
    <s v="Printer"/>
    <x v="1"/>
    <n v="6500"/>
    <n v="32000"/>
    <n v="3200"/>
    <n v="28800"/>
    <n v="2800"/>
    <s v="North-C1047-1540"/>
    <s v="Regular"/>
    <s v="Average"/>
    <n v="2"/>
    <x v="11"/>
    <n v="0.04"/>
    <n v="15312.4"/>
    <n v="3532.9478502529387"/>
    <n v="384"/>
  </r>
  <r>
    <n v="1541"/>
    <s v="07-11-2025"/>
    <x v="0"/>
    <x v="5"/>
    <s v="C1027"/>
    <s v="P108"/>
    <n v="10"/>
    <n v="2500"/>
    <n v="8"/>
    <n v="51930"/>
    <n v="11"/>
    <n v="1"/>
    <s v="Speaker"/>
    <x v="0"/>
    <n v="1800"/>
    <n v="25000"/>
    <n v="2000"/>
    <n v="23000"/>
    <n v="5000"/>
    <s v="West-C1027-1541"/>
    <s v="Regular"/>
    <s v="Average"/>
    <n v="4"/>
    <x v="5"/>
    <n v="0.08"/>
    <n v="5712.3"/>
    <n v="4589.6595270268972"/>
    <n v="407"/>
  </r>
  <r>
    <n v="1542"/>
    <s v="25-11-2025"/>
    <x v="3"/>
    <x v="5"/>
    <s v="C1032"/>
    <s v="P109"/>
    <n v="6"/>
    <n v="7000"/>
    <n v="0"/>
    <n v="285248"/>
    <n v="8"/>
    <n v="5"/>
    <s v="Router"/>
    <x v="1"/>
    <n v="5000"/>
    <n v="42000"/>
    <n v="0"/>
    <n v="42000"/>
    <n v="12000"/>
    <s v="East-C1032-1542"/>
    <s v="Regular"/>
    <s v="Average"/>
    <n v="4"/>
    <x v="5"/>
    <n v="0.08"/>
    <n v="114099.2"/>
    <n v="5783.8009179814253"/>
    <n v="329"/>
  </r>
  <r>
    <n v="1543"/>
    <s v="21-02-2025"/>
    <x v="3"/>
    <x v="4"/>
    <s v="C1020"/>
    <s v="P106"/>
    <n v="10"/>
    <n v="8000"/>
    <n v="8"/>
    <n v="473544"/>
    <n v="9"/>
    <n v="4"/>
    <s v="Printer"/>
    <x v="1"/>
    <n v="6500"/>
    <n v="80000"/>
    <n v="6400"/>
    <n v="73600"/>
    <n v="8600"/>
    <s v="East-C1020-1543"/>
    <s v="High Value"/>
    <s v="Good"/>
    <n v="1"/>
    <x v="9"/>
    <n v="0.02"/>
    <n v="170475.84"/>
    <n v="11784.162505922301"/>
    <n v="207"/>
  </r>
  <r>
    <n v="1544"/>
    <s v="13-02-2025"/>
    <x v="1"/>
    <x v="5"/>
    <s v="C1018"/>
    <s v="P107"/>
    <n v="8"/>
    <n v="35000"/>
    <n v="5"/>
    <n v="254716"/>
    <n v="7"/>
    <n v="1"/>
    <s v="Tablet"/>
    <x v="1"/>
    <n v="29000"/>
    <n v="280000"/>
    <n v="14000"/>
    <n v="266000"/>
    <n v="34000"/>
    <s v="North-C1018-1544"/>
    <s v="High Value"/>
    <s v="Excellent"/>
    <n v="1"/>
    <x v="9"/>
    <n v="0.02"/>
    <n v="17830.12"/>
    <n v="22039.746659133332"/>
    <n v="67"/>
  </r>
  <r>
    <n v="1545"/>
    <s v="10-01-2025"/>
    <x v="0"/>
    <x v="6"/>
    <s v="C1003"/>
    <s v="P106"/>
    <n v="4"/>
    <n v="8000"/>
    <n v="5"/>
    <n v="58541"/>
    <n v="12"/>
    <n v="1"/>
    <s v="Printer"/>
    <x v="1"/>
    <n v="6500"/>
    <n v="32000"/>
    <n v="1600"/>
    <n v="30400"/>
    <n v="4400"/>
    <s v="West-C1003-1545"/>
    <s v="Regular"/>
    <s v="Average"/>
    <n v="1"/>
    <x v="2"/>
    <n v="0.02"/>
    <n v="7024.92"/>
    <n v="5201.2969380188006"/>
    <n v="375"/>
  </r>
  <r>
    <n v="1546"/>
    <s v="13-10-2025"/>
    <x v="1"/>
    <x v="2"/>
    <s v="C1026"/>
    <s v="P107"/>
    <n v="8"/>
    <n v="35000"/>
    <n v="10"/>
    <n v="370065"/>
    <n v="7"/>
    <n v="2"/>
    <s v="Tablet"/>
    <x v="1"/>
    <n v="29000"/>
    <n v="280000"/>
    <n v="28000"/>
    <n v="252000"/>
    <n v="20000"/>
    <s v="North-C1026-1546"/>
    <s v="High Value"/>
    <s v="Excellent"/>
    <n v="4"/>
    <x v="6"/>
    <n v="0.08"/>
    <n v="51809.1"/>
    <n v="16568.764485805506"/>
    <n v="76"/>
  </r>
  <r>
    <n v="1547"/>
    <s v="07-10-2025"/>
    <x v="2"/>
    <x v="1"/>
    <s v="C1017"/>
    <s v="P105"/>
    <n v="8"/>
    <n v="2000"/>
    <n v="5"/>
    <n v="222666"/>
    <n v="7"/>
    <n v="4"/>
    <s v="Headset"/>
    <x v="0"/>
    <n v="1500"/>
    <n v="16000"/>
    <n v="800"/>
    <n v="15200"/>
    <n v="3200"/>
    <s v="South-C1017-1547"/>
    <s v="Regular"/>
    <s v="Poor"/>
    <n v="4"/>
    <x v="6"/>
    <n v="0.08"/>
    <n v="62346.48"/>
    <n v="5332.0145140075128"/>
    <n v="521"/>
  </r>
  <r>
    <n v="1548"/>
    <s v="04-09-2025"/>
    <x v="1"/>
    <x v="3"/>
    <s v="C1009"/>
    <s v="P109"/>
    <n v="2"/>
    <n v="7000"/>
    <n v="0"/>
    <n v="86778"/>
    <n v="8"/>
    <n v="1"/>
    <s v="Router"/>
    <x v="1"/>
    <n v="5000"/>
    <n v="14000"/>
    <n v="0"/>
    <n v="14000"/>
    <n v="4000"/>
    <s v="North-C1009-1548"/>
    <s v="Regular"/>
    <s v="Poor"/>
    <n v="3"/>
    <x v="1"/>
    <n v="0.06"/>
    <n v="6942.24"/>
    <n v="7548.6818991746695"/>
    <n v="539"/>
  </r>
  <r>
    <n v="1549"/>
    <s v="07-12-2025"/>
    <x v="0"/>
    <x v="5"/>
    <s v="C1014"/>
    <s v="P102"/>
    <n v="3"/>
    <n v="500"/>
    <n v="10"/>
    <n v="168012"/>
    <n v="8"/>
    <n v="4"/>
    <s v="Mouse"/>
    <x v="0"/>
    <n v="350"/>
    <n v="1500"/>
    <n v="150"/>
    <n v="1350"/>
    <n v="300"/>
    <s v="West-C1014-1549"/>
    <s v="Regular"/>
    <s v="Poor"/>
    <n v="4"/>
    <x v="0"/>
    <n v="0.08"/>
    <n v="53763.839999999997"/>
    <n v="4101.6639084405151"/>
    <n v="959"/>
  </r>
  <r>
    <n v="1550"/>
    <s v="26-08-2025"/>
    <x v="3"/>
    <x v="5"/>
    <s v="C1023"/>
    <s v="P101"/>
    <n v="9"/>
    <n v="55000"/>
    <n v="10"/>
    <n v="369846"/>
    <n v="8"/>
    <n v="3"/>
    <s v="Laptop"/>
    <x v="1"/>
    <n v="45000"/>
    <n v="495000"/>
    <n v="49500"/>
    <n v="445500"/>
    <n v="40500"/>
    <s v="East-C1023-1550"/>
    <s v="High Value"/>
    <s v="Excellent"/>
    <n v="3"/>
    <x v="7"/>
    <n v="0.06"/>
    <n v="88763.04"/>
    <n v="11589.629420448355"/>
    <n v="16"/>
  </r>
  <r>
    <n v="1551"/>
    <s v="26-06-2025"/>
    <x v="0"/>
    <x v="7"/>
    <s v="C1004"/>
    <s v="P102"/>
    <n v="4"/>
    <n v="500"/>
    <n v="5"/>
    <n v="346602"/>
    <n v="11"/>
    <n v="1"/>
    <s v="Mouse"/>
    <x v="0"/>
    <n v="350"/>
    <n v="2000"/>
    <n v="100"/>
    <n v="1900"/>
    <n v="500"/>
    <s v="West-C1004-1551"/>
    <s v="Regular"/>
    <s v="Poor"/>
    <n v="2"/>
    <x v="3"/>
    <n v="0.04"/>
    <n v="38126.22"/>
    <n v="30633.259606905001"/>
    <n v="934"/>
  </r>
  <r>
    <n v="1552"/>
    <s v="11-10-2025"/>
    <x v="2"/>
    <x v="0"/>
    <s v="C1014"/>
    <s v="P101"/>
    <n v="9"/>
    <n v="55000"/>
    <n v="0"/>
    <n v="59597"/>
    <n v="10"/>
    <n v="2"/>
    <s v="Laptop"/>
    <x v="1"/>
    <n v="45000"/>
    <n v="495000"/>
    <n v="0"/>
    <n v="495000"/>
    <n v="90000"/>
    <s v="South-C1014-1552"/>
    <s v="High Value"/>
    <s v="Excellent"/>
    <n v="4"/>
    <x v="6"/>
    <n v="0.08"/>
    <n v="11919.4"/>
    <n v="2750.0991749369714"/>
    <n v="4"/>
  </r>
  <r>
    <n v="1553"/>
    <s v="08-03-2025"/>
    <x v="0"/>
    <x v="7"/>
    <s v="C1026"/>
    <s v="P109"/>
    <n v="2"/>
    <n v="7000"/>
    <n v="8"/>
    <n v="463877"/>
    <n v="8"/>
    <n v="2"/>
    <s v="Router"/>
    <x v="1"/>
    <n v="5000"/>
    <n v="14000"/>
    <n v="1120"/>
    <n v="12880"/>
    <n v="2880"/>
    <s v="West-C1026-1553"/>
    <s v="Regular"/>
    <s v="Poor"/>
    <n v="1"/>
    <x v="10"/>
    <n v="0.02"/>
    <n v="74220.320000000007"/>
    <n v="20979.900278820336"/>
    <n v="568"/>
  </r>
  <r>
    <n v="1554"/>
    <s v="22-07-2025"/>
    <x v="3"/>
    <x v="4"/>
    <s v="C1040"/>
    <s v="P108"/>
    <n v="5"/>
    <n v="2500"/>
    <n v="15"/>
    <n v="357013"/>
    <n v="9"/>
    <n v="2"/>
    <s v="Speaker"/>
    <x v="0"/>
    <n v="1800"/>
    <n v="12500"/>
    <n v="1875"/>
    <n v="10625"/>
    <n v="1625"/>
    <s v="East-C1040-1554"/>
    <s v="Regular"/>
    <s v="Poor"/>
    <n v="3"/>
    <x v="8"/>
    <n v="0.06"/>
    <n v="64262.34"/>
    <n v="16310.046895314425"/>
    <n v="626"/>
  </r>
  <r>
    <n v="1555"/>
    <s v="02-03-2025"/>
    <x v="0"/>
    <x v="1"/>
    <s v="C1033"/>
    <s v="P104"/>
    <n v="4"/>
    <n v="12000"/>
    <n v="15"/>
    <n v="378337"/>
    <n v="12"/>
    <n v="5"/>
    <s v="Monitor"/>
    <x v="1"/>
    <n v="9000"/>
    <n v="48000"/>
    <n v="7200"/>
    <n v="40800"/>
    <n v="4800"/>
    <s v="West-C1033-1555"/>
    <s v="Regular"/>
    <s v="Average"/>
    <n v="1"/>
    <x v="10"/>
    <n v="0.02"/>
    <n v="227002.2"/>
    <n v="8415.8976037626817"/>
    <n v="334"/>
  </r>
  <r>
    <n v="1556"/>
    <s v="04-06-2025"/>
    <x v="0"/>
    <x v="6"/>
    <s v="C1016"/>
    <s v="P103"/>
    <n v="4"/>
    <n v="1500"/>
    <n v="12"/>
    <n v="107398"/>
    <n v="11"/>
    <n v="1"/>
    <s v="Keyboard"/>
    <x v="0"/>
    <n v="1200"/>
    <n v="6000"/>
    <n v="720"/>
    <n v="5280"/>
    <n v="480"/>
    <s v="West-C1016-1556"/>
    <s v="Regular"/>
    <s v="Poor"/>
    <n v="2"/>
    <x v="3"/>
    <n v="0.04"/>
    <n v="11813.78"/>
    <n v="9492.0133619032295"/>
    <n v="779"/>
  </r>
  <r>
    <n v="1557"/>
    <s v="18-05-2025"/>
    <x v="0"/>
    <x v="0"/>
    <s v="C1019"/>
    <s v="P107"/>
    <n v="7"/>
    <n v="35000"/>
    <n v="5"/>
    <n v="468514"/>
    <n v="11"/>
    <n v="4"/>
    <s v="Tablet"/>
    <x v="1"/>
    <n v="29000"/>
    <n v="245000"/>
    <n v="12250"/>
    <n v="232750"/>
    <n v="29750"/>
    <s v="West-C1019-1557"/>
    <s v="High Value"/>
    <s v="Excellent"/>
    <n v="2"/>
    <x v="4"/>
    <n v="0.04"/>
    <n v="206146.16"/>
    <n v="12108.989180782204"/>
    <n v="91"/>
  </r>
  <r>
    <n v="1558"/>
    <s v="07-01-2025"/>
    <x v="1"/>
    <x v="0"/>
    <s v="C1021"/>
    <s v="P107"/>
    <n v="7"/>
    <n v="35000"/>
    <n v="15"/>
    <n v="307581"/>
    <n v="12"/>
    <n v="3"/>
    <s v="Tablet"/>
    <x v="1"/>
    <n v="29000"/>
    <n v="245000"/>
    <n v="36750"/>
    <n v="208250"/>
    <n v="5250"/>
    <s v="North-C1021-1558"/>
    <s v="High Value"/>
    <s v="Excellent"/>
    <n v="1"/>
    <x v="2"/>
    <n v="0.02"/>
    <n v="110729.16"/>
    <n v="10216.090626546582"/>
    <n v="105"/>
  </r>
  <r>
    <n v="1559"/>
    <s v="16-10-2025"/>
    <x v="3"/>
    <x v="4"/>
    <s v="C1044"/>
    <s v="P107"/>
    <n v="1"/>
    <n v="35000"/>
    <n v="12"/>
    <n v="245807"/>
    <n v="8"/>
    <n v="1"/>
    <s v="Tablet"/>
    <x v="1"/>
    <n v="29000"/>
    <n v="35000"/>
    <n v="4200"/>
    <n v="30800"/>
    <n v="1800"/>
    <s v="East-C1044-1559"/>
    <s v="Regular"/>
    <s v="Average"/>
    <n v="4"/>
    <x v="6"/>
    <n v="0.08"/>
    <n v="19664.560000000001"/>
    <n v="21382.364788200095"/>
    <n v="372"/>
  </r>
  <r>
    <n v="1560"/>
    <s v="28-01-2025"/>
    <x v="3"/>
    <x v="5"/>
    <s v="C1020"/>
    <s v="P105"/>
    <n v="3"/>
    <n v="2000"/>
    <n v="10"/>
    <n v="127229"/>
    <n v="8"/>
    <n v="1"/>
    <s v="Headset"/>
    <x v="0"/>
    <n v="1500"/>
    <n v="6000"/>
    <n v="600"/>
    <n v="5400"/>
    <n v="900"/>
    <s v="East-C1020-1560"/>
    <s v="Regular"/>
    <s v="Poor"/>
    <n v="1"/>
    <x v="2"/>
    <n v="0.02"/>
    <n v="10178.32"/>
    <n v="11067.450844109037"/>
    <n v="777"/>
  </r>
  <r>
    <n v="1561"/>
    <s v="28-06-2025"/>
    <x v="3"/>
    <x v="4"/>
    <s v="C1001"/>
    <s v="P105"/>
    <n v="5"/>
    <n v="2000"/>
    <n v="0"/>
    <n v="177874"/>
    <n v="12"/>
    <n v="2"/>
    <s v="Headset"/>
    <x v="0"/>
    <n v="1500"/>
    <n v="10000"/>
    <n v="0"/>
    <n v="10000"/>
    <n v="2500"/>
    <s v="East-C1001-1561"/>
    <s v="Regular"/>
    <s v="Poor"/>
    <n v="2"/>
    <x v="3"/>
    <n v="0.04"/>
    <n v="42689.760000000002"/>
    <n v="8373.1467982409868"/>
    <n v="636"/>
  </r>
  <r>
    <n v="1562"/>
    <s v="16-07-2025"/>
    <x v="0"/>
    <x v="3"/>
    <s v="C1007"/>
    <s v="P104"/>
    <n v="7"/>
    <n v="12000"/>
    <n v="8"/>
    <n v="343969"/>
    <n v="10"/>
    <n v="2"/>
    <s v="Monitor"/>
    <x v="1"/>
    <n v="9000"/>
    <n v="84000"/>
    <n v="6720"/>
    <n v="77280"/>
    <n v="14280"/>
    <s v="West-C1007-1562"/>
    <s v="High Value"/>
    <s v="Good"/>
    <n v="3"/>
    <x v="8"/>
    <n v="0.06"/>
    <n v="68793.8"/>
    <n v="15872.424167389216"/>
    <n v="199"/>
  </r>
  <r>
    <n v="1563"/>
    <s v="21-10-2025"/>
    <x v="2"/>
    <x v="2"/>
    <s v="C1029"/>
    <s v="P103"/>
    <n v="6"/>
    <n v="1500"/>
    <n v="15"/>
    <n v="373854"/>
    <n v="7"/>
    <n v="1"/>
    <s v="Keyboard"/>
    <x v="0"/>
    <n v="1200"/>
    <n v="9000"/>
    <n v="1350"/>
    <n v="7650"/>
    <n v="450"/>
    <s v="South-C1029-1563"/>
    <s v="Regular"/>
    <s v="Poor"/>
    <n v="4"/>
    <x v="6"/>
    <n v="0.08"/>
    <n v="26169.78"/>
    <n v="32348.370135773301"/>
    <n v="700"/>
  </r>
  <r>
    <n v="1564"/>
    <s v="02-02-2025"/>
    <x v="0"/>
    <x v="6"/>
    <s v="C1029"/>
    <s v="P102"/>
    <n v="3"/>
    <n v="500"/>
    <n v="8"/>
    <n v="430313"/>
    <n v="10"/>
    <n v="1"/>
    <s v="Mouse"/>
    <x v="0"/>
    <n v="350"/>
    <n v="1500"/>
    <n v="120"/>
    <n v="1380"/>
    <n v="330"/>
    <s v="West-C1029-1564"/>
    <s v="Regular"/>
    <s v="Poor"/>
    <n v="1"/>
    <x v="9"/>
    <n v="0.02"/>
    <n v="43031.3"/>
    <n v="37831.349181607118"/>
    <n v="954"/>
  </r>
  <r>
    <n v="1565"/>
    <s v="05-05-2025"/>
    <x v="3"/>
    <x v="2"/>
    <s v="C1025"/>
    <s v="P103"/>
    <n v="3"/>
    <n v="1500"/>
    <n v="5"/>
    <n v="201405"/>
    <n v="7"/>
    <n v="3"/>
    <s v="Keyboard"/>
    <x v="0"/>
    <n v="1200"/>
    <n v="4500"/>
    <n v="225"/>
    <n v="4275"/>
    <n v="675"/>
    <s v="East-C1025-1565"/>
    <s v="Regular"/>
    <s v="Poor"/>
    <n v="2"/>
    <x v="4"/>
    <n v="0.04"/>
    <n v="42295.05"/>
    <n v="6218.8016941702363"/>
    <n v="819"/>
  </r>
  <r>
    <n v="1566"/>
    <s v="22-10-2025"/>
    <x v="3"/>
    <x v="3"/>
    <s v="C1005"/>
    <s v="P101"/>
    <n v="10"/>
    <n v="55000"/>
    <n v="0"/>
    <n v="433669"/>
    <n v="10"/>
    <n v="4"/>
    <s v="Laptop"/>
    <x v="1"/>
    <n v="45000"/>
    <n v="550000"/>
    <n v="0"/>
    <n v="550000"/>
    <n v="100000"/>
    <s v="East-C1005-1566"/>
    <s v="High Value"/>
    <s v="Excellent"/>
    <n v="4"/>
    <x v="6"/>
    <n v="0.08"/>
    <n v="173467.6"/>
    <n v="10998.966195563378"/>
    <n v="1"/>
  </r>
  <r>
    <n v="1567"/>
    <s v="06-12-2025"/>
    <x v="1"/>
    <x v="6"/>
    <s v="C1014"/>
    <s v="P109"/>
    <n v="4"/>
    <n v="7000"/>
    <n v="12"/>
    <n v="101989"/>
    <n v="8"/>
    <n v="5"/>
    <s v="Router"/>
    <x v="1"/>
    <n v="5000"/>
    <n v="28000"/>
    <n v="3360"/>
    <n v="24640"/>
    <n v="4640"/>
    <s v="North-C1014-1567"/>
    <s v="Regular"/>
    <s v="Average"/>
    <n v="4"/>
    <x v="0"/>
    <n v="0.08"/>
    <n v="40795.599999999999"/>
    <n v="2067.9691770810227"/>
    <n v="400"/>
  </r>
  <r>
    <n v="1568"/>
    <s v="08-07-2025"/>
    <x v="2"/>
    <x v="0"/>
    <s v="C1012"/>
    <s v="P107"/>
    <n v="3"/>
    <n v="35000"/>
    <n v="8"/>
    <n v="142903"/>
    <n v="12"/>
    <n v="1"/>
    <s v="Tablet"/>
    <x v="1"/>
    <n v="29000"/>
    <n v="105000"/>
    <n v="8400"/>
    <n v="96600"/>
    <n v="9600"/>
    <s v="South-C1012-1568"/>
    <s v="High Value"/>
    <s v="Good"/>
    <n v="3"/>
    <x v="8"/>
    <n v="0.06"/>
    <n v="17148.36"/>
    <n v="12696.758448501061"/>
    <n v="171"/>
  </r>
  <r>
    <n v="1569"/>
    <s v="21-04-2025"/>
    <x v="3"/>
    <x v="1"/>
    <s v="C1037"/>
    <s v="P109"/>
    <n v="10"/>
    <n v="7000"/>
    <n v="12"/>
    <n v="85126"/>
    <n v="10"/>
    <n v="4"/>
    <s v="Router"/>
    <x v="1"/>
    <n v="5000"/>
    <n v="70000"/>
    <n v="8400"/>
    <n v="61600"/>
    <n v="11600"/>
    <s v="East-C1037-1569"/>
    <s v="High Value"/>
    <s v="Good"/>
    <n v="2"/>
    <x v="11"/>
    <n v="0.04"/>
    <n v="34050.400000000001"/>
    <n v="2159.0152774662893"/>
    <n v="250"/>
  </r>
  <r>
    <n v="1570"/>
    <s v="07-10-2025"/>
    <x v="0"/>
    <x v="4"/>
    <s v="C1047"/>
    <s v="P104"/>
    <n v="1"/>
    <n v="12000"/>
    <n v="5"/>
    <n v="239528"/>
    <n v="12"/>
    <n v="3"/>
    <s v="Monitor"/>
    <x v="1"/>
    <n v="9000"/>
    <n v="12000"/>
    <n v="600"/>
    <n v="11400"/>
    <n v="2400"/>
    <s v="West-C1047-1570"/>
    <s v="Regular"/>
    <s v="Poor"/>
    <n v="4"/>
    <x v="6"/>
    <n v="0.08"/>
    <n v="86230.080000000002"/>
    <n v="7955.7572008526195"/>
    <n v="607"/>
  </r>
  <r>
    <n v="1571"/>
    <s v="16-08-2025"/>
    <x v="2"/>
    <x v="2"/>
    <s v="C1003"/>
    <s v="P110"/>
    <n v="5"/>
    <n v="950"/>
    <n v="0"/>
    <n v="349146"/>
    <n v="8"/>
    <n v="2"/>
    <s v="Webcam"/>
    <x v="0"/>
    <n v="700"/>
    <n v="4750"/>
    <n v="0"/>
    <n v="4750"/>
    <n v="1250"/>
    <s v="South-C1003-1571"/>
    <s v="Regular"/>
    <s v="Poor"/>
    <n v="3"/>
    <x v="7"/>
    <n v="0.06"/>
    <n v="55863.360000000001"/>
    <n v="15790.927902760874"/>
    <n v="797"/>
  </r>
  <r>
    <n v="1572"/>
    <s v="17-02-2025"/>
    <x v="2"/>
    <x v="6"/>
    <s v="C1007"/>
    <s v="P107"/>
    <n v="9"/>
    <n v="35000"/>
    <n v="0"/>
    <n v="441925"/>
    <n v="11"/>
    <n v="4"/>
    <s v="Tablet"/>
    <x v="1"/>
    <n v="29000"/>
    <n v="315000"/>
    <n v="0"/>
    <n v="315000"/>
    <n v="54000"/>
    <s v="South-C1007-1572"/>
    <s v="High Value"/>
    <s v="Excellent"/>
    <n v="1"/>
    <x v="9"/>
    <n v="0.02"/>
    <n v="194447"/>
    <n v="11421.782580066285"/>
    <n v="45"/>
  </r>
  <r>
    <n v="1573"/>
    <s v="03-03-2025"/>
    <x v="0"/>
    <x v="5"/>
    <s v="C1035"/>
    <s v="P107"/>
    <n v="2"/>
    <n v="35000"/>
    <n v="8"/>
    <n v="227532"/>
    <n v="9"/>
    <n v="4"/>
    <s v="Tablet"/>
    <x v="1"/>
    <n v="29000"/>
    <n v="70000"/>
    <n v="5600"/>
    <n v="64400"/>
    <n v="6400"/>
    <s v="West-C1035-1573"/>
    <s v="High Value"/>
    <s v="Good"/>
    <n v="1"/>
    <x v="10"/>
    <n v="0.02"/>
    <n v="81911.520000000004"/>
    <n v="5662.1434614259988"/>
    <n v="234"/>
  </r>
  <r>
    <n v="1574"/>
    <s v="21-07-2025"/>
    <x v="1"/>
    <x v="1"/>
    <s v="C1046"/>
    <s v="P104"/>
    <n v="8"/>
    <n v="12000"/>
    <n v="2"/>
    <n v="368246"/>
    <n v="12"/>
    <n v="1"/>
    <s v="Monitor"/>
    <x v="1"/>
    <n v="9000"/>
    <n v="96000"/>
    <n v="1920"/>
    <n v="94080"/>
    <n v="22080"/>
    <s v="North-C1046-1574"/>
    <s v="High Value"/>
    <s v="Good"/>
    <n v="3"/>
    <x v="8"/>
    <n v="0.06"/>
    <n v="44189.52"/>
    <n v="32718.211035644614"/>
    <n v="176"/>
  </r>
  <r>
    <n v="1575"/>
    <s v="05-04-2025"/>
    <x v="3"/>
    <x v="6"/>
    <s v="C1040"/>
    <s v="P104"/>
    <n v="5"/>
    <n v="12000"/>
    <n v="5"/>
    <n v="106627"/>
    <n v="7"/>
    <n v="4"/>
    <s v="Monitor"/>
    <x v="1"/>
    <n v="9000"/>
    <n v="60000"/>
    <n v="3000"/>
    <n v="57000"/>
    <n v="12000"/>
    <s v="East-C1040-1575"/>
    <s v="High Value"/>
    <s v="Good"/>
    <n v="2"/>
    <x v="11"/>
    <n v="0.04"/>
    <n v="29855.56"/>
    <n v="2553.3162296222999"/>
    <n v="261"/>
  </r>
  <r>
    <n v="1576"/>
    <s v="16-12-2025"/>
    <x v="3"/>
    <x v="4"/>
    <s v="C1005"/>
    <s v="P104"/>
    <n v="5"/>
    <n v="12000"/>
    <n v="8"/>
    <n v="436129"/>
    <n v="7"/>
    <n v="2"/>
    <s v="Monitor"/>
    <x v="1"/>
    <n v="9000"/>
    <n v="60000"/>
    <n v="4800"/>
    <n v="55200"/>
    <n v="10200"/>
    <s v="East-C1005-1576"/>
    <s v="High Value"/>
    <s v="Good"/>
    <n v="4"/>
    <x v="0"/>
    <n v="0.08"/>
    <n v="61058.06"/>
    <n v="19526.620151675706"/>
    <n v="268"/>
  </r>
  <r>
    <n v="1577"/>
    <s v="07-07-2025"/>
    <x v="3"/>
    <x v="3"/>
    <s v="C1015"/>
    <s v="P103"/>
    <n v="4"/>
    <n v="1500"/>
    <n v="10"/>
    <n v="412872"/>
    <n v="7"/>
    <n v="1"/>
    <s v="Keyboard"/>
    <x v="0"/>
    <n v="1200"/>
    <n v="6000"/>
    <n v="600"/>
    <n v="5400"/>
    <n v="600"/>
    <s v="East-C1015-1577"/>
    <s v="Regular"/>
    <s v="Poor"/>
    <n v="3"/>
    <x v="8"/>
    <n v="0.06"/>
    <n v="28901.040000000001"/>
    <n v="35724.47071503046"/>
    <n v="777"/>
  </r>
  <r>
    <n v="1578"/>
    <s v="10-09-2025"/>
    <x v="2"/>
    <x v="7"/>
    <s v="C1047"/>
    <s v="P103"/>
    <n v="6"/>
    <n v="1500"/>
    <n v="10"/>
    <n v="223866"/>
    <n v="11"/>
    <n v="3"/>
    <s v="Keyboard"/>
    <x v="0"/>
    <n v="1200"/>
    <n v="9000"/>
    <n v="900"/>
    <n v="8100"/>
    <n v="900"/>
    <s v="South-C1047-1578"/>
    <s v="Regular"/>
    <s v="Poor"/>
    <n v="3"/>
    <x v="1"/>
    <n v="0.06"/>
    <n v="73875.78"/>
    <n v="7329.0856461147796"/>
    <n v="682"/>
  </r>
  <r>
    <n v="1579"/>
    <s v="09-01-2025"/>
    <x v="1"/>
    <x v="6"/>
    <s v="C1035"/>
    <s v="P109"/>
    <n v="2"/>
    <n v="7000"/>
    <n v="10"/>
    <n v="64250"/>
    <n v="9"/>
    <n v="5"/>
    <s v="Router"/>
    <x v="1"/>
    <n v="5000"/>
    <n v="14000"/>
    <n v="1400"/>
    <n v="12600"/>
    <n v="2600"/>
    <s v="North-C1035-1579"/>
    <s v="Regular"/>
    <s v="Poor"/>
    <n v="1"/>
    <x v="2"/>
    <n v="0.02"/>
    <n v="28912.5"/>
    <n v="1333.7243232932449"/>
    <n v="575"/>
  </r>
  <r>
    <n v="1580"/>
    <s v="18-09-2025"/>
    <x v="0"/>
    <x v="5"/>
    <s v="C1043"/>
    <s v="P108"/>
    <n v="4"/>
    <n v="2500"/>
    <n v="8"/>
    <n v="256760"/>
    <n v="7"/>
    <n v="2"/>
    <s v="Speaker"/>
    <x v="0"/>
    <n v="1800"/>
    <n v="10000"/>
    <n v="800"/>
    <n v="9200"/>
    <n v="2000"/>
    <s v="West-C1043-1580"/>
    <s v="Regular"/>
    <s v="Poor"/>
    <n v="3"/>
    <x v="1"/>
    <n v="0.06"/>
    <n v="35946.400000000001"/>
    <n v="11495.807410523617"/>
    <n v="657"/>
  </r>
  <r>
    <n v="1581"/>
    <s v="18-01-2025"/>
    <x v="1"/>
    <x v="1"/>
    <s v="C1032"/>
    <s v="P107"/>
    <n v="8"/>
    <n v="35000"/>
    <n v="5"/>
    <n v="193909"/>
    <n v="8"/>
    <n v="1"/>
    <s v="Tablet"/>
    <x v="1"/>
    <n v="29000"/>
    <n v="280000"/>
    <n v="14000"/>
    <n v="266000"/>
    <n v="34000"/>
    <s v="North-C1032-1581"/>
    <s v="High Value"/>
    <s v="Excellent"/>
    <n v="1"/>
    <x v="2"/>
    <n v="0.02"/>
    <n v="15512.72"/>
    <n v="16867.839295524911"/>
    <n v="67"/>
  </r>
  <r>
    <n v="1582"/>
    <s v="28-08-2025"/>
    <x v="3"/>
    <x v="0"/>
    <s v="C1015"/>
    <s v="P105"/>
    <n v="10"/>
    <n v="2000"/>
    <n v="12"/>
    <n v="70818"/>
    <n v="12"/>
    <n v="1"/>
    <s v="Headset"/>
    <x v="0"/>
    <n v="1500"/>
    <n v="20000"/>
    <n v="2400"/>
    <n v="17600"/>
    <n v="2600"/>
    <s v="East-C1015-1582"/>
    <s v="Regular"/>
    <s v="Poor"/>
    <n v="3"/>
    <x v="7"/>
    <n v="0.06"/>
    <n v="8498.16"/>
    <n v="6292.0935166228019"/>
    <n v="491"/>
  </r>
  <r>
    <n v="1583"/>
    <s v="29-04-2025"/>
    <x v="0"/>
    <x v="4"/>
    <s v="C1013"/>
    <s v="P107"/>
    <n v="6"/>
    <n v="35000"/>
    <n v="15"/>
    <n v="175389"/>
    <n v="10"/>
    <n v="2"/>
    <s v="Tablet"/>
    <x v="1"/>
    <n v="29000"/>
    <n v="210000"/>
    <n v="31500"/>
    <n v="178500"/>
    <n v="4500"/>
    <s v="West-C1013-1583"/>
    <s v="High Value"/>
    <s v="Excellent"/>
    <n v="2"/>
    <x v="11"/>
    <n v="0.04"/>
    <n v="35077.800000000003"/>
    <n v="8093.3124854106827"/>
    <n v="119"/>
  </r>
  <r>
    <n v="1584"/>
    <s v="22-10-2025"/>
    <x v="1"/>
    <x v="1"/>
    <s v="C1019"/>
    <s v="P104"/>
    <n v="10"/>
    <n v="12000"/>
    <n v="2"/>
    <n v="63264"/>
    <n v="11"/>
    <n v="4"/>
    <s v="Monitor"/>
    <x v="1"/>
    <n v="9000"/>
    <n v="120000"/>
    <n v="2400"/>
    <n v="117600"/>
    <n v="27600"/>
    <s v="North-C1019-1584"/>
    <s v="High Value"/>
    <s v="Excellent"/>
    <n v="4"/>
    <x v="6"/>
    <n v="0.08"/>
    <n v="27836.16"/>
    <n v="1635.0911424909509"/>
    <n v="147"/>
  </r>
  <r>
    <n v="1585"/>
    <s v="21-04-2025"/>
    <x v="3"/>
    <x v="5"/>
    <s v="C1033"/>
    <s v="P102"/>
    <n v="6"/>
    <n v="500"/>
    <n v="8"/>
    <n v="58487"/>
    <n v="8"/>
    <n v="2"/>
    <s v="Mouse"/>
    <x v="0"/>
    <n v="350"/>
    <n v="3000"/>
    <n v="240"/>
    <n v="2760"/>
    <n v="660"/>
    <s v="East-C1033-1585"/>
    <s v="Regular"/>
    <s v="Poor"/>
    <n v="2"/>
    <x v="11"/>
    <n v="0.04"/>
    <n v="9357.92"/>
    <n v="2645.2085953978421"/>
    <n v="893"/>
  </r>
  <r>
    <n v="1586"/>
    <s v="03-02-2025"/>
    <x v="2"/>
    <x v="1"/>
    <s v="C1016"/>
    <s v="P103"/>
    <n v="2"/>
    <n v="1500"/>
    <n v="2"/>
    <n v="146798"/>
    <n v="7"/>
    <n v="2"/>
    <s v="Keyboard"/>
    <x v="0"/>
    <n v="1200"/>
    <n v="3000"/>
    <n v="60"/>
    <n v="2940"/>
    <n v="540"/>
    <s v="South-C1016-1586"/>
    <s v="Regular"/>
    <s v="Poor"/>
    <n v="1"/>
    <x v="9"/>
    <n v="0.02"/>
    <n v="20551.72"/>
    <n v="6572.5250671835411"/>
    <n v="883"/>
  </r>
  <r>
    <n v="1587"/>
    <s v="25-10-2025"/>
    <x v="1"/>
    <x v="0"/>
    <s v="C1025"/>
    <s v="P101"/>
    <n v="6"/>
    <n v="55000"/>
    <n v="2"/>
    <n v="388588"/>
    <n v="12"/>
    <n v="5"/>
    <s v="Laptop"/>
    <x v="1"/>
    <n v="45000"/>
    <n v="330000"/>
    <n v="6600"/>
    <n v="323400"/>
    <n v="53400"/>
    <s v="North-C1025-1587"/>
    <s v="High Value"/>
    <s v="Excellent"/>
    <n v="4"/>
    <x v="6"/>
    <n v="0.08"/>
    <n v="233152.8"/>
    <n v="8643.9254369806113"/>
    <n v="43"/>
  </r>
  <r>
    <n v="1588"/>
    <s v="17-12-2025"/>
    <x v="0"/>
    <x v="6"/>
    <s v="C1018"/>
    <s v="P106"/>
    <n v="3"/>
    <n v="8000"/>
    <n v="12"/>
    <n v="473909"/>
    <n v="10"/>
    <n v="2"/>
    <s v="Printer"/>
    <x v="1"/>
    <n v="6500"/>
    <n v="24000"/>
    <n v="2880"/>
    <n v="21120"/>
    <n v="1620"/>
    <s v="West-C1018-1588"/>
    <s v="Regular"/>
    <s v="Average"/>
    <n v="4"/>
    <x v="0"/>
    <n v="0.08"/>
    <n v="94781.8"/>
    <n v="21868.495895686108"/>
    <n v="429"/>
  </r>
  <r>
    <n v="1589"/>
    <s v="12-10-2025"/>
    <x v="3"/>
    <x v="6"/>
    <s v="C1016"/>
    <s v="P105"/>
    <n v="6"/>
    <n v="2000"/>
    <n v="10"/>
    <n v="370278"/>
    <n v="11"/>
    <n v="4"/>
    <s v="Headset"/>
    <x v="0"/>
    <n v="1500"/>
    <n v="12000"/>
    <n v="1200"/>
    <n v="10800"/>
    <n v="1800"/>
    <s v="East-C1016-1589"/>
    <s v="Regular"/>
    <s v="Poor"/>
    <n v="4"/>
    <x v="6"/>
    <n v="0.08"/>
    <n v="162922.32"/>
    <n v="9570.0284215235242"/>
    <n v="619"/>
  </r>
  <r>
    <n v="1590"/>
    <s v="21-12-2025"/>
    <x v="1"/>
    <x v="6"/>
    <s v="C1018"/>
    <s v="P107"/>
    <n v="3"/>
    <n v="35000"/>
    <n v="0"/>
    <n v="298243"/>
    <n v="7"/>
    <n v="2"/>
    <s v="Tablet"/>
    <x v="1"/>
    <n v="29000"/>
    <n v="105000"/>
    <n v="0"/>
    <n v="105000"/>
    <n v="18000"/>
    <s v="North-C1018-1590"/>
    <s v="High Value"/>
    <s v="Excellent"/>
    <n v="4"/>
    <x v="0"/>
    <n v="0.08"/>
    <n v="41754.019999999997"/>
    <n v="13353.1083094594"/>
    <n v="161"/>
  </r>
  <r>
    <n v="1591"/>
    <s v="13-10-2025"/>
    <x v="3"/>
    <x v="6"/>
    <s v="C1045"/>
    <s v="P107"/>
    <n v="8"/>
    <n v="35000"/>
    <n v="15"/>
    <n v="329135"/>
    <n v="11"/>
    <n v="2"/>
    <s v="Tablet"/>
    <x v="1"/>
    <n v="29000"/>
    <n v="280000"/>
    <n v="42000"/>
    <n v="238000"/>
    <n v="6000"/>
    <s v="East-C1045-1591"/>
    <s v="High Value"/>
    <s v="Excellent"/>
    <n v="4"/>
    <x v="6"/>
    <n v="0.08"/>
    <n v="72409.7"/>
    <n v="15340.270824813277"/>
    <n v="89"/>
  </r>
  <r>
    <n v="1592"/>
    <s v="21-11-2025"/>
    <x v="3"/>
    <x v="6"/>
    <s v="C1011"/>
    <s v="P106"/>
    <n v="5"/>
    <n v="8000"/>
    <n v="8"/>
    <n v="85374"/>
    <n v="9"/>
    <n v="2"/>
    <s v="Printer"/>
    <x v="1"/>
    <n v="6500"/>
    <n v="40000"/>
    <n v="3200"/>
    <n v="36800"/>
    <n v="4300"/>
    <s v="East-C1011-1592"/>
    <s v="Regular"/>
    <s v="Average"/>
    <n v="4"/>
    <x v="5"/>
    <n v="0.08"/>
    <n v="15367.32"/>
    <n v="3900.2891873421236"/>
    <n v="342"/>
  </r>
  <r>
    <n v="1593"/>
    <s v="12-01-2025"/>
    <x v="3"/>
    <x v="2"/>
    <s v="C1028"/>
    <s v="P108"/>
    <n v="10"/>
    <n v="2500"/>
    <n v="8"/>
    <n v="297559"/>
    <n v="7"/>
    <n v="2"/>
    <s v="Speaker"/>
    <x v="0"/>
    <n v="1800"/>
    <n v="25000"/>
    <n v="2000"/>
    <n v="23000"/>
    <n v="5000"/>
    <s v="East-C1028-1593"/>
    <s v="Regular"/>
    <s v="Average"/>
    <n v="1"/>
    <x v="2"/>
    <n v="0.02"/>
    <n v="41658.26"/>
    <n v="13322.483865352848"/>
    <n v="407"/>
  </r>
  <r>
    <n v="1594"/>
    <s v="28-05-2025"/>
    <x v="1"/>
    <x v="2"/>
    <s v="C1002"/>
    <s v="P104"/>
    <n v="10"/>
    <n v="12000"/>
    <n v="8"/>
    <n v="202565"/>
    <n v="11"/>
    <n v="5"/>
    <s v="Monitor"/>
    <x v="1"/>
    <n v="9000"/>
    <n v="120000"/>
    <n v="9600"/>
    <n v="110400"/>
    <n v="20400"/>
    <s v="North-C1002-1594"/>
    <s v="High Value"/>
    <s v="Excellent"/>
    <n v="2"/>
    <x v="4"/>
    <n v="0.04"/>
    <n v="111410.75"/>
    <n v="4404.253929709992"/>
    <n v="151"/>
  </r>
  <r>
    <n v="1595"/>
    <s v="10-10-2025"/>
    <x v="0"/>
    <x v="7"/>
    <s v="C1011"/>
    <s v="P108"/>
    <n v="4"/>
    <n v="2500"/>
    <n v="0"/>
    <n v="447004"/>
    <n v="11"/>
    <n v="4"/>
    <s v="Speaker"/>
    <x v="0"/>
    <n v="1800"/>
    <n v="10000"/>
    <n v="0"/>
    <n v="10000"/>
    <n v="2800"/>
    <s v="West-C1011-1595"/>
    <s v="Regular"/>
    <s v="Poor"/>
    <n v="4"/>
    <x v="6"/>
    <n v="0.08"/>
    <n v="196681.76"/>
    <n v="11553.051989409852"/>
    <n v="636"/>
  </r>
  <r>
    <n v="1596"/>
    <s v="06-07-2025"/>
    <x v="0"/>
    <x v="5"/>
    <s v="C1022"/>
    <s v="P106"/>
    <n v="3"/>
    <n v="8000"/>
    <n v="15"/>
    <n v="202133"/>
    <n v="7"/>
    <n v="2"/>
    <s v="Printer"/>
    <x v="1"/>
    <n v="6500"/>
    <n v="24000"/>
    <n v="3600"/>
    <n v="20400"/>
    <n v="900"/>
    <s v="West-C1022-1596"/>
    <s v="Regular"/>
    <s v="Average"/>
    <n v="3"/>
    <x v="8"/>
    <n v="0.06"/>
    <n v="28298.62"/>
    <n v="9050.0157318560923"/>
    <n v="446"/>
  </r>
  <r>
    <n v="1597"/>
    <s v="12-01-2025"/>
    <x v="3"/>
    <x v="2"/>
    <s v="C1014"/>
    <s v="P102"/>
    <n v="8"/>
    <n v="500"/>
    <n v="8"/>
    <n v="486300"/>
    <n v="7"/>
    <n v="5"/>
    <s v="Mouse"/>
    <x v="0"/>
    <n v="350"/>
    <n v="4000"/>
    <n v="320"/>
    <n v="3680"/>
    <n v="880"/>
    <s v="East-C1014-1597"/>
    <s v="Regular"/>
    <s v="Poor"/>
    <n v="1"/>
    <x v="2"/>
    <n v="0.02"/>
    <n v="170205"/>
    <n v="9629.3228501719786"/>
    <n v="857"/>
  </r>
  <r>
    <n v="1598"/>
    <s v="14-05-2025"/>
    <x v="3"/>
    <x v="4"/>
    <s v="C1019"/>
    <s v="P110"/>
    <n v="6"/>
    <n v="950"/>
    <n v="10"/>
    <n v="459406"/>
    <n v="9"/>
    <n v="2"/>
    <s v="Webcam"/>
    <x v="0"/>
    <n v="700"/>
    <n v="5700"/>
    <n v="570"/>
    <n v="5130"/>
    <n v="930"/>
    <s v="East-C1019-1598"/>
    <s v="Regular"/>
    <s v="Poor"/>
    <n v="2"/>
    <x v="4"/>
    <n v="0.04"/>
    <n v="82693.08"/>
    <n v="20987.844711505793"/>
    <n v="785"/>
  </r>
  <r>
    <n v="1599"/>
    <s v="25-10-2025"/>
    <x v="1"/>
    <x v="4"/>
    <s v="C1026"/>
    <s v="P109"/>
    <n v="6"/>
    <n v="7000"/>
    <n v="15"/>
    <n v="265854"/>
    <n v="7"/>
    <n v="4"/>
    <s v="Router"/>
    <x v="1"/>
    <n v="5000"/>
    <n v="42000"/>
    <n v="6300"/>
    <n v="35700"/>
    <n v="5700"/>
    <s v="North-C1026-1599"/>
    <s v="Regular"/>
    <s v="Average"/>
    <n v="4"/>
    <x v="6"/>
    <n v="0.08"/>
    <n v="74439.12"/>
    <n v="6366.2049284890973"/>
    <n v="348"/>
  </r>
  <r>
    <n v="1600"/>
    <s v="18-11-2025"/>
    <x v="1"/>
    <x v="2"/>
    <s v="C1011"/>
    <s v="P109"/>
    <n v="5"/>
    <n v="7000"/>
    <n v="8"/>
    <n v="146298"/>
    <n v="7"/>
    <n v="3"/>
    <s v="Router"/>
    <x v="1"/>
    <n v="5000"/>
    <n v="35000"/>
    <n v="2800"/>
    <n v="32200"/>
    <n v="7200"/>
    <s v="North-C1011-1600"/>
    <s v="Regular"/>
    <s v="Average"/>
    <n v="4"/>
    <x v="5"/>
    <n v="0.08"/>
    <n v="30722.58"/>
    <n v="4517.2575172101842"/>
    <n v="359"/>
  </r>
  <r>
    <n v="1601"/>
    <s v="05-06-2025"/>
    <x v="3"/>
    <x v="2"/>
    <s v="C1031"/>
    <s v="P104"/>
    <n v="9"/>
    <n v="12000"/>
    <n v="10"/>
    <n v="367491"/>
    <n v="10"/>
    <n v="3"/>
    <s v="Monitor"/>
    <x v="1"/>
    <n v="9000"/>
    <n v="108000"/>
    <n v="10800"/>
    <n v="97200"/>
    <n v="16200"/>
    <s v="East-C1031-1601"/>
    <s v="High Value"/>
    <s v="Good"/>
    <n v="2"/>
    <x v="3"/>
    <n v="0.04"/>
    <n v="110247.3"/>
    <n v="11857.900889050532"/>
    <n v="169"/>
  </r>
  <r>
    <n v="1602"/>
    <s v="20-05-2025"/>
    <x v="2"/>
    <x v="5"/>
    <s v="C1017"/>
    <s v="P107"/>
    <n v="7"/>
    <n v="35000"/>
    <n v="15"/>
    <n v="404916"/>
    <n v="11"/>
    <n v="4"/>
    <s v="Tablet"/>
    <x v="1"/>
    <n v="29000"/>
    <n v="245000"/>
    <n v="36750"/>
    <n v="208250"/>
    <n v="5250"/>
    <s v="South-C1017-1602"/>
    <s v="High Value"/>
    <s v="Excellent"/>
    <n v="2"/>
    <x v="4"/>
    <n v="0.04"/>
    <n v="178163.04"/>
    <n v="10465.265633739027"/>
    <n v="105"/>
  </r>
  <r>
    <n v="1603"/>
    <s v="31-07-2025"/>
    <x v="1"/>
    <x v="1"/>
    <s v="C1026"/>
    <s v="P102"/>
    <n v="9"/>
    <n v="500"/>
    <n v="15"/>
    <n v="260243"/>
    <n v="10"/>
    <n v="1"/>
    <s v="Mouse"/>
    <x v="0"/>
    <n v="350"/>
    <n v="4500"/>
    <n v="675"/>
    <n v="3825"/>
    <n v="675"/>
    <s v="North-C1026-1603"/>
    <s v="Regular"/>
    <s v="Poor"/>
    <n v="3"/>
    <x v="8"/>
    <n v="0.06"/>
    <n v="26024.3"/>
    <n v="22879.494240399388"/>
    <n v="850"/>
  </r>
  <r>
    <n v="1604"/>
    <s v="12-02-2025"/>
    <x v="3"/>
    <x v="4"/>
    <s v="C1023"/>
    <s v="P106"/>
    <n v="9"/>
    <n v="8000"/>
    <n v="5"/>
    <n v="107096"/>
    <n v="12"/>
    <n v="5"/>
    <s v="Printer"/>
    <x v="1"/>
    <n v="6500"/>
    <n v="72000"/>
    <n v="3600"/>
    <n v="68400"/>
    <n v="9900"/>
    <s v="East-C1023-1604"/>
    <s v="High Value"/>
    <s v="Good"/>
    <n v="1"/>
    <x v="9"/>
    <n v="0.02"/>
    <n v="64257.599999999999"/>
    <n v="2382.2913692622401"/>
    <n v="224"/>
  </r>
  <r>
    <n v="1605"/>
    <s v="13-10-2025"/>
    <x v="1"/>
    <x v="2"/>
    <s v="C1039"/>
    <s v="P110"/>
    <n v="2"/>
    <n v="950"/>
    <n v="5"/>
    <n v="156608"/>
    <n v="9"/>
    <n v="2"/>
    <s v="Webcam"/>
    <x v="0"/>
    <n v="700"/>
    <n v="1900"/>
    <n v="95"/>
    <n v="1805"/>
    <n v="405"/>
    <s v="North-C1039-1605"/>
    <s v="Regular"/>
    <s v="Poor"/>
    <n v="4"/>
    <x v="6"/>
    <n v="0.08"/>
    <n v="28189.439999999999"/>
    <n v="7154.5961188567398"/>
    <n v="939"/>
  </r>
  <r>
    <n v="1606"/>
    <s v="05-12-2025"/>
    <x v="2"/>
    <x v="0"/>
    <s v="C1010"/>
    <s v="P108"/>
    <n v="10"/>
    <n v="2500"/>
    <n v="5"/>
    <n v="385988"/>
    <n v="12"/>
    <n v="4"/>
    <s v="Speaker"/>
    <x v="0"/>
    <n v="1800"/>
    <n v="25000"/>
    <n v="1250"/>
    <n v="23750"/>
    <n v="5750"/>
    <s v="South-C1010-1606"/>
    <s v="Regular"/>
    <s v="Average"/>
    <n v="4"/>
    <x v="0"/>
    <n v="0.08"/>
    <n v="185274.23999999999"/>
    <n v="10164.544470698935"/>
    <n v="405"/>
  </r>
  <r>
    <n v="1607"/>
    <s v="27-03-2025"/>
    <x v="3"/>
    <x v="0"/>
    <s v="C1039"/>
    <s v="P105"/>
    <n v="4"/>
    <n v="2000"/>
    <n v="0"/>
    <n v="335287"/>
    <n v="10"/>
    <n v="2"/>
    <s v="Headset"/>
    <x v="0"/>
    <n v="1500"/>
    <n v="8000"/>
    <n v="0"/>
    <n v="8000"/>
    <n v="2000"/>
    <s v="East-C1039-1607"/>
    <s v="Regular"/>
    <s v="Poor"/>
    <n v="1"/>
    <x v="10"/>
    <n v="0.02"/>
    <n v="67057.399999999994"/>
    <n v="15471.793916926896"/>
    <n v="687"/>
  </r>
  <r>
    <n v="1608"/>
    <s v="18-08-2025"/>
    <x v="3"/>
    <x v="6"/>
    <s v="C1044"/>
    <s v="P105"/>
    <n v="7"/>
    <n v="2000"/>
    <n v="10"/>
    <n v="463772"/>
    <n v="12"/>
    <n v="2"/>
    <s v="Headset"/>
    <x v="0"/>
    <n v="1500"/>
    <n v="14000"/>
    <n v="1400"/>
    <n v="12600"/>
    <n v="2100"/>
    <s v="East-C1044-1608"/>
    <s v="Regular"/>
    <s v="Poor"/>
    <n v="3"/>
    <x v="7"/>
    <n v="0.06"/>
    <n v="111305.28"/>
    <n v="21831.358359927919"/>
    <n v="575"/>
  </r>
  <r>
    <n v="1609"/>
    <s v="19-06-2025"/>
    <x v="0"/>
    <x v="7"/>
    <s v="C1009"/>
    <s v="P107"/>
    <n v="9"/>
    <n v="35000"/>
    <n v="2"/>
    <n v="225943"/>
    <n v="8"/>
    <n v="5"/>
    <s v="Tablet"/>
    <x v="1"/>
    <n v="29000"/>
    <n v="315000"/>
    <n v="6300"/>
    <n v="308700"/>
    <n v="47700"/>
    <s v="West-C1009-1609"/>
    <s v="High Value"/>
    <s v="Excellent"/>
    <n v="2"/>
    <x v="3"/>
    <n v="0.04"/>
    <n v="90377.2"/>
    <n v="4581.3093547070521"/>
    <n v="50"/>
  </r>
  <r>
    <n v="1610"/>
    <s v="10-07-2025"/>
    <x v="2"/>
    <x v="4"/>
    <s v="C1014"/>
    <s v="P108"/>
    <n v="1"/>
    <n v="2500"/>
    <n v="2"/>
    <n v="407056"/>
    <n v="9"/>
    <n v="3"/>
    <s v="Speaker"/>
    <x v="0"/>
    <n v="1800"/>
    <n v="2500"/>
    <n v="50"/>
    <n v="2450"/>
    <n v="650"/>
    <s v="South-C1014-1610"/>
    <s v="Regular"/>
    <s v="Poor"/>
    <n v="3"/>
    <x v="8"/>
    <n v="0.06"/>
    <n v="109905.12"/>
    <n v="12944.271977624816"/>
    <n v="908"/>
  </r>
  <r>
    <n v="1611"/>
    <s v="02-09-2025"/>
    <x v="2"/>
    <x v="6"/>
    <s v="C1011"/>
    <s v="P106"/>
    <n v="1"/>
    <n v="8000"/>
    <n v="8"/>
    <n v="437511"/>
    <n v="11"/>
    <n v="3"/>
    <s v="Printer"/>
    <x v="1"/>
    <n v="6500"/>
    <n v="8000"/>
    <n v="640"/>
    <n v="7360"/>
    <n v="860"/>
    <s v="South-C1011-1611"/>
    <s v="Regular"/>
    <s v="Poor"/>
    <n v="3"/>
    <x v="1"/>
    <n v="0.06"/>
    <n v="144378.63"/>
    <n v="14323.54886457668"/>
    <n v="709"/>
  </r>
  <r>
    <n v="1612"/>
    <s v="12-08-2025"/>
    <x v="0"/>
    <x v="5"/>
    <s v="C1047"/>
    <s v="P110"/>
    <n v="4"/>
    <n v="950"/>
    <n v="5"/>
    <n v="177005"/>
    <n v="7"/>
    <n v="4"/>
    <s v="Webcam"/>
    <x v="0"/>
    <n v="700"/>
    <n v="3800"/>
    <n v="190"/>
    <n v="3610"/>
    <n v="810"/>
    <s v="West-C1047-1612"/>
    <s v="Regular"/>
    <s v="Poor"/>
    <n v="3"/>
    <x v="7"/>
    <n v="0.06"/>
    <n v="49561.4"/>
    <n v="4238.6050364757075"/>
    <n v="859"/>
  </r>
  <r>
    <n v="1613"/>
    <s v="30-04-2025"/>
    <x v="1"/>
    <x v="4"/>
    <s v="C1044"/>
    <s v="P106"/>
    <n v="10"/>
    <n v="8000"/>
    <n v="12"/>
    <n v="116888"/>
    <n v="8"/>
    <n v="1"/>
    <s v="Printer"/>
    <x v="1"/>
    <n v="6500"/>
    <n v="80000"/>
    <n v="9600"/>
    <n v="70400"/>
    <n v="5400"/>
    <s v="North-C1044-1613"/>
    <s v="High Value"/>
    <s v="Good"/>
    <n v="2"/>
    <x v="11"/>
    <n v="0.04"/>
    <n v="9351.0400000000009"/>
    <n v="10167.903498936697"/>
    <n v="218"/>
  </r>
  <r>
    <n v="1614"/>
    <s v="23-05-2025"/>
    <x v="0"/>
    <x v="6"/>
    <s v="C1035"/>
    <s v="P101"/>
    <n v="5"/>
    <n v="55000"/>
    <n v="8"/>
    <n v="141728"/>
    <n v="7"/>
    <n v="5"/>
    <s v="Laptop"/>
    <x v="1"/>
    <n v="45000"/>
    <n v="275000"/>
    <n v="22000"/>
    <n v="253000"/>
    <n v="28000"/>
    <s v="West-C1035-1614"/>
    <s v="High Value"/>
    <s v="Excellent"/>
    <n v="2"/>
    <x v="4"/>
    <n v="0.04"/>
    <n v="49604.800000000003"/>
    <n v="2806.384266726659"/>
    <n v="74"/>
  </r>
  <r>
    <n v="1615"/>
    <s v="24-03-2025"/>
    <x v="0"/>
    <x v="4"/>
    <s v="C1038"/>
    <s v="P107"/>
    <n v="4"/>
    <n v="35000"/>
    <n v="0"/>
    <n v="417111"/>
    <n v="11"/>
    <n v="5"/>
    <s v="Tablet"/>
    <x v="1"/>
    <n v="29000"/>
    <n v="140000"/>
    <n v="0"/>
    <n v="140000"/>
    <n v="24000"/>
    <s v="West-C1038-1615"/>
    <s v="High Value"/>
    <s v="Excellent"/>
    <n v="1"/>
    <x v="10"/>
    <n v="0.02"/>
    <n v="229411.05"/>
    <n v="9069.003830253323"/>
    <n v="137"/>
  </r>
  <r>
    <n v="1616"/>
    <s v="01-06-2025"/>
    <x v="1"/>
    <x v="2"/>
    <s v="C1031"/>
    <s v="P108"/>
    <n v="3"/>
    <n v="2500"/>
    <n v="15"/>
    <n v="270155"/>
    <n v="9"/>
    <n v="1"/>
    <s v="Speaker"/>
    <x v="0"/>
    <n v="1800"/>
    <n v="7500"/>
    <n v="1125"/>
    <n v="6375"/>
    <n v="975"/>
    <s v="North-C1031-1616"/>
    <s v="Regular"/>
    <s v="Poor"/>
    <n v="2"/>
    <x v="3"/>
    <n v="0.04"/>
    <n v="24313.95"/>
    <n v="23625.45370677812"/>
    <n v="748"/>
  </r>
  <r>
    <n v="1617"/>
    <s v="13-06-2025"/>
    <x v="2"/>
    <x v="5"/>
    <s v="C1026"/>
    <s v="P107"/>
    <n v="7"/>
    <n v="35000"/>
    <n v="5"/>
    <n v="299367"/>
    <n v="9"/>
    <n v="5"/>
    <s v="Tablet"/>
    <x v="1"/>
    <n v="29000"/>
    <n v="245000"/>
    <n v="12250"/>
    <n v="232750"/>
    <n v="29750"/>
    <s v="South-C1026-1617"/>
    <s v="High Value"/>
    <s v="Excellent"/>
    <n v="2"/>
    <x v="3"/>
    <n v="0.04"/>
    <n v="134715.15"/>
    <n v="6214.3665290479203"/>
    <n v="91"/>
  </r>
  <r>
    <n v="1618"/>
    <s v="20-05-2025"/>
    <x v="1"/>
    <x v="1"/>
    <s v="C1043"/>
    <s v="P105"/>
    <n v="9"/>
    <n v="2000"/>
    <n v="8"/>
    <n v="132019"/>
    <n v="9"/>
    <n v="2"/>
    <s v="Headset"/>
    <x v="0"/>
    <n v="1500"/>
    <n v="18000"/>
    <n v="1440"/>
    <n v="16560"/>
    <n v="3060"/>
    <s v="North-C1043-1618"/>
    <s v="Regular"/>
    <s v="Poor"/>
    <n v="2"/>
    <x v="4"/>
    <n v="0.04"/>
    <n v="23763.42"/>
    <n v="6031.2539909541529"/>
    <n v="508"/>
  </r>
  <r>
    <n v="1619"/>
    <s v="21-04-2025"/>
    <x v="0"/>
    <x v="0"/>
    <s v="C1014"/>
    <s v="P107"/>
    <n v="1"/>
    <n v="35000"/>
    <n v="15"/>
    <n v="499222"/>
    <n v="11"/>
    <n v="4"/>
    <s v="Tablet"/>
    <x v="1"/>
    <n v="29000"/>
    <n v="35000"/>
    <n v="5250"/>
    <n v="29750"/>
    <n v="750"/>
    <s v="West-C1014-1619"/>
    <s v="Regular"/>
    <s v="Average"/>
    <n v="2"/>
    <x v="11"/>
    <n v="0.04"/>
    <n v="219657.68"/>
    <n v="12902.653489134696"/>
    <n v="380"/>
  </r>
  <r>
    <n v="1620"/>
    <s v="03-07-2025"/>
    <x v="1"/>
    <x v="4"/>
    <s v="C1005"/>
    <s v="P104"/>
    <n v="9"/>
    <n v="12000"/>
    <n v="2"/>
    <n v="181037"/>
    <n v="11"/>
    <n v="3"/>
    <s v="Monitor"/>
    <x v="1"/>
    <n v="9000"/>
    <n v="108000"/>
    <n v="2160"/>
    <n v="105840"/>
    <n v="24840"/>
    <s v="North-C1005-1620"/>
    <s v="High Value"/>
    <s v="Excellent"/>
    <n v="3"/>
    <x v="8"/>
    <n v="0.06"/>
    <n v="59742.21"/>
    <n v="5926.9191307106985"/>
    <n v="158"/>
  </r>
  <r>
    <n v="1621"/>
    <s v="24-09-2025"/>
    <x v="3"/>
    <x v="2"/>
    <s v="C1023"/>
    <s v="P103"/>
    <n v="8"/>
    <n v="1500"/>
    <n v="15"/>
    <n v="183050"/>
    <n v="12"/>
    <n v="2"/>
    <s v="Keyboard"/>
    <x v="0"/>
    <n v="1200"/>
    <n v="12000"/>
    <n v="1800"/>
    <n v="10200"/>
    <n v="600"/>
    <s v="East-C1023-1621"/>
    <s v="Regular"/>
    <s v="Poor"/>
    <n v="3"/>
    <x v="1"/>
    <n v="0.06"/>
    <n v="43932"/>
    <n v="8616.7990904686048"/>
    <n v="630"/>
  </r>
  <r>
    <n v="1622"/>
    <s v="25-11-2025"/>
    <x v="0"/>
    <x v="0"/>
    <s v="C1032"/>
    <s v="P102"/>
    <n v="9"/>
    <n v="500"/>
    <n v="0"/>
    <n v="76182"/>
    <n v="11"/>
    <n v="3"/>
    <s v="Mouse"/>
    <x v="0"/>
    <n v="350"/>
    <n v="4500"/>
    <n v="0"/>
    <n v="4500"/>
    <n v="1350"/>
    <s v="West-C1032-1622"/>
    <s v="Regular"/>
    <s v="Poor"/>
    <n v="4"/>
    <x v="5"/>
    <n v="0.08"/>
    <n v="25140.06"/>
    <n v="2494.1009474074494"/>
    <n v="805"/>
  </r>
  <r>
    <n v="1623"/>
    <s v="12-02-2025"/>
    <x v="3"/>
    <x v="6"/>
    <s v="C1043"/>
    <s v="P106"/>
    <n v="2"/>
    <n v="8000"/>
    <n v="5"/>
    <n v="290616"/>
    <n v="7"/>
    <n v="3"/>
    <s v="Printer"/>
    <x v="1"/>
    <n v="6500"/>
    <n v="16000"/>
    <n v="800"/>
    <n v="15200"/>
    <n v="2200"/>
    <s v="East-C1043-1623"/>
    <s v="Regular"/>
    <s v="Poor"/>
    <n v="1"/>
    <x v="9"/>
    <n v="0.02"/>
    <n v="61029.36"/>
    <n v="8973.3783826269319"/>
    <n v="521"/>
  </r>
  <r>
    <n v="1624"/>
    <s v="03-12-2025"/>
    <x v="3"/>
    <x v="1"/>
    <s v="C1026"/>
    <s v="P101"/>
    <n v="10"/>
    <n v="55000"/>
    <n v="15"/>
    <n v="192445"/>
    <n v="10"/>
    <n v="2"/>
    <s v="Laptop"/>
    <x v="1"/>
    <n v="45000"/>
    <n v="550000"/>
    <n v="82500"/>
    <n v="467500"/>
    <n v="17500"/>
    <s v="East-C1026-1624"/>
    <s v="High Value"/>
    <s v="Excellent"/>
    <n v="4"/>
    <x v="0"/>
    <n v="0.08"/>
    <n v="38489"/>
    <n v="8880.3603490233636"/>
    <n v="13"/>
  </r>
  <r>
    <n v="1625"/>
    <s v="11-05-2025"/>
    <x v="2"/>
    <x v="3"/>
    <s v="C1014"/>
    <s v="P109"/>
    <n v="5"/>
    <n v="7000"/>
    <n v="8"/>
    <n v="219119"/>
    <n v="7"/>
    <n v="3"/>
    <s v="Router"/>
    <x v="1"/>
    <n v="5000"/>
    <n v="35000"/>
    <n v="2800"/>
    <n v="32200"/>
    <n v="7200"/>
    <s v="South-C1014-1625"/>
    <s v="Regular"/>
    <s v="Average"/>
    <n v="2"/>
    <x v="4"/>
    <n v="0.04"/>
    <n v="46014.99"/>
    <n v="6765.7585880434353"/>
    <n v="359"/>
  </r>
  <r>
    <n v="1626"/>
    <s v="19-01-2025"/>
    <x v="3"/>
    <x v="3"/>
    <s v="C1019"/>
    <s v="P103"/>
    <n v="4"/>
    <n v="1500"/>
    <n v="12"/>
    <n v="485197"/>
    <n v="12"/>
    <n v="5"/>
    <s v="Keyboard"/>
    <x v="0"/>
    <n v="1200"/>
    <n v="6000"/>
    <n v="720"/>
    <n v="5280"/>
    <n v="480"/>
    <s v="East-C1019-1626"/>
    <s v="Regular"/>
    <s v="Poor"/>
    <n v="1"/>
    <x v="2"/>
    <n v="0.02"/>
    <n v="291118.2"/>
    <n v="10792.939283371286"/>
    <n v="779"/>
  </r>
  <r>
    <n v="1627"/>
    <s v="11-10-2025"/>
    <x v="0"/>
    <x v="2"/>
    <s v="C1016"/>
    <s v="P107"/>
    <n v="8"/>
    <n v="35000"/>
    <n v="10"/>
    <n v="345019"/>
    <n v="12"/>
    <n v="4"/>
    <s v="Tablet"/>
    <x v="1"/>
    <n v="29000"/>
    <n v="280000"/>
    <n v="28000"/>
    <n v="252000"/>
    <n v="20000"/>
    <s v="West-C1016-1627"/>
    <s v="High Value"/>
    <s v="Excellent"/>
    <n v="4"/>
    <x v="6"/>
    <n v="0.08"/>
    <n v="165609.12"/>
    <n v="9085.6735668882866"/>
    <n v="76"/>
  </r>
  <r>
    <n v="1628"/>
    <s v="16-07-2025"/>
    <x v="3"/>
    <x v="5"/>
    <s v="C1012"/>
    <s v="P101"/>
    <n v="10"/>
    <n v="55000"/>
    <n v="5"/>
    <n v="57880"/>
    <n v="7"/>
    <n v="5"/>
    <s v="Laptop"/>
    <x v="1"/>
    <n v="45000"/>
    <n v="550000"/>
    <n v="27500"/>
    <n v="522500"/>
    <n v="72500"/>
    <s v="East-C1012-1628"/>
    <s v="High Value"/>
    <s v="Excellent"/>
    <n v="3"/>
    <x v="8"/>
    <n v="0.06"/>
    <n v="20258"/>
    <n v="1146.093371515431"/>
    <n v="2"/>
  </r>
  <r>
    <n v="1629"/>
    <s v="30-06-2025"/>
    <x v="1"/>
    <x v="3"/>
    <s v="C1038"/>
    <s v="P103"/>
    <n v="7"/>
    <n v="1500"/>
    <n v="5"/>
    <n v="441666"/>
    <n v="9"/>
    <n v="5"/>
    <s v="Keyboard"/>
    <x v="0"/>
    <n v="1200"/>
    <n v="10500"/>
    <n v="525"/>
    <n v="9975"/>
    <n v="1575"/>
    <s v="North-C1038-1629"/>
    <s v="Regular"/>
    <s v="Poor"/>
    <n v="2"/>
    <x v="3"/>
    <n v="0.04"/>
    <n v="198749.7"/>
    <n v="9168.2597194028695"/>
    <n v="643"/>
  </r>
  <r>
    <n v="1630"/>
    <s v="29-12-2025"/>
    <x v="2"/>
    <x v="0"/>
    <s v="C1045"/>
    <s v="P105"/>
    <n v="10"/>
    <n v="2000"/>
    <n v="0"/>
    <n v="206820"/>
    <n v="8"/>
    <n v="1"/>
    <s v="Headset"/>
    <x v="0"/>
    <n v="1500"/>
    <n v="20000"/>
    <n v="0"/>
    <n v="20000"/>
    <n v="5000"/>
    <s v="South-C1045-1630"/>
    <s v="Regular"/>
    <s v="Average"/>
    <n v="4"/>
    <x v="0"/>
    <n v="0.08"/>
    <n v="16545.599999999999"/>
    <n v="17990.946903446784"/>
    <n v="453"/>
  </r>
  <r>
    <n v="1631"/>
    <s v="17-04-2025"/>
    <x v="0"/>
    <x v="7"/>
    <s v="C1025"/>
    <s v="P109"/>
    <n v="5"/>
    <n v="7000"/>
    <n v="2"/>
    <n v="90075"/>
    <n v="9"/>
    <n v="5"/>
    <s v="Router"/>
    <x v="1"/>
    <n v="5000"/>
    <n v="35000"/>
    <n v="700"/>
    <n v="34300"/>
    <n v="9300"/>
    <s v="West-C1025-1631"/>
    <s v="Regular"/>
    <s v="Average"/>
    <n v="2"/>
    <x v="11"/>
    <n v="0.04"/>
    <n v="40533.75"/>
    <n v="1869.8088470138373"/>
    <n v="354"/>
  </r>
  <r>
    <n v="1632"/>
    <s v="22-06-2025"/>
    <x v="0"/>
    <x v="3"/>
    <s v="C1028"/>
    <s v="P108"/>
    <n v="3"/>
    <n v="2500"/>
    <n v="15"/>
    <n v="464756"/>
    <n v="9"/>
    <n v="2"/>
    <s v="Speaker"/>
    <x v="0"/>
    <n v="1800"/>
    <n v="7500"/>
    <n v="1125"/>
    <n v="6375"/>
    <n v="975"/>
    <s v="West-C1028-1632"/>
    <s v="Regular"/>
    <s v="Poor"/>
    <n v="2"/>
    <x v="3"/>
    <n v="0.04"/>
    <n v="83656.08"/>
    <n v="21232.258082699369"/>
    <n v="748"/>
  </r>
  <r>
    <n v="1633"/>
    <s v="16-11-2025"/>
    <x v="1"/>
    <x v="3"/>
    <s v="C1043"/>
    <s v="P102"/>
    <n v="9"/>
    <n v="500"/>
    <n v="12"/>
    <n v="465776"/>
    <n v="12"/>
    <n v="1"/>
    <s v="Mouse"/>
    <x v="0"/>
    <n v="350"/>
    <n v="4500"/>
    <n v="540"/>
    <n v="3960"/>
    <n v="810"/>
    <s v="North-C1043-1633"/>
    <s v="Regular"/>
    <s v="Poor"/>
    <n v="4"/>
    <x v="5"/>
    <n v="0.08"/>
    <n v="55893.120000000003"/>
    <n v="41383.633395443278"/>
    <n v="840"/>
  </r>
  <r>
    <n v="1634"/>
    <s v="16-12-2025"/>
    <x v="3"/>
    <x v="3"/>
    <s v="C1047"/>
    <s v="P105"/>
    <n v="1"/>
    <n v="2000"/>
    <n v="0"/>
    <n v="85775"/>
    <n v="8"/>
    <n v="4"/>
    <s v="Headset"/>
    <x v="0"/>
    <n v="1500"/>
    <n v="2000"/>
    <n v="0"/>
    <n v="2000"/>
    <n v="500"/>
    <s v="East-C1047-1634"/>
    <s v="Regular"/>
    <s v="Poor"/>
    <n v="4"/>
    <x v="0"/>
    <n v="0.08"/>
    <n v="27448"/>
    <n v="2094.0184138423756"/>
    <n v="926"/>
  </r>
  <r>
    <n v="1635"/>
    <s v="17-09-2025"/>
    <x v="3"/>
    <x v="1"/>
    <s v="C1025"/>
    <s v="P108"/>
    <n v="3"/>
    <n v="2500"/>
    <n v="10"/>
    <n v="288750"/>
    <n v="9"/>
    <n v="2"/>
    <s v="Speaker"/>
    <x v="0"/>
    <n v="1800"/>
    <n v="7500"/>
    <n v="750"/>
    <n v="6750"/>
    <n v="1350"/>
    <s v="East-C1025-1635"/>
    <s v="Regular"/>
    <s v="Poor"/>
    <n v="3"/>
    <x v="1"/>
    <n v="0.06"/>
    <n v="51975"/>
    <n v="13191.46933311123"/>
    <n v="731"/>
  </r>
  <r>
    <n v="1636"/>
    <s v="10-10-2025"/>
    <x v="1"/>
    <x v="5"/>
    <s v="C1028"/>
    <s v="P105"/>
    <n v="10"/>
    <n v="2000"/>
    <n v="5"/>
    <n v="390047"/>
    <n v="12"/>
    <n v="5"/>
    <s v="Headset"/>
    <x v="0"/>
    <n v="1500"/>
    <n v="20000"/>
    <n v="1000"/>
    <n v="19000"/>
    <n v="4000"/>
    <s v="North-C1028-1636"/>
    <s v="Regular"/>
    <s v="Poor"/>
    <n v="4"/>
    <x v="6"/>
    <n v="0.08"/>
    <n v="234028.2"/>
    <n v="8676.3800861528816"/>
    <n v="465"/>
  </r>
  <r>
    <n v="1637"/>
    <s v="26-10-2025"/>
    <x v="0"/>
    <x v="4"/>
    <s v="C1021"/>
    <s v="P108"/>
    <n v="7"/>
    <n v="2500"/>
    <n v="15"/>
    <n v="475155"/>
    <n v="8"/>
    <n v="2"/>
    <s v="Speaker"/>
    <x v="0"/>
    <n v="1800"/>
    <n v="17500"/>
    <n v="2625"/>
    <n v="14875"/>
    <n v="2275"/>
    <s v="West-C1021-1637"/>
    <s v="Regular"/>
    <s v="Poor"/>
    <n v="4"/>
    <x v="6"/>
    <n v="0.08"/>
    <n v="76024.800000000003"/>
    <n v="21489.973671863179"/>
    <n v="531"/>
  </r>
  <r>
    <n v="1638"/>
    <s v="03-09-2025"/>
    <x v="1"/>
    <x v="5"/>
    <s v="C1044"/>
    <s v="P108"/>
    <n v="5"/>
    <n v="2500"/>
    <n v="0"/>
    <n v="409429"/>
    <n v="12"/>
    <n v="2"/>
    <s v="Speaker"/>
    <x v="0"/>
    <n v="1800"/>
    <n v="12500"/>
    <n v="0"/>
    <n v="12500"/>
    <n v="3500"/>
    <s v="North-C1044-1638"/>
    <s v="Regular"/>
    <s v="Poor"/>
    <n v="3"/>
    <x v="1"/>
    <n v="0.06"/>
    <n v="98262.96"/>
    <n v="19273.244658899046"/>
    <n v="581"/>
  </r>
  <r>
    <n v="1639"/>
    <s v="20-09-2025"/>
    <x v="3"/>
    <x v="0"/>
    <s v="C1033"/>
    <s v="P101"/>
    <n v="6"/>
    <n v="55000"/>
    <n v="15"/>
    <n v="183192"/>
    <n v="9"/>
    <n v="3"/>
    <s v="Laptop"/>
    <x v="1"/>
    <n v="45000"/>
    <n v="330000"/>
    <n v="49500"/>
    <n v="280500"/>
    <n v="10500"/>
    <s v="East-C1033-1639"/>
    <s v="High Value"/>
    <s v="Excellent"/>
    <n v="3"/>
    <x v="1"/>
    <n v="0.06"/>
    <n v="49461.84"/>
    <n v="5825.4566254398542"/>
    <n v="59"/>
  </r>
  <r>
    <n v="1640"/>
    <s v="20-11-2025"/>
    <x v="0"/>
    <x v="0"/>
    <s v="C1044"/>
    <s v="P108"/>
    <n v="9"/>
    <n v="2500"/>
    <n v="8"/>
    <n v="368863"/>
    <n v="8"/>
    <n v="4"/>
    <s v="Speaker"/>
    <x v="0"/>
    <n v="1800"/>
    <n v="22500"/>
    <n v="1800"/>
    <n v="20700"/>
    <n v="4500"/>
    <s v="West-C1044-1640"/>
    <s v="Regular"/>
    <s v="Average"/>
    <n v="4"/>
    <x v="5"/>
    <n v="0.08"/>
    <n v="118036.16"/>
    <n v="9005.023773653631"/>
    <n v="438"/>
  </r>
  <r>
    <n v="1641"/>
    <s v="23-01-2025"/>
    <x v="3"/>
    <x v="1"/>
    <s v="C1030"/>
    <s v="P107"/>
    <n v="4"/>
    <n v="35000"/>
    <n v="8"/>
    <n v="333751"/>
    <n v="9"/>
    <n v="3"/>
    <s v="Tablet"/>
    <x v="1"/>
    <n v="29000"/>
    <n v="140000"/>
    <n v="11200"/>
    <n v="128800"/>
    <n v="12800"/>
    <s v="East-C1030-1641"/>
    <s v="High Value"/>
    <s v="Excellent"/>
    <n v="1"/>
    <x v="2"/>
    <n v="0.02"/>
    <n v="90112.77"/>
    <n v="10613.192574987865"/>
    <n v="141"/>
  </r>
  <r>
    <n v="1642"/>
    <s v="20-09-2025"/>
    <x v="1"/>
    <x v="4"/>
    <s v="C1039"/>
    <s v="P101"/>
    <n v="2"/>
    <n v="55000"/>
    <n v="15"/>
    <n v="423012"/>
    <n v="12"/>
    <n v="4"/>
    <s v="Laptop"/>
    <x v="1"/>
    <n v="45000"/>
    <n v="110000"/>
    <n v="16500"/>
    <n v="93500"/>
    <n v="3500"/>
    <s v="North-C1039-1642"/>
    <s v="High Value"/>
    <s v="Good"/>
    <n v="3"/>
    <x v="1"/>
    <n v="0.06"/>
    <n v="203045.76000000001"/>
    <n v="11139.528393730629"/>
    <n v="179"/>
  </r>
  <r>
    <n v="1643"/>
    <s v="12-02-2025"/>
    <x v="0"/>
    <x v="1"/>
    <s v="C1011"/>
    <s v="P108"/>
    <n v="2"/>
    <n v="2500"/>
    <n v="15"/>
    <n v="71013"/>
    <n v="8"/>
    <n v="3"/>
    <s v="Speaker"/>
    <x v="0"/>
    <n v="1800"/>
    <n v="5000"/>
    <n v="750"/>
    <n v="4250"/>
    <n v="650"/>
    <s v="West-C1011-1643"/>
    <s v="Regular"/>
    <s v="Poor"/>
    <n v="1"/>
    <x v="9"/>
    <n v="0.02"/>
    <n v="17043.12"/>
    <n v="2225.2893205125893"/>
    <n v="825"/>
  </r>
  <r>
    <n v="1644"/>
    <s v="14-06-2025"/>
    <x v="2"/>
    <x v="3"/>
    <s v="C1019"/>
    <s v="P102"/>
    <n v="9"/>
    <n v="500"/>
    <n v="10"/>
    <n v="296087"/>
    <n v="7"/>
    <n v="2"/>
    <s v="Mouse"/>
    <x v="0"/>
    <n v="350"/>
    <n v="4500"/>
    <n v="450"/>
    <n v="4050"/>
    <n v="900"/>
    <s v="South-C1019-1644"/>
    <s v="Regular"/>
    <s v="Poor"/>
    <n v="2"/>
    <x v="3"/>
    <n v="0.04"/>
    <n v="41452.18"/>
    <n v="13256.578628913017"/>
    <n v="832"/>
  </r>
  <r>
    <n v="1645"/>
    <s v="05-04-2025"/>
    <x v="3"/>
    <x v="3"/>
    <s v="C1012"/>
    <s v="P104"/>
    <n v="7"/>
    <n v="12000"/>
    <n v="15"/>
    <n v="352760"/>
    <n v="12"/>
    <n v="2"/>
    <s v="Monitor"/>
    <x v="1"/>
    <n v="9000"/>
    <n v="84000"/>
    <n v="12600"/>
    <n v="71400"/>
    <n v="8400"/>
    <s v="East-C1012-1645"/>
    <s v="High Value"/>
    <s v="Good"/>
    <n v="2"/>
    <x v="11"/>
    <n v="0.04"/>
    <n v="84662.399999999994"/>
    <n v="16605.638061478854"/>
    <n v="213"/>
  </r>
  <r>
    <n v="1646"/>
    <s v="09-01-2025"/>
    <x v="3"/>
    <x v="0"/>
    <s v="C1033"/>
    <s v="P101"/>
    <n v="2"/>
    <n v="55000"/>
    <n v="10"/>
    <n v="287271"/>
    <n v="9"/>
    <n v="5"/>
    <s v="Laptop"/>
    <x v="1"/>
    <n v="45000"/>
    <n v="110000"/>
    <n v="11000"/>
    <n v="99000"/>
    <n v="9000"/>
    <s v="East-C1033-1646"/>
    <s v="High Value"/>
    <s v="Good"/>
    <n v="1"/>
    <x v="2"/>
    <n v="0.02"/>
    <n v="129271.95"/>
    <n v="5963.273464229942"/>
    <n v="165"/>
  </r>
  <r>
    <n v="1647"/>
    <s v="23-11-2025"/>
    <x v="3"/>
    <x v="2"/>
    <s v="C1029"/>
    <s v="P104"/>
    <n v="1"/>
    <n v="12000"/>
    <n v="10"/>
    <n v="128224"/>
    <n v="10"/>
    <n v="4"/>
    <s v="Monitor"/>
    <x v="1"/>
    <n v="9000"/>
    <n v="12000"/>
    <n v="1200"/>
    <n v="10800"/>
    <n v="1800"/>
    <s v="East-C1029-1647"/>
    <s v="Regular"/>
    <s v="Poor"/>
    <n v="4"/>
    <x v="5"/>
    <n v="0.08"/>
    <n v="51289.599999999999"/>
    <n v="3252.0918983370234"/>
    <n v="619"/>
  </r>
  <r>
    <n v="1648"/>
    <s v="13-06-2025"/>
    <x v="2"/>
    <x v="2"/>
    <s v="C1004"/>
    <s v="P105"/>
    <n v="1"/>
    <n v="2000"/>
    <n v="8"/>
    <n v="238566"/>
    <n v="9"/>
    <n v="4"/>
    <s v="Headset"/>
    <x v="0"/>
    <n v="1500"/>
    <n v="2000"/>
    <n v="160"/>
    <n v="1840"/>
    <n v="340"/>
    <s v="South-C1004-1648"/>
    <s v="Regular"/>
    <s v="Poor"/>
    <n v="2"/>
    <x v="3"/>
    <n v="0.04"/>
    <n v="85883.76"/>
    <n v="5936.7250189799888"/>
    <n v="937"/>
  </r>
  <r>
    <n v="1649"/>
    <s v="13-02-2025"/>
    <x v="0"/>
    <x v="1"/>
    <s v="C1012"/>
    <s v="P110"/>
    <n v="5"/>
    <n v="950"/>
    <n v="2"/>
    <n v="476586"/>
    <n v="7"/>
    <n v="2"/>
    <s v="Webcam"/>
    <x v="0"/>
    <n v="700"/>
    <n v="4750"/>
    <n v="95"/>
    <n v="4655"/>
    <n v="1155"/>
    <s v="West-C1012-1649"/>
    <s v="Regular"/>
    <s v="Poor"/>
    <n v="1"/>
    <x v="9"/>
    <n v="0.02"/>
    <n v="66722.039999999994"/>
    <n v="21337.984384451662"/>
    <n v="800"/>
  </r>
  <r>
    <n v="1650"/>
    <s v="07-11-2025"/>
    <x v="0"/>
    <x v="4"/>
    <s v="C1023"/>
    <s v="P103"/>
    <n v="7"/>
    <n v="1500"/>
    <n v="12"/>
    <n v="473404"/>
    <n v="8"/>
    <n v="3"/>
    <s v="Keyboard"/>
    <x v="0"/>
    <n v="1200"/>
    <n v="10500"/>
    <n v="1260"/>
    <n v="9240"/>
    <n v="840"/>
    <s v="West-C1023-1650"/>
    <s v="Regular"/>
    <s v="Poor"/>
    <n v="4"/>
    <x v="5"/>
    <n v="0.08"/>
    <n v="113616.96000000001"/>
    <n v="14834.760754903211"/>
    <n v="655"/>
  </r>
  <r>
    <n v="1651"/>
    <s v="06-05-2025"/>
    <x v="2"/>
    <x v="7"/>
    <s v="C1008"/>
    <s v="P110"/>
    <n v="3"/>
    <n v="950"/>
    <n v="2"/>
    <n v="263795"/>
    <n v="7"/>
    <n v="2"/>
    <s v="Webcam"/>
    <x v="0"/>
    <n v="700"/>
    <n v="2850"/>
    <n v="57"/>
    <n v="2793"/>
    <n v="693"/>
    <s v="South-C1008-1651"/>
    <s v="Regular"/>
    <s v="Poor"/>
    <n v="2"/>
    <x v="4"/>
    <n v="0.04"/>
    <n v="36931.300000000003"/>
    <n v="11810.782504514245"/>
    <n v="891"/>
  </r>
  <r>
    <n v="1652"/>
    <s v="05-07-2025"/>
    <x v="2"/>
    <x v="2"/>
    <s v="C1047"/>
    <s v="P110"/>
    <n v="6"/>
    <n v="950"/>
    <n v="0"/>
    <n v="258815"/>
    <n v="8"/>
    <n v="1"/>
    <s v="Webcam"/>
    <x v="0"/>
    <n v="700"/>
    <n v="5700"/>
    <n v="0"/>
    <n v="5700"/>
    <n v="1500"/>
    <s v="South-C1047-1652"/>
    <s v="Regular"/>
    <s v="Poor"/>
    <n v="3"/>
    <x v="8"/>
    <n v="0.06"/>
    <n v="20705.2"/>
    <n v="22513.910273743251"/>
    <n v="767"/>
  </r>
  <r>
    <n v="1653"/>
    <s v="01-10-2025"/>
    <x v="2"/>
    <x v="7"/>
    <s v="C1030"/>
    <s v="P103"/>
    <n v="5"/>
    <n v="1500"/>
    <n v="0"/>
    <n v="299730"/>
    <n v="12"/>
    <n v="1"/>
    <s v="Keyboard"/>
    <x v="0"/>
    <n v="1200"/>
    <n v="7500"/>
    <n v="0"/>
    <n v="7500"/>
    <n v="1500"/>
    <s v="South-C1030-1653"/>
    <s v="Regular"/>
    <s v="Poor"/>
    <n v="4"/>
    <x v="6"/>
    <n v="0.08"/>
    <n v="35967.599999999999"/>
    <n v="26630.647430559355"/>
    <n v="705"/>
  </r>
  <r>
    <n v="1654"/>
    <s v="21-06-2025"/>
    <x v="2"/>
    <x v="5"/>
    <s v="C1007"/>
    <s v="P103"/>
    <n v="10"/>
    <n v="1500"/>
    <n v="0"/>
    <n v="278716"/>
    <n v="11"/>
    <n v="5"/>
    <s v="Keyboard"/>
    <x v="0"/>
    <n v="1200"/>
    <n v="15000"/>
    <n v="0"/>
    <n v="15000"/>
    <n v="3000"/>
    <s v="South-C1007-1654"/>
    <s v="Regular"/>
    <s v="Poor"/>
    <n v="2"/>
    <x v="3"/>
    <n v="0.04"/>
    <n v="153293.79999999999"/>
    <n v="6059.9611891148525"/>
    <n v="526"/>
  </r>
  <r>
    <n v="1655"/>
    <s v="23-08-2025"/>
    <x v="1"/>
    <x v="0"/>
    <s v="C1005"/>
    <s v="P103"/>
    <n v="3"/>
    <n v="1500"/>
    <n v="10"/>
    <n v="484444"/>
    <n v="12"/>
    <n v="3"/>
    <s v="Keyboard"/>
    <x v="0"/>
    <n v="1200"/>
    <n v="4500"/>
    <n v="450"/>
    <n v="4050"/>
    <n v="450"/>
    <s v="North-C1005-1655"/>
    <s v="Regular"/>
    <s v="Poor"/>
    <n v="3"/>
    <x v="7"/>
    <n v="0.06"/>
    <n v="174399.84"/>
    <n v="16090.473102976883"/>
    <n v="832"/>
  </r>
  <r>
    <n v="1656"/>
    <s v="04-06-2025"/>
    <x v="3"/>
    <x v="3"/>
    <s v="C1049"/>
    <s v="P107"/>
    <n v="6"/>
    <n v="35000"/>
    <n v="8"/>
    <n v="223656"/>
    <n v="9"/>
    <n v="1"/>
    <s v="Tablet"/>
    <x v="1"/>
    <n v="29000"/>
    <n v="210000"/>
    <n v="16800"/>
    <n v="193200"/>
    <n v="19200"/>
    <s v="East-C1049-1656"/>
    <s v="High Value"/>
    <s v="Excellent"/>
    <n v="2"/>
    <x v="3"/>
    <n v="0.04"/>
    <n v="20129.04"/>
    <n v="19559.047488453547"/>
    <n v="111"/>
  </r>
  <r>
    <n v="1657"/>
    <s v="14-04-2025"/>
    <x v="3"/>
    <x v="4"/>
    <s v="C1003"/>
    <s v="P101"/>
    <n v="7"/>
    <n v="55000"/>
    <n v="5"/>
    <n v="83899"/>
    <n v="10"/>
    <n v="3"/>
    <s v="Laptop"/>
    <x v="1"/>
    <n v="45000"/>
    <n v="385000"/>
    <n v="19250"/>
    <n v="365750"/>
    <n v="50750"/>
    <s v="East-C1003-1657"/>
    <s v="High Value"/>
    <s v="Excellent"/>
    <n v="2"/>
    <x v="11"/>
    <n v="0.04"/>
    <n v="25169.7"/>
    <n v="2707.1847383757713"/>
    <n v="30"/>
  </r>
  <r>
    <n v="1658"/>
    <s v="04-06-2025"/>
    <x v="2"/>
    <x v="5"/>
    <s v="C1028"/>
    <s v="P103"/>
    <n v="4"/>
    <n v="1500"/>
    <n v="2"/>
    <n v="205269"/>
    <n v="10"/>
    <n v="2"/>
    <s v="Keyboard"/>
    <x v="0"/>
    <n v="1200"/>
    <n v="6000"/>
    <n v="120"/>
    <n v="5880"/>
    <n v="1080"/>
    <s v="South-C1028-1658"/>
    <s v="Regular"/>
    <s v="Poor"/>
    <n v="2"/>
    <x v="3"/>
    <n v="0.04"/>
    <n v="41053.800000000003"/>
    <n v="9472.1228843756762"/>
    <n v="763"/>
  </r>
  <r>
    <n v="1659"/>
    <s v="06-11-2025"/>
    <x v="3"/>
    <x v="2"/>
    <s v="C1020"/>
    <s v="P103"/>
    <n v="3"/>
    <n v="1500"/>
    <n v="0"/>
    <n v="444160"/>
    <n v="11"/>
    <n v="4"/>
    <s v="Keyboard"/>
    <x v="0"/>
    <n v="1200"/>
    <n v="4500"/>
    <n v="0"/>
    <n v="4500"/>
    <n v="900"/>
    <s v="East-C1020-1659"/>
    <s v="Regular"/>
    <s v="Poor"/>
    <n v="4"/>
    <x v="5"/>
    <n v="0.08"/>
    <n v="195430.39999999999"/>
    <n v="11479.547323102881"/>
    <n v="805"/>
  </r>
  <r>
    <n v="1660"/>
    <s v="10-05-2025"/>
    <x v="2"/>
    <x v="5"/>
    <s v="C1005"/>
    <s v="P105"/>
    <n v="4"/>
    <n v="2000"/>
    <n v="10"/>
    <n v="308056"/>
    <n v="8"/>
    <n v="2"/>
    <s v="Headset"/>
    <x v="0"/>
    <n v="1500"/>
    <n v="8000"/>
    <n v="800"/>
    <n v="7200"/>
    <n v="1200"/>
    <s v="South-C1005-1660"/>
    <s v="Regular"/>
    <s v="Poor"/>
    <n v="2"/>
    <x v="4"/>
    <n v="0.04"/>
    <n v="49288.959999999999"/>
    <n v="13932.538496826266"/>
    <n v="716"/>
  </r>
  <r>
    <n v="1661"/>
    <s v="17-06-2025"/>
    <x v="2"/>
    <x v="2"/>
    <s v="C1017"/>
    <s v="P108"/>
    <n v="5"/>
    <n v="2500"/>
    <n v="15"/>
    <n v="198676"/>
    <n v="10"/>
    <n v="3"/>
    <s v="Speaker"/>
    <x v="0"/>
    <n v="1800"/>
    <n v="12500"/>
    <n v="1875"/>
    <n v="10625"/>
    <n v="1625"/>
    <s v="South-C1017-1661"/>
    <s v="Regular"/>
    <s v="Poor"/>
    <n v="2"/>
    <x v="3"/>
    <n v="0.04"/>
    <n v="59602.8"/>
    <n v="6410.715682922857"/>
    <n v="626"/>
  </r>
  <r>
    <n v="1662"/>
    <s v="03-01-2025"/>
    <x v="1"/>
    <x v="3"/>
    <s v="C1043"/>
    <s v="P107"/>
    <n v="1"/>
    <n v="35000"/>
    <n v="15"/>
    <n v="144879"/>
    <n v="8"/>
    <n v="3"/>
    <s v="Tablet"/>
    <x v="1"/>
    <n v="29000"/>
    <n v="35000"/>
    <n v="5250"/>
    <n v="29750"/>
    <n v="750"/>
    <s v="North-C1043-1662"/>
    <s v="Regular"/>
    <s v="Average"/>
    <n v="1"/>
    <x v="2"/>
    <n v="0.02"/>
    <n v="34770.959999999999"/>
    <n v="4539.9812916866395"/>
    <n v="380"/>
  </r>
  <r>
    <n v="1663"/>
    <s v="09-07-2025"/>
    <x v="0"/>
    <x v="7"/>
    <s v="C1050"/>
    <s v="P103"/>
    <n v="8"/>
    <n v="1500"/>
    <n v="10"/>
    <n v="133395"/>
    <n v="11"/>
    <n v="2"/>
    <s v="Keyboard"/>
    <x v="0"/>
    <n v="1200"/>
    <n v="12000"/>
    <n v="1200"/>
    <n v="10800"/>
    <n v="1200"/>
    <s v="West-C1050-1663"/>
    <s v="Regular"/>
    <s v="Poor"/>
    <n v="3"/>
    <x v="8"/>
    <n v="0.06"/>
    <n v="29346.9"/>
    <n v="6217.2525762254609"/>
    <n v="619"/>
  </r>
  <r>
    <n v="1664"/>
    <s v="26-08-2025"/>
    <x v="1"/>
    <x v="3"/>
    <s v="C1050"/>
    <s v="P105"/>
    <n v="1"/>
    <n v="2000"/>
    <n v="5"/>
    <n v="473720"/>
    <n v="11"/>
    <n v="3"/>
    <s v="Headset"/>
    <x v="0"/>
    <n v="1500"/>
    <n v="2000"/>
    <n v="100"/>
    <n v="1900"/>
    <n v="400"/>
    <s v="North-C1050-1664"/>
    <s v="Regular"/>
    <s v="Poor"/>
    <n v="3"/>
    <x v="7"/>
    <n v="0.06"/>
    <n v="156327.6"/>
    <n v="15508.985072666208"/>
    <n v="934"/>
  </r>
  <r>
    <n v="1665"/>
    <s v="08-05-2025"/>
    <x v="1"/>
    <x v="5"/>
    <s v="C1050"/>
    <s v="P108"/>
    <n v="4"/>
    <n v="2500"/>
    <n v="2"/>
    <n v="464216"/>
    <n v="8"/>
    <n v="5"/>
    <s v="Speaker"/>
    <x v="0"/>
    <n v="1800"/>
    <n v="10000"/>
    <n v="200"/>
    <n v="9800"/>
    <n v="2600"/>
    <s v="North-C1050-1665"/>
    <s v="Regular"/>
    <s v="Poor"/>
    <n v="2"/>
    <x v="4"/>
    <n v="0.04"/>
    <n v="185686.39999999999"/>
    <n v="9412.6266509902453"/>
    <n v="645"/>
  </r>
  <r>
    <n v="1666"/>
    <s v="05-01-2025"/>
    <x v="0"/>
    <x v="6"/>
    <s v="C1016"/>
    <s v="P105"/>
    <n v="9"/>
    <n v="2000"/>
    <n v="2"/>
    <n v="342016"/>
    <n v="10"/>
    <n v="1"/>
    <s v="Headset"/>
    <x v="0"/>
    <n v="1500"/>
    <n v="18000"/>
    <n v="360"/>
    <n v="17640"/>
    <n v="4140"/>
    <s v="West-C1016-1666"/>
    <s v="Regular"/>
    <s v="Poor"/>
    <n v="1"/>
    <x v="2"/>
    <n v="0.02"/>
    <n v="34201.599999999999"/>
    <n v="30068.640086858959"/>
    <n v="487"/>
  </r>
  <r>
    <n v="1667"/>
    <s v="30-03-2025"/>
    <x v="2"/>
    <x v="3"/>
    <s v="C1007"/>
    <s v="P109"/>
    <n v="8"/>
    <n v="7000"/>
    <n v="12"/>
    <n v="370201"/>
    <n v="8"/>
    <n v="3"/>
    <s v="Router"/>
    <x v="1"/>
    <n v="5000"/>
    <n v="56000"/>
    <n v="6720"/>
    <n v="49280"/>
    <n v="9280"/>
    <s v="South-C1007-1667"/>
    <s v="Regular"/>
    <s v="Average"/>
    <n v="1"/>
    <x v="10"/>
    <n v="0.02"/>
    <n v="88848.24"/>
    <n v="11600.753830187161"/>
    <n v="297"/>
  </r>
  <r>
    <n v="1668"/>
    <s v="31-12-2025"/>
    <x v="0"/>
    <x v="0"/>
    <s v="C1046"/>
    <s v="P106"/>
    <n v="2"/>
    <n v="8000"/>
    <n v="10"/>
    <n v="100812"/>
    <n v="12"/>
    <n v="5"/>
    <s v="Printer"/>
    <x v="1"/>
    <n v="6500"/>
    <n v="16000"/>
    <n v="1600"/>
    <n v="14400"/>
    <n v="1400"/>
    <s v="West-C1046-1668"/>
    <s v="Regular"/>
    <s v="Poor"/>
    <n v="4"/>
    <x v="0"/>
    <n v="0.08"/>
    <n v="60487.199999999997"/>
    <n v="2242.5072600103176"/>
    <n v="534"/>
  </r>
  <r>
    <n v="1669"/>
    <s v="13-09-2025"/>
    <x v="2"/>
    <x v="6"/>
    <s v="C1026"/>
    <s v="P109"/>
    <n v="7"/>
    <n v="7000"/>
    <n v="0"/>
    <n v="457708"/>
    <n v="10"/>
    <n v="5"/>
    <s v="Router"/>
    <x v="1"/>
    <n v="5000"/>
    <n v="49000"/>
    <n v="0"/>
    <n v="49000"/>
    <n v="14000"/>
    <s v="South-C1026-1669"/>
    <s v="Regular"/>
    <s v="Average"/>
    <n v="3"/>
    <x v="1"/>
    <n v="0.06"/>
    <n v="228854"/>
    <n v="9724.94234070518"/>
    <n v="302"/>
  </r>
  <r>
    <n v="1670"/>
    <s v="31-07-2025"/>
    <x v="3"/>
    <x v="4"/>
    <s v="C1047"/>
    <s v="P106"/>
    <n v="5"/>
    <n v="8000"/>
    <n v="10"/>
    <n v="142554"/>
    <n v="11"/>
    <n v="3"/>
    <s v="Printer"/>
    <x v="1"/>
    <n v="6500"/>
    <n v="40000"/>
    <n v="4000"/>
    <n v="36000"/>
    <n v="3500"/>
    <s v="East-C1047-1670"/>
    <s v="Regular"/>
    <s v="Average"/>
    <n v="3"/>
    <x v="8"/>
    <n v="0.06"/>
    <n v="47042.82"/>
    <n v="4667.0350798971085"/>
    <n v="344"/>
  </r>
  <r>
    <n v="1671"/>
    <s v="06-06-2025"/>
    <x v="0"/>
    <x v="5"/>
    <s v="C1046"/>
    <s v="P105"/>
    <n v="7"/>
    <n v="2000"/>
    <n v="15"/>
    <n v="57898"/>
    <n v="10"/>
    <n v="5"/>
    <s v="Headset"/>
    <x v="0"/>
    <n v="1500"/>
    <n v="14000"/>
    <n v="2100"/>
    <n v="11900"/>
    <n v="1400"/>
    <s v="West-C1046-1671"/>
    <s v="Regular"/>
    <s v="Poor"/>
    <n v="2"/>
    <x v="3"/>
    <n v="0.04"/>
    <n v="28949"/>
    <n v="1230.1613946930108"/>
    <n v="592"/>
  </r>
  <r>
    <n v="1672"/>
    <s v="23-04-2025"/>
    <x v="1"/>
    <x v="6"/>
    <s v="C1046"/>
    <s v="P103"/>
    <n v="5"/>
    <n v="1500"/>
    <n v="15"/>
    <n v="468092"/>
    <n v="12"/>
    <n v="5"/>
    <s v="Keyboard"/>
    <x v="0"/>
    <n v="1200"/>
    <n v="7500"/>
    <n v="1125"/>
    <n v="6375"/>
    <n v="375"/>
    <s v="North-C1046-1672"/>
    <s v="Regular"/>
    <s v="Poor"/>
    <n v="2"/>
    <x v="11"/>
    <n v="0.04"/>
    <n v="280855.2"/>
    <n v="10412.44800572104"/>
    <n v="748"/>
  </r>
  <r>
    <n v="1673"/>
    <s v="21-02-2025"/>
    <x v="1"/>
    <x v="2"/>
    <s v="C1041"/>
    <s v="P107"/>
    <n v="2"/>
    <n v="35000"/>
    <n v="2"/>
    <n v="465216"/>
    <n v="9"/>
    <n v="1"/>
    <s v="Tablet"/>
    <x v="1"/>
    <n v="29000"/>
    <n v="70000"/>
    <n v="1400"/>
    <n v="68600"/>
    <n v="10600"/>
    <s v="North-C1041-1673"/>
    <s v="High Value"/>
    <s v="Good"/>
    <n v="1"/>
    <x v="9"/>
    <n v="0.02"/>
    <n v="41869.440000000002"/>
    <n v="40683.826216995767"/>
    <n v="221"/>
  </r>
  <r>
    <n v="1674"/>
    <s v="31-12-2025"/>
    <x v="1"/>
    <x v="5"/>
    <s v="C1039"/>
    <s v="P101"/>
    <n v="9"/>
    <n v="55000"/>
    <n v="2"/>
    <n v="86773"/>
    <n v="9"/>
    <n v="1"/>
    <s v="Laptop"/>
    <x v="1"/>
    <n v="45000"/>
    <n v="495000"/>
    <n v="9900"/>
    <n v="485100"/>
    <n v="80100"/>
    <s v="North-C1039-1674"/>
    <s v="High Value"/>
    <s v="Excellent"/>
    <n v="4"/>
    <x v="0"/>
    <n v="0.08"/>
    <n v="7809.57"/>
    <n v="7588.4269937563922"/>
    <n v="8"/>
  </r>
  <r>
    <n v="1675"/>
    <s v="11-12-2025"/>
    <x v="1"/>
    <x v="0"/>
    <s v="C1005"/>
    <s v="P101"/>
    <n v="10"/>
    <n v="55000"/>
    <n v="12"/>
    <n v="113413"/>
    <n v="12"/>
    <n v="4"/>
    <s v="Laptop"/>
    <x v="1"/>
    <n v="45000"/>
    <n v="550000"/>
    <n v="66000"/>
    <n v="484000"/>
    <n v="34000"/>
    <s v="North-C1005-1675"/>
    <s v="High Value"/>
    <s v="Excellent"/>
    <n v="4"/>
    <x v="0"/>
    <n v="0.08"/>
    <n v="54438.239999999998"/>
    <n v="2986.5992778412237"/>
    <n v="10"/>
  </r>
  <r>
    <n v="1676"/>
    <s v="29-04-2025"/>
    <x v="3"/>
    <x v="6"/>
    <s v="C1032"/>
    <s v="P105"/>
    <n v="8"/>
    <n v="2000"/>
    <n v="12"/>
    <n v="153572"/>
    <n v="7"/>
    <n v="4"/>
    <s v="Headset"/>
    <x v="0"/>
    <n v="1500"/>
    <n v="16000"/>
    <n v="1920"/>
    <n v="14080"/>
    <n v="2080"/>
    <s v="East-C1032-1676"/>
    <s v="Regular"/>
    <s v="Poor"/>
    <n v="2"/>
    <x v="11"/>
    <n v="0.04"/>
    <n v="43000.160000000003"/>
    <n v="3677.4726853006819"/>
    <n v="537"/>
  </r>
  <r>
    <n v="1677"/>
    <s v="28-10-2025"/>
    <x v="3"/>
    <x v="4"/>
    <s v="C1042"/>
    <s v="P106"/>
    <n v="4"/>
    <n v="8000"/>
    <n v="2"/>
    <n v="245179"/>
    <n v="12"/>
    <n v="5"/>
    <s v="Printer"/>
    <x v="1"/>
    <n v="6500"/>
    <n v="32000"/>
    <n v="640"/>
    <n v="31360"/>
    <n v="5360"/>
    <s v="East-C1042-1677"/>
    <s v="Regular"/>
    <s v="Average"/>
    <n v="4"/>
    <x v="6"/>
    <n v="0.08"/>
    <n v="147107.4"/>
    <n v="5453.8714389365323"/>
    <n v="370"/>
  </r>
  <r>
    <n v="1678"/>
    <s v="14-05-2025"/>
    <x v="0"/>
    <x v="1"/>
    <s v="C1024"/>
    <s v="P107"/>
    <n v="9"/>
    <n v="35000"/>
    <n v="10"/>
    <n v="63099"/>
    <n v="8"/>
    <n v="3"/>
    <s v="Tablet"/>
    <x v="1"/>
    <n v="29000"/>
    <n v="315000"/>
    <n v="31500"/>
    <n v="283500"/>
    <n v="22500"/>
    <s v="West-C1024-1678"/>
    <s v="High Value"/>
    <s v="Excellent"/>
    <n v="2"/>
    <x v="4"/>
    <n v="0.04"/>
    <n v="15143.76"/>
    <n v="1977.293324250825"/>
    <n v="58"/>
  </r>
  <r>
    <n v="1679"/>
    <s v="17-12-2025"/>
    <x v="2"/>
    <x v="7"/>
    <s v="C1018"/>
    <s v="P109"/>
    <n v="1"/>
    <n v="7000"/>
    <n v="5"/>
    <n v="346250"/>
    <n v="11"/>
    <n v="2"/>
    <s v="Router"/>
    <x v="1"/>
    <n v="5000"/>
    <n v="7000"/>
    <n v="350"/>
    <n v="6650"/>
    <n v="1650"/>
    <s v="South-C1018-1679"/>
    <s v="Regular"/>
    <s v="Poor"/>
    <n v="4"/>
    <x v="0"/>
    <n v="0.08"/>
    <n v="76175"/>
    <n v="16137.963975546803"/>
    <n v="734"/>
  </r>
  <r>
    <n v="1680"/>
    <s v="07-09-2025"/>
    <x v="2"/>
    <x v="6"/>
    <s v="C1024"/>
    <s v="P106"/>
    <n v="5"/>
    <n v="8000"/>
    <n v="8"/>
    <n v="297470"/>
    <n v="11"/>
    <n v="4"/>
    <s v="Printer"/>
    <x v="1"/>
    <n v="6500"/>
    <n v="40000"/>
    <n v="3200"/>
    <n v="36800"/>
    <n v="4300"/>
    <s v="South-C1024-1680"/>
    <s v="Regular"/>
    <s v="Average"/>
    <n v="3"/>
    <x v="1"/>
    <n v="0.06"/>
    <n v="130886.8"/>
    <n v="7688.2676112288682"/>
    <n v="342"/>
  </r>
  <r>
    <n v="1681"/>
    <s v="18-04-2025"/>
    <x v="1"/>
    <x v="3"/>
    <s v="C1041"/>
    <s v="P101"/>
    <n v="5"/>
    <n v="55000"/>
    <n v="0"/>
    <n v="286890"/>
    <n v="8"/>
    <n v="1"/>
    <s v="Laptop"/>
    <x v="1"/>
    <n v="45000"/>
    <n v="275000"/>
    <n v="0"/>
    <n v="275000"/>
    <n v="50000"/>
    <s v="North-C1041-1681"/>
    <s v="High Value"/>
    <s v="Excellent"/>
    <n v="2"/>
    <x v="11"/>
    <n v="0.04"/>
    <n v="22951.200000000001"/>
    <n v="24956.11042031645"/>
    <n v="62"/>
  </r>
  <r>
    <n v="1682"/>
    <s v="17-09-2025"/>
    <x v="0"/>
    <x v="7"/>
    <s v="C1006"/>
    <s v="P106"/>
    <n v="6"/>
    <n v="8000"/>
    <n v="8"/>
    <n v="464880"/>
    <n v="8"/>
    <n v="3"/>
    <s v="Printer"/>
    <x v="1"/>
    <n v="6500"/>
    <n v="48000"/>
    <n v="3840"/>
    <n v="44160"/>
    <n v="5160"/>
    <s v="West-C1006-1682"/>
    <s v="Regular"/>
    <s v="Average"/>
    <n v="3"/>
    <x v="1"/>
    <n v="0.06"/>
    <n v="111571.2"/>
    <n v="14567.649575709975"/>
    <n v="318"/>
  </r>
  <r>
    <n v="1683"/>
    <s v="22-10-2025"/>
    <x v="1"/>
    <x v="1"/>
    <s v="C1027"/>
    <s v="P103"/>
    <n v="5"/>
    <n v="1500"/>
    <n v="8"/>
    <n v="78450"/>
    <n v="10"/>
    <n v="1"/>
    <s v="Keyboard"/>
    <x v="0"/>
    <n v="1200"/>
    <n v="7500"/>
    <n v="600"/>
    <n v="6900"/>
    <n v="900"/>
    <s v="North-C1027-1683"/>
    <s v="Regular"/>
    <s v="Poor"/>
    <n v="4"/>
    <x v="6"/>
    <n v="0.08"/>
    <n v="7845"/>
    <n v="6897.0013531942532"/>
    <n v="724"/>
  </r>
  <r>
    <n v="1684"/>
    <s v="06-11-2025"/>
    <x v="3"/>
    <x v="4"/>
    <s v="C1049"/>
    <s v="P107"/>
    <n v="6"/>
    <n v="35000"/>
    <n v="5"/>
    <n v="437715"/>
    <n v="7"/>
    <n v="2"/>
    <s v="Tablet"/>
    <x v="1"/>
    <n v="29000"/>
    <n v="210000"/>
    <n v="10500"/>
    <n v="199500"/>
    <n v="25500"/>
    <s v="East-C1049-1684"/>
    <s v="High Value"/>
    <s v="Excellent"/>
    <n v="4"/>
    <x v="5"/>
    <n v="0.08"/>
    <n v="61280.1"/>
    <n v="19597.629462133296"/>
    <n v="109"/>
  </r>
  <r>
    <n v="1685"/>
    <s v="23-07-2025"/>
    <x v="1"/>
    <x v="0"/>
    <s v="C1020"/>
    <s v="P105"/>
    <n v="9"/>
    <n v="2000"/>
    <n v="2"/>
    <n v="338042"/>
    <n v="7"/>
    <n v="1"/>
    <s v="Headset"/>
    <x v="0"/>
    <n v="1500"/>
    <n v="18000"/>
    <n v="360"/>
    <n v="17640"/>
    <n v="4140"/>
    <s v="North-C1020-1685"/>
    <s v="Regular"/>
    <s v="Poor"/>
    <n v="3"/>
    <x v="8"/>
    <n v="0.06"/>
    <n v="23662.94"/>
    <n v="29249.674304506785"/>
    <n v="487"/>
  </r>
  <r>
    <n v="1686"/>
    <s v="17-09-2025"/>
    <x v="1"/>
    <x v="6"/>
    <s v="C1002"/>
    <s v="P109"/>
    <n v="1"/>
    <n v="7000"/>
    <n v="0"/>
    <n v="436330"/>
    <n v="11"/>
    <n v="1"/>
    <s v="Router"/>
    <x v="1"/>
    <n v="5000"/>
    <n v="7000"/>
    <n v="0"/>
    <n v="7000"/>
    <n v="2000"/>
    <s v="North-C1002-1686"/>
    <s v="Regular"/>
    <s v="Poor"/>
    <n v="3"/>
    <x v="1"/>
    <n v="0.06"/>
    <n v="47996.3"/>
    <n v="38563.569062731491"/>
    <n v="719"/>
  </r>
  <r>
    <n v="1687"/>
    <s v="06-12-2025"/>
    <x v="0"/>
    <x v="5"/>
    <s v="C1021"/>
    <s v="P110"/>
    <n v="8"/>
    <n v="950"/>
    <n v="2"/>
    <n v="480611"/>
    <n v="9"/>
    <n v="5"/>
    <s v="Webcam"/>
    <x v="0"/>
    <n v="700"/>
    <n v="7600"/>
    <n v="152"/>
    <n v="7448"/>
    <n v="1848"/>
    <s v="West-C1021-1687"/>
    <s v="Regular"/>
    <s v="Poor"/>
    <n v="4"/>
    <x v="0"/>
    <n v="0.08"/>
    <n v="216274.95"/>
    <n v="9976.6938636932264"/>
    <n v="708"/>
  </r>
  <r>
    <n v="1688"/>
    <s v="29-06-2025"/>
    <x v="0"/>
    <x v="0"/>
    <s v="C1015"/>
    <s v="P102"/>
    <n v="4"/>
    <n v="500"/>
    <n v="10"/>
    <n v="436716"/>
    <n v="11"/>
    <n v="3"/>
    <s v="Mouse"/>
    <x v="0"/>
    <n v="350"/>
    <n v="2000"/>
    <n v="200"/>
    <n v="1800"/>
    <n v="400"/>
    <s v="West-C1015-1688"/>
    <s v="Regular"/>
    <s v="Poor"/>
    <n v="2"/>
    <x v="3"/>
    <n v="0.04"/>
    <n v="144116.28"/>
    <n v="14297.521584468663"/>
    <n v="940"/>
  </r>
  <r>
    <n v="1689"/>
    <s v="05-09-2025"/>
    <x v="3"/>
    <x v="7"/>
    <s v="C1007"/>
    <s v="P105"/>
    <n v="3"/>
    <n v="2000"/>
    <n v="5"/>
    <n v="477125"/>
    <n v="12"/>
    <n v="3"/>
    <s v="Headset"/>
    <x v="0"/>
    <n v="1500"/>
    <n v="6000"/>
    <n v="300"/>
    <n v="5700"/>
    <n v="1200"/>
    <s v="East-C1007-1689"/>
    <s v="Regular"/>
    <s v="Poor"/>
    <n v="3"/>
    <x v="1"/>
    <n v="0.06"/>
    <n v="171765"/>
    <n v="15847.377569456625"/>
    <n v="767"/>
  </r>
  <r>
    <n v="1690"/>
    <s v="13-06-2025"/>
    <x v="3"/>
    <x v="2"/>
    <s v="C1050"/>
    <s v="P110"/>
    <n v="6"/>
    <n v="950"/>
    <n v="15"/>
    <n v="200772"/>
    <n v="12"/>
    <n v="5"/>
    <s v="Webcam"/>
    <x v="0"/>
    <n v="700"/>
    <n v="5700"/>
    <n v="855"/>
    <n v="4845"/>
    <n v="645"/>
    <s v="East-C1050-1690"/>
    <s v="Regular"/>
    <s v="Poor"/>
    <n v="2"/>
    <x v="3"/>
    <n v="0.04"/>
    <n v="120463.2"/>
    <n v="4466.0622505930987"/>
    <n v="794"/>
  </r>
  <r>
    <n v="1691"/>
    <s v="15-10-2025"/>
    <x v="0"/>
    <x v="4"/>
    <s v="C1031"/>
    <s v="P109"/>
    <n v="10"/>
    <n v="7000"/>
    <n v="8"/>
    <n v="160099"/>
    <n v="9"/>
    <n v="4"/>
    <s v="Router"/>
    <x v="1"/>
    <n v="5000"/>
    <n v="70000"/>
    <n v="5600"/>
    <n v="64400"/>
    <n v="14400"/>
    <s v="West-C1031-1691"/>
    <s v="High Value"/>
    <s v="Good"/>
    <n v="4"/>
    <x v="6"/>
    <n v="0.08"/>
    <n v="57635.64"/>
    <n v="3984.0703990244924"/>
    <n v="234"/>
  </r>
  <r>
    <n v="1692"/>
    <s v="07-03-2025"/>
    <x v="0"/>
    <x v="2"/>
    <s v="C1033"/>
    <s v="P102"/>
    <n v="5"/>
    <n v="500"/>
    <n v="5"/>
    <n v="90824"/>
    <n v="7"/>
    <n v="3"/>
    <s v="Mouse"/>
    <x v="0"/>
    <n v="350"/>
    <n v="2500"/>
    <n v="125"/>
    <n v="2375"/>
    <n v="625"/>
    <s v="West-C1033-1692"/>
    <s v="Regular"/>
    <s v="Poor"/>
    <n v="1"/>
    <x v="10"/>
    <n v="0.02"/>
    <n v="19073.04"/>
    <n v="2804.381445700541"/>
    <n v="913"/>
  </r>
  <r>
    <n v="1693"/>
    <s v="17-09-2025"/>
    <x v="1"/>
    <x v="4"/>
    <s v="C1040"/>
    <s v="P103"/>
    <n v="5"/>
    <n v="1500"/>
    <n v="2"/>
    <n v="411779"/>
    <n v="11"/>
    <n v="2"/>
    <s v="Keyboard"/>
    <x v="0"/>
    <n v="1200"/>
    <n v="7500"/>
    <n v="150"/>
    <n v="7350"/>
    <n v="1350"/>
    <s v="North-C1040-1693"/>
    <s v="Regular"/>
    <s v="Poor"/>
    <n v="3"/>
    <x v="1"/>
    <n v="0.06"/>
    <n v="90591.38"/>
    <n v="19192.129004726896"/>
    <n v="714"/>
  </r>
  <r>
    <n v="1694"/>
    <s v="17-03-2025"/>
    <x v="3"/>
    <x v="1"/>
    <s v="C1014"/>
    <s v="P105"/>
    <n v="10"/>
    <n v="2000"/>
    <n v="0"/>
    <n v="77039"/>
    <n v="11"/>
    <n v="5"/>
    <s v="Headset"/>
    <x v="0"/>
    <n v="1500"/>
    <n v="20000"/>
    <n v="0"/>
    <n v="20000"/>
    <n v="5000"/>
    <s v="East-C1014-1694"/>
    <s v="Regular"/>
    <s v="Average"/>
    <n v="1"/>
    <x v="10"/>
    <n v="0.02"/>
    <n v="42371.45"/>
    <n v="1675.0145310933679"/>
    <n v="453"/>
  </r>
  <r>
    <n v="1695"/>
    <s v="24-04-2025"/>
    <x v="0"/>
    <x v="0"/>
    <s v="C1008"/>
    <s v="P102"/>
    <n v="5"/>
    <n v="500"/>
    <n v="2"/>
    <n v="149124"/>
    <n v="10"/>
    <n v="2"/>
    <s v="Mouse"/>
    <x v="0"/>
    <n v="350"/>
    <n v="2500"/>
    <n v="50"/>
    <n v="2450"/>
    <n v="700"/>
    <s v="West-C1008-1695"/>
    <s v="Regular"/>
    <s v="Poor"/>
    <n v="2"/>
    <x v="11"/>
    <n v="0.04"/>
    <n v="29824.799999999999"/>
    <n v="6881.3159951558109"/>
    <n v="908"/>
  </r>
  <r>
    <n v="1696"/>
    <s v="23-11-2025"/>
    <x v="2"/>
    <x v="3"/>
    <s v="C1050"/>
    <s v="P107"/>
    <n v="9"/>
    <n v="35000"/>
    <n v="2"/>
    <n v="215925"/>
    <n v="12"/>
    <n v="1"/>
    <s v="Tablet"/>
    <x v="1"/>
    <n v="29000"/>
    <n v="315000"/>
    <n v="6300"/>
    <n v="308700"/>
    <n v="47700"/>
    <s v="South-C1050-1696"/>
    <s v="High Value"/>
    <s v="Excellent"/>
    <n v="4"/>
    <x v="5"/>
    <n v="0.08"/>
    <n v="25911"/>
    <n v="19184.67469537093"/>
    <n v="50"/>
  </r>
  <r>
    <n v="1697"/>
    <s v="02-04-2025"/>
    <x v="1"/>
    <x v="2"/>
    <s v="C1043"/>
    <s v="P109"/>
    <n v="2"/>
    <n v="7000"/>
    <n v="0"/>
    <n v="312160"/>
    <n v="7"/>
    <n v="5"/>
    <s v="Router"/>
    <x v="1"/>
    <n v="5000"/>
    <n v="14000"/>
    <n v="0"/>
    <n v="14000"/>
    <n v="4000"/>
    <s v="North-C1043-1697"/>
    <s v="Regular"/>
    <s v="Poor"/>
    <n v="2"/>
    <x v="11"/>
    <n v="0.04"/>
    <n v="109256"/>
    <n v="6181.142136355511"/>
    <n v="539"/>
  </r>
  <r>
    <n v="1698"/>
    <s v="20-05-2025"/>
    <x v="2"/>
    <x v="2"/>
    <s v="C1040"/>
    <s v="P106"/>
    <n v="9"/>
    <n v="8000"/>
    <n v="0"/>
    <n v="325993"/>
    <n v="8"/>
    <n v="3"/>
    <s v="Printer"/>
    <x v="1"/>
    <n v="6500"/>
    <n v="72000"/>
    <n v="0"/>
    <n v="72000"/>
    <n v="13500"/>
    <s v="South-C1040-1698"/>
    <s v="High Value"/>
    <s v="Good"/>
    <n v="2"/>
    <x v="4"/>
    <n v="0.04"/>
    <n v="78238.320000000007"/>
    <n v="10215.435785868227"/>
    <n v="210"/>
  </r>
  <r>
    <n v="1699"/>
    <s v="20-08-2025"/>
    <x v="2"/>
    <x v="1"/>
    <s v="C1049"/>
    <s v="P103"/>
    <n v="3"/>
    <n v="1500"/>
    <n v="12"/>
    <n v="283862"/>
    <n v="9"/>
    <n v="2"/>
    <s v="Keyboard"/>
    <x v="0"/>
    <n v="1200"/>
    <n v="4500"/>
    <n v="540"/>
    <n v="3960"/>
    <n v="360"/>
    <s v="South-C1049-1699"/>
    <s v="Regular"/>
    <s v="Poor"/>
    <n v="3"/>
    <x v="7"/>
    <n v="0.06"/>
    <n v="51095.16"/>
    <n v="12968.162312850633"/>
    <n v="840"/>
  </r>
  <r>
    <n v="1700"/>
    <s v="03-03-2025"/>
    <x v="2"/>
    <x v="6"/>
    <s v="C1026"/>
    <s v="P108"/>
    <n v="7"/>
    <n v="2500"/>
    <n v="0"/>
    <n v="356138"/>
    <n v="11"/>
    <n v="1"/>
    <s v="Speaker"/>
    <x v="0"/>
    <n v="1800"/>
    <n v="17500"/>
    <n v="0"/>
    <n v="17500"/>
    <n v="4900"/>
    <s v="South-C1026-1700"/>
    <s v="Regular"/>
    <s v="Poor"/>
    <n v="1"/>
    <x v="10"/>
    <n v="0.02"/>
    <n v="39175.18"/>
    <n v="31476.06710256702"/>
    <n v="494"/>
  </r>
  <r>
    <n v="1701"/>
    <s v="28-06-2025"/>
    <x v="3"/>
    <x v="0"/>
    <s v="C1025"/>
    <s v="P108"/>
    <n v="6"/>
    <n v="2500"/>
    <n v="10"/>
    <n v="141728"/>
    <n v="9"/>
    <n v="3"/>
    <s v="Speaker"/>
    <x v="0"/>
    <n v="1800"/>
    <n v="15000"/>
    <n v="1500"/>
    <n v="13500"/>
    <n v="2700"/>
    <s v="East-C1025-1701"/>
    <s v="Regular"/>
    <s v="Poor"/>
    <n v="2"/>
    <x v="3"/>
    <n v="0.04"/>
    <n v="38266.559999999998"/>
    <n v="4506.9125104280738"/>
    <n v="553"/>
  </r>
  <r>
    <n v="1702"/>
    <s v="14-05-2025"/>
    <x v="2"/>
    <x v="7"/>
    <s v="C1023"/>
    <s v="P107"/>
    <n v="8"/>
    <n v="35000"/>
    <n v="15"/>
    <n v="238105"/>
    <n v="10"/>
    <n v="5"/>
    <s v="Tablet"/>
    <x v="1"/>
    <n v="29000"/>
    <n v="280000"/>
    <n v="42000"/>
    <n v="238000"/>
    <n v="6000"/>
    <s v="South-C1023-1702"/>
    <s v="High Value"/>
    <s v="Excellent"/>
    <n v="2"/>
    <x v="4"/>
    <n v="0.04"/>
    <n v="119052.5"/>
    <n v="5059.0275809765326"/>
    <n v="89"/>
  </r>
  <r>
    <n v="1703"/>
    <s v="23-01-2025"/>
    <x v="2"/>
    <x v="4"/>
    <s v="C1027"/>
    <s v="P102"/>
    <n v="4"/>
    <n v="500"/>
    <n v="0"/>
    <n v="159353"/>
    <n v="7"/>
    <n v="5"/>
    <s v="Mouse"/>
    <x v="0"/>
    <n v="350"/>
    <n v="2000"/>
    <n v="0"/>
    <n v="2000"/>
    <n v="600"/>
    <s v="South-C1027-1703"/>
    <s v="Regular"/>
    <s v="Poor"/>
    <n v="1"/>
    <x v="2"/>
    <n v="0.02"/>
    <n v="55773.55"/>
    <n v="3155.3803910003194"/>
    <n v="926"/>
  </r>
  <r>
    <n v="1704"/>
    <s v="21-06-2025"/>
    <x v="3"/>
    <x v="1"/>
    <s v="C1012"/>
    <s v="P101"/>
    <n v="9"/>
    <n v="55000"/>
    <n v="12"/>
    <n v="431009"/>
    <n v="10"/>
    <n v="4"/>
    <s v="Laptop"/>
    <x v="1"/>
    <n v="45000"/>
    <n v="495000"/>
    <n v="59400"/>
    <n v="435600"/>
    <n v="30600"/>
    <s v="East-C1012-1704"/>
    <s v="High Value"/>
    <s v="Excellent"/>
    <n v="2"/>
    <x v="3"/>
    <n v="0.04"/>
    <n v="172403.6"/>
    <n v="10931.50172362695"/>
    <n v="18"/>
  </r>
  <r>
    <n v="1705"/>
    <s v="24-01-2025"/>
    <x v="2"/>
    <x v="3"/>
    <s v="C1045"/>
    <s v="P102"/>
    <n v="3"/>
    <n v="500"/>
    <n v="12"/>
    <n v="407611"/>
    <n v="7"/>
    <n v="3"/>
    <s v="Mouse"/>
    <x v="0"/>
    <n v="350"/>
    <n v="1500"/>
    <n v="180"/>
    <n v="1320"/>
    <n v="270"/>
    <s v="South-C1045-1705"/>
    <s v="Regular"/>
    <s v="Poor"/>
    <n v="1"/>
    <x v="2"/>
    <n v="0.02"/>
    <n v="85598.31"/>
    <n v="12585.844330391121"/>
    <n v="960"/>
  </r>
  <r>
    <n v="1706"/>
    <s v="31-05-2025"/>
    <x v="0"/>
    <x v="3"/>
    <s v="C1032"/>
    <s v="P110"/>
    <n v="7"/>
    <n v="950"/>
    <n v="12"/>
    <n v="450068"/>
    <n v="8"/>
    <n v="3"/>
    <s v="Webcam"/>
    <x v="0"/>
    <n v="700"/>
    <n v="6650"/>
    <n v="798"/>
    <n v="5852"/>
    <n v="952"/>
    <s v="West-C1032-1706"/>
    <s v="Regular"/>
    <s v="Poor"/>
    <n v="2"/>
    <x v="4"/>
    <n v="0.04"/>
    <n v="108016.32000000001"/>
    <n v="14103.495330495261"/>
    <n v="765"/>
  </r>
  <r>
    <n v="1707"/>
    <s v="24-09-2025"/>
    <x v="0"/>
    <x v="3"/>
    <s v="C1030"/>
    <s v="P104"/>
    <n v="7"/>
    <n v="12000"/>
    <n v="12"/>
    <n v="376787"/>
    <n v="7"/>
    <n v="2"/>
    <s v="Monitor"/>
    <x v="1"/>
    <n v="9000"/>
    <n v="84000"/>
    <n v="10080"/>
    <n v="73920"/>
    <n v="10920"/>
    <s v="West-C1030-1707"/>
    <s v="High Value"/>
    <s v="Good"/>
    <n v="3"/>
    <x v="1"/>
    <n v="0.06"/>
    <n v="52750.18"/>
    <n v="16869.725762536851"/>
    <n v="202"/>
  </r>
  <r>
    <n v="1708"/>
    <s v="27-07-2025"/>
    <x v="2"/>
    <x v="1"/>
    <s v="C1029"/>
    <s v="P105"/>
    <n v="1"/>
    <n v="2000"/>
    <n v="0"/>
    <n v="469831"/>
    <n v="8"/>
    <n v="3"/>
    <s v="Headset"/>
    <x v="0"/>
    <n v="1500"/>
    <n v="2000"/>
    <n v="0"/>
    <n v="2000"/>
    <n v="500"/>
    <s v="South-C1029-1708"/>
    <s v="Regular"/>
    <s v="Poor"/>
    <n v="3"/>
    <x v="8"/>
    <n v="0.06"/>
    <n v="112759.44"/>
    <n v="14722.795921109519"/>
    <n v="926"/>
  </r>
  <r>
    <n v="1709"/>
    <s v="06-12-2025"/>
    <x v="1"/>
    <x v="4"/>
    <s v="C1033"/>
    <s v="P103"/>
    <n v="8"/>
    <n v="1500"/>
    <n v="0"/>
    <n v="246442"/>
    <n v="9"/>
    <n v="3"/>
    <s v="Keyboard"/>
    <x v="0"/>
    <n v="1200"/>
    <n v="12000"/>
    <n v="0"/>
    <n v="12000"/>
    <n v="2400"/>
    <s v="North-C1033-1709"/>
    <s v="Regular"/>
    <s v="Poor"/>
    <n v="4"/>
    <x v="0"/>
    <n v="0.08"/>
    <n v="66539.34"/>
    <n v="7836.7897161811024"/>
    <n v="588"/>
  </r>
  <r>
    <n v="1710"/>
    <s v="18-04-2025"/>
    <x v="2"/>
    <x v="6"/>
    <s v="C1033"/>
    <s v="P109"/>
    <n v="1"/>
    <n v="7000"/>
    <n v="10"/>
    <n v="56379"/>
    <n v="12"/>
    <n v="2"/>
    <s v="Router"/>
    <x v="1"/>
    <n v="5000"/>
    <n v="7000"/>
    <n v="700"/>
    <n v="6300"/>
    <n v="1300"/>
    <s v="South-C1033-1710"/>
    <s v="Regular"/>
    <s v="Poor"/>
    <n v="2"/>
    <x v="11"/>
    <n v="0.04"/>
    <n v="13530.96"/>
    <n v="2653.9552904754405"/>
    <n v="755"/>
  </r>
  <r>
    <n v="1711"/>
    <s v="26-11-2025"/>
    <x v="0"/>
    <x v="7"/>
    <s v="C1046"/>
    <s v="P107"/>
    <n v="7"/>
    <n v="35000"/>
    <n v="12"/>
    <n v="150561"/>
    <n v="8"/>
    <n v="5"/>
    <s v="Tablet"/>
    <x v="1"/>
    <n v="29000"/>
    <n v="245000"/>
    <n v="29400"/>
    <n v="215600"/>
    <n v="12600"/>
    <s v="West-C1046-1711"/>
    <s v="High Value"/>
    <s v="Excellent"/>
    <n v="4"/>
    <x v="5"/>
    <n v="0.08"/>
    <n v="60224.4"/>
    <n v="3052.8342004578521"/>
    <n v="98"/>
  </r>
  <r>
    <n v="1712"/>
    <s v="10-09-2025"/>
    <x v="1"/>
    <x v="0"/>
    <s v="C1011"/>
    <s v="P102"/>
    <n v="6"/>
    <n v="500"/>
    <n v="10"/>
    <n v="138852"/>
    <n v="10"/>
    <n v="3"/>
    <s v="Mouse"/>
    <x v="0"/>
    <n v="350"/>
    <n v="3000"/>
    <n v="300"/>
    <n v="2700"/>
    <n v="600"/>
    <s v="North-C1011-1712"/>
    <s v="Regular"/>
    <s v="Poor"/>
    <n v="3"/>
    <x v="1"/>
    <n v="0.06"/>
    <n v="41655.599999999999"/>
    <n v="4480.3634762387228"/>
    <n v="898"/>
  </r>
  <r>
    <n v="1713"/>
    <s v="16-06-2025"/>
    <x v="1"/>
    <x v="0"/>
    <s v="C1038"/>
    <s v="P101"/>
    <n v="2"/>
    <n v="55000"/>
    <n v="10"/>
    <n v="230956"/>
    <n v="12"/>
    <n v="5"/>
    <s v="Laptop"/>
    <x v="1"/>
    <n v="45000"/>
    <n v="110000"/>
    <n v="11000"/>
    <n v="99000"/>
    <n v="9000"/>
    <s v="North-C1038-1713"/>
    <s v="High Value"/>
    <s v="Good"/>
    <n v="2"/>
    <x v="3"/>
    <n v="0.04"/>
    <n v="138573.6"/>
    <n v="5137.4886595141734"/>
    <n v="165"/>
  </r>
  <r>
    <n v="1714"/>
    <s v="16-03-2025"/>
    <x v="2"/>
    <x v="4"/>
    <s v="C1004"/>
    <s v="P104"/>
    <n v="9"/>
    <n v="12000"/>
    <n v="2"/>
    <n v="426532"/>
    <n v="8"/>
    <n v="2"/>
    <s v="Monitor"/>
    <x v="1"/>
    <n v="9000"/>
    <n v="108000"/>
    <n v="2160"/>
    <n v="105840"/>
    <n v="24840"/>
    <s v="South-C1004-1714"/>
    <s v="High Value"/>
    <s v="Excellent"/>
    <n v="1"/>
    <x v="10"/>
    <n v="0.02"/>
    <n v="68245.119999999995"/>
    <n v="19290.88707938914"/>
    <n v="158"/>
  </r>
  <r>
    <n v="1715"/>
    <s v="18-09-2025"/>
    <x v="3"/>
    <x v="2"/>
    <s v="C1031"/>
    <s v="P103"/>
    <n v="2"/>
    <n v="1500"/>
    <n v="5"/>
    <n v="415087"/>
    <n v="8"/>
    <n v="3"/>
    <s v="Keyboard"/>
    <x v="0"/>
    <n v="1200"/>
    <n v="3000"/>
    <n v="150"/>
    <n v="2850"/>
    <n v="450"/>
    <s v="East-C1031-1715"/>
    <s v="Regular"/>
    <s v="Poor"/>
    <n v="3"/>
    <x v="1"/>
    <n v="0.06"/>
    <n v="99620.88"/>
    <n v="13007.317930288948"/>
    <n v="887"/>
  </r>
  <r>
    <n v="1716"/>
    <s v="27-09-2025"/>
    <x v="3"/>
    <x v="0"/>
    <s v="C1034"/>
    <s v="P106"/>
    <n v="2"/>
    <n v="8000"/>
    <n v="5"/>
    <n v="478444"/>
    <n v="9"/>
    <n v="4"/>
    <s v="Printer"/>
    <x v="1"/>
    <n v="6500"/>
    <n v="16000"/>
    <n v="800"/>
    <n v="15200"/>
    <n v="2200"/>
    <s v="East-C1034-1716"/>
    <s v="Regular"/>
    <s v="Poor"/>
    <n v="3"/>
    <x v="1"/>
    <n v="0.06"/>
    <n v="172239.84"/>
    <n v="11906.099213554578"/>
    <n v="521"/>
  </r>
  <r>
    <n v="1717"/>
    <s v="11-03-2025"/>
    <x v="0"/>
    <x v="0"/>
    <s v="C1011"/>
    <s v="P110"/>
    <n v="5"/>
    <n v="950"/>
    <n v="8"/>
    <n v="64376"/>
    <n v="8"/>
    <n v="1"/>
    <s v="Webcam"/>
    <x v="0"/>
    <n v="700"/>
    <n v="4750"/>
    <n v="380"/>
    <n v="4370"/>
    <n v="870"/>
    <s v="West-C1011-1717"/>
    <s v="Regular"/>
    <s v="Poor"/>
    <n v="1"/>
    <x v="10"/>
    <n v="0.02"/>
    <n v="5150.08"/>
    <n v="5599.9671108030661"/>
    <n v="816"/>
  </r>
  <r>
    <n v="1718"/>
    <s v="20-11-2025"/>
    <x v="1"/>
    <x v="4"/>
    <s v="C1028"/>
    <s v="P104"/>
    <n v="6"/>
    <n v="12000"/>
    <n v="2"/>
    <n v="493260"/>
    <n v="12"/>
    <n v="4"/>
    <s v="Monitor"/>
    <x v="1"/>
    <n v="9000"/>
    <n v="72000"/>
    <n v="1440"/>
    <n v="70560"/>
    <n v="16560"/>
    <s v="North-C1028-1718"/>
    <s v="High Value"/>
    <s v="Good"/>
    <n v="4"/>
    <x v="5"/>
    <n v="0.08"/>
    <n v="236764.79999999999"/>
    <n v="12989.427665152689"/>
    <n v="214"/>
  </r>
  <r>
    <n v="1719"/>
    <s v="08-07-2025"/>
    <x v="3"/>
    <x v="2"/>
    <s v="C1012"/>
    <s v="P107"/>
    <n v="1"/>
    <n v="35000"/>
    <n v="15"/>
    <n v="115245"/>
    <n v="11"/>
    <n v="4"/>
    <s v="Tablet"/>
    <x v="1"/>
    <n v="29000"/>
    <n v="35000"/>
    <n v="5250"/>
    <n v="29750"/>
    <n v="750"/>
    <s v="East-C1012-1719"/>
    <s v="Regular"/>
    <s v="Average"/>
    <n v="3"/>
    <x v="8"/>
    <n v="0.06"/>
    <n v="50707.8"/>
    <n v="2978.5672533568795"/>
    <n v="380"/>
  </r>
  <r>
    <n v="1720"/>
    <s v="10-08-2025"/>
    <x v="3"/>
    <x v="7"/>
    <s v="C1031"/>
    <s v="P108"/>
    <n v="4"/>
    <n v="2500"/>
    <n v="0"/>
    <n v="448886"/>
    <n v="12"/>
    <n v="5"/>
    <s v="Speaker"/>
    <x v="0"/>
    <n v="1800"/>
    <n v="10000"/>
    <n v="0"/>
    <n v="10000"/>
    <n v="2800"/>
    <s v="East-C1031-1720"/>
    <s v="Regular"/>
    <s v="Poor"/>
    <n v="3"/>
    <x v="7"/>
    <n v="0.06"/>
    <n v="269331.59999999998"/>
    <n v="9985.2211434848159"/>
    <n v="636"/>
  </r>
  <r>
    <n v="1721"/>
    <s v="16-06-2025"/>
    <x v="2"/>
    <x v="5"/>
    <s v="C1046"/>
    <s v="P105"/>
    <n v="7"/>
    <n v="2000"/>
    <n v="10"/>
    <n v="250207"/>
    <n v="10"/>
    <n v="1"/>
    <s v="Headset"/>
    <x v="0"/>
    <n v="1500"/>
    <n v="14000"/>
    <n v="1400"/>
    <n v="12600"/>
    <n v="2100"/>
    <s v="South-C1046-1721"/>
    <s v="Regular"/>
    <s v="Poor"/>
    <n v="2"/>
    <x v="3"/>
    <n v="0.04"/>
    <n v="25020.7"/>
    <n v="21997.17039615901"/>
    <n v="575"/>
  </r>
  <r>
    <n v="1722"/>
    <s v="13-05-2025"/>
    <x v="3"/>
    <x v="6"/>
    <s v="C1003"/>
    <s v="P101"/>
    <n v="9"/>
    <n v="55000"/>
    <n v="2"/>
    <n v="442125"/>
    <n v="9"/>
    <n v="4"/>
    <s v="Laptop"/>
    <x v="1"/>
    <n v="45000"/>
    <n v="495000"/>
    <n v="9900"/>
    <n v="485100"/>
    <n v="80100"/>
    <s v="East-C1003-1722"/>
    <s v="High Value"/>
    <s v="Excellent"/>
    <n v="2"/>
    <x v="4"/>
    <n v="0.04"/>
    <n v="159165"/>
    <n v="11002.299359575662"/>
    <n v="8"/>
  </r>
  <r>
    <n v="1723"/>
    <s v="02-07-2025"/>
    <x v="3"/>
    <x v="7"/>
    <s v="C1015"/>
    <s v="P102"/>
    <n v="5"/>
    <n v="500"/>
    <n v="15"/>
    <n v="485986"/>
    <n v="12"/>
    <n v="3"/>
    <s v="Mouse"/>
    <x v="0"/>
    <n v="350"/>
    <n v="2500"/>
    <n v="375"/>
    <n v="2125"/>
    <n v="375"/>
    <s v="East-C1015-1723"/>
    <s v="Regular"/>
    <s v="Poor"/>
    <n v="3"/>
    <x v="8"/>
    <n v="0.06"/>
    <n v="174954.96"/>
    <n v="16141.6895687083"/>
    <n v="923"/>
  </r>
  <r>
    <n v="1724"/>
    <s v="28-10-2025"/>
    <x v="0"/>
    <x v="3"/>
    <s v="C1041"/>
    <s v="P106"/>
    <n v="4"/>
    <n v="8000"/>
    <n v="5"/>
    <n v="283447"/>
    <n v="7"/>
    <n v="4"/>
    <s v="Printer"/>
    <x v="1"/>
    <n v="6500"/>
    <n v="32000"/>
    <n v="1600"/>
    <n v="30400"/>
    <n v="4400"/>
    <s v="West-C1041-1724"/>
    <s v="Regular"/>
    <s v="Average"/>
    <n v="4"/>
    <x v="6"/>
    <n v="0.08"/>
    <n v="79365.16"/>
    <n v="6787.4912108354547"/>
    <n v="375"/>
  </r>
  <r>
    <n v="1725"/>
    <s v="15-04-2025"/>
    <x v="0"/>
    <x v="5"/>
    <s v="C1030"/>
    <s v="P104"/>
    <n v="10"/>
    <n v="12000"/>
    <n v="2"/>
    <n v="258030"/>
    <n v="9"/>
    <n v="2"/>
    <s v="Monitor"/>
    <x v="1"/>
    <n v="9000"/>
    <n v="120000"/>
    <n v="2400"/>
    <n v="117600"/>
    <n v="27600"/>
    <s v="West-C1030-1725"/>
    <s v="High Value"/>
    <s v="Excellent"/>
    <n v="2"/>
    <x v="11"/>
    <n v="0.04"/>
    <n v="46445.4"/>
    <n v="11788.034050295033"/>
    <n v="147"/>
  </r>
  <r>
    <n v="1726"/>
    <s v="28-08-2025"/>
    <x v="3"/>
    <x v="3"/>
    <s v="C1030"/>
    <s v="P110"/>
    <n v="6"/>
    <n v="950"/>
    <n v="8"/>
    <n v="483465"/>
    <n v="7"/>
    <n v="1"/>
    <s v="Webcam"/>
    <x v="0"/>
    <n v="700"/>
    <n v="5700"/>
    <n v="456"/>
    <n v="5244"/>
    <n v="1044"/>
    <s v="East-C1030-1726"/>
    <s v="Regular"/>
    <s v="Poor"/>
    <n v="3"/>
    <x v="7"/>
    <n v="0.06"/>
    <n v="33842.550000000003"/>
    <n v="41832.653302336315"/>
    <n v="784"/>
  </r>
  <r>
    <n v="1727"/>
    <s v="14-08-2025"/>
    <x v="2"/>
    <x v="1"/>
    <s v="C1032"/>
    <s v="P101"/>
    <n v="2"/>
    <n v="55000"/>
    <n v="10"/>
    <n v="117971"/>
    <n v="8"/>
    <n v="5"/>
    <s v="Laptop"/>
    <x v="1"/>
    <n v="45000"/>
    <n v="110000"/>
    <n v="11000"/>
    <n v="99000"/>
    <n v="9000"/>
    <s v="South-C1032-1727"/>
    <s v="High Value"/>
    <s v="Good"/>
    <n v="3"/>
    <x v="7"/>
    <n v="0.06"/>
    <n v="47188.4"/>
    <n v="2392.0265105984499"/>
    <n v="165"/>
  </r>
  <r>
    <n v="1728"/>
    <s v="30-10-2025"/>
    <x v="0"/>
    <x v="6"/>
    <s v="C1030"/>
    <s v="P109"/>
    <n v="8"/>
    <n v="7000"/>
    <n v="8"/>
    <n v="321849"/>
    <n v="12"/>
    <n v="1"/>
    <s v="Router"/>
    <x v="1"/>
    <n v="5000"/>
    <n v="56000"/>
    <n v="4480"/>
    <n v="51520"/>
    <n v="11520"/>
    <s v="West-C1030-1728"/>
    <s v="High Value"/>
    <s v="Good"/>
    <n v="4"/>
    <x v="6"/>
    <n v="0.08"/>
    <n v="38621.879999999997"/>
    <n v="28595.893787335597"/>
    <n v="287"/>
  </r>
  <r>
    <n v="1729"/>
    <s v="29-12-2025"/>
    <x v="2"/>
    <x v="3"/>
    <s v="C1010"/>
    <s v="P101"/>
    <n v="7"/>
    <n v="55000"/>
    <n v="8"/>
    <n v="168022"/>
    <n v="8"/>
    <n v="1"/>
    <s v="Laptop"/>
    <x v="1"/>
    <n v="45000"/>
    <n v="385000"/>
    <n v="30800"/>
    <n v="354200"/>
    <n v="39200"/>
    <s v="South-C1010-1729"/>
    <s v="High Value"/>
    <s v="Excellent"/>
    <n v="4"/>
    <x v="0"/>
    <n v="0.08"/>
    <n v="13441.76"/>
    <n v="14615.969831790617"/>
    <n v="31"/>
  </r>
  <r>
    <n v="1730"/>
    <s v="09-08-2025"/>
    <x v="1"/>
    <x v="2"/>
    <s v="C1044"/>
    <s v="P109"/>
    <n v="5"/>
    <n v="7000"/>
    <n v="10"/>
    <n v="385972"/>
    <n v="9"/>
    <n v="3"/>
    <s v="Router"/>
    <x v="1"/>
    <n v="5000"/>
    <n v="35000"/>
    <n v="3500"/>
    <n v="31500"/>
    <n v="6500"/>
    <s v="North-C1044-1730"/>
    <s v="Regular"/>
    <s v="Average"/>
    <n v="3"/>
    <x v="7"/>
    <n v="0.06"/>
    <n v="104212.44"/>
    <n v="12273.806414222627"/>
    <n v="367"/>
  </r>
  <r>
    <n v="1731"/>
    <s v="15-07-2025"/>
    <x v="2"/>
    <x v="3"/>
    <s v="C1009"/>
    <s v="P101"/>
    <n v="3"/>
    <n v="55000"/>
    <n v="2"/>
    <n v="258298"/>
    <n v="12"/>
    <n v="3"/>
    <s v="Laptop"/>
    <x v="1"/>
    <n v="45000"/>
    <n v="165000"/>
    <n v="3300"/>
    <n v="161700"/>
    <n v="26700"/>
    <s v="South-C1009-1731"/>
    <s v="High Value"/>
    <s v="Excellent"/>
    <n v="3"/>
    <x v="8"/>
    <n v="0.06"/>
    <n v="92987.28"/>
    <n v="8579.1897960398364"/>
    <n v="124"/>
  </r>
  <r>
    <n v="1732"/>
    <s v="21-09-2025"/>
    <x v="1"/>
    <x v="3"/>
    <s v="C1027"/>
    <s v="P108"/>
    <n v="1"/>
    <n v="2500"/>
    <n v="5"/>
    <n v="206689"/>
    <n v="8"/>
    <n v="4"/>
    <s v="Speaker"/>
    <x v="0"/>
    <n v="1800"/>
    <n v="2500"/>
    <n v="125"/>
    <n v="2375"/>
    <n v="575"/>
    <s v="North-C1027-1732"/>
    <s v="Regular"/>
    <s v="Poor"/>
    <n v="3"/>
    <x v="1"/>
    <n v="0.06"/>
    <n v="66140.479999999996"/>
    <n v="5045.8825058428065"/>
    <n v="913"/>
  </r>
  <r>
    <n v="1733"/>
    <s v="10-11-2025"/>
    <x v="0"/>
    <x v="1"/>
    <s v="C1031"/>
    <s v="P106"/>
    <n v="8"/>
    <n v="8000"/>
    <n v="12"/>
    <n v="99542"/>
    <n v="12"/>
    <n v="1"/>
    <s v="Printer"/>
    <x v="1"/>
    <n v="6500"/>
    <n v="64000"/>
    <n v="7680"/>
    <n v="56320"/>
    <n v="4320"/>
    <s v="West-C1031-1733"/>
    <s v="High Value"/>
    <s v="Good"/>
    <n v="4"/>
    <x v="5"/>
    <n v="0.08"/>
    <n v="11945.04"/>
    <n v="8844.1861226194869"/>
    <n v="264"/>
  </r>
  <r>
    <n v="1734"/>
    <s v="19-12-2025"/>
    <x v="3"/>
    <x v="7"/>
    <s v="C1027"/>
    <s v="P101"/>
    <n v="8"/>
    <n v="55000"/>
    <n v="12"/>
    <n v="141405"/>
    <n v="7"/>
    <n v="3"/>
    <s v="Laptop"/>
    <x v="1"/>
    <n v="45000"/>
    <n v="440000"/>
    <n v="52800"/>
    <n v="387200"/>
    <n v="27200"/>
    <s v="East-C1027-1734"/>
    <s v="High Value"/>
    <s v="Excellent"/>
    <n v="4"/>
    <x v="0"/>
    <n v="0.08"/>
    <n v="29695.05"/>
    <n v="4366.1758822479187"/>
    <n v="24"/>
  </r>
  <r>
    <n v="1735"/>
    <s v="01-03-2025"/>
    <x v="2"/>
    <x v="0"/>
    <s v="C1048"/>
    <s v="P106"/>
    <n v="1"/>
    <n v="8000"/>
    <n v="0"/>
    <n v="379407"/>
    <n v="10"/>
    <n v="1"/>
    <s v="Printer"/>
    <x v="1"/>
    <n v="6500"/>
    <n v="8000"/>
    <n v="0"/>
    <n v="8000"/>
    <n v="1500"/>
    <s v="South-C1048-1735"/>
    <s v="Regular"/>
    <s v="Poor"/>
    <n v="1"/>
    <x v="10"/>
    <n v="0.02"/>
    <n v="37940.699999999997"/>
    <n v="33355.903026276254"/>
    <n v="687"/>
  </r>
  <r>
    <n v="1736"/>
    <s v="10-02-2025"/>
    <x v="3"/>
    <x v="3"/>
    <s v="C1042"/>
    <s v="P104"/>
    <n v="6"/>
    <n v="12000"/>
    <n v="12"/>
    <n v="139770"/>
    <n v="9"/>
    <n v="5"/>
    <s v="Monitor"/>
    <x v="1"/>
    <n v="9000"/>
    <n v="72000"/>
    <n v="8640"/>
    <n v="63360"/>
    <n v="9360"/>
    <s v="East-C1042-1736"/>
    <s v="High Value"/>
    <s v="Good"/>
    <n v="1"/>
    <x v="9"/>
    <n v="0.02"/>
    <n v="62896.5"/>
    <n v="2901.3953099874998"/>
    <n v="240"/>
  </r>
  <r>
    <n v="1737"/>
    <s v="11-04-2025"/>
    <x v="0"/>
    <x v="5"/>
    <s v="C1005"/>
    <s v="P107"/>
    <n v="5"/>
    <n v="35000"/>
    <n v="5"/>
    <n v="150975"/>
    <n v="8"/>
    <n v="5"/>
    <s v="Tablet"/>
    <x v="1"/>
    <n v="29000"/>
    <n v="175000"/>
    <n v="8750"/>
    <n v="166250"/>
    <n v="21250"/>
    <s v="West-C1005-1737"/>
    <s v="High Value"/>
    <s v="Excellent"/>
    <n v="2"/>
    <x v="11"/>
    <n v="0.04"/>
    <n v="60390"/>
    <n v="3061.2286276932555"/>
    <n v="122"/>
  </r>
  <r>
    <n v="1738"/>
    <s v="28-08-2025"/>
    <x v="1"/>
    <x v="7"/>
    <s v="C1048"/>
    <s v="P102"/>
    <n v="1"/>
    <n v="500"/>
    <n v="8"/>
    <n v="140344"/>
    <n v="12"/>
    <n v="1"/>
    <s v="Mouse"/>
    <x v="0"/>
    <n v="350"/>
    <n v="500"/>
    <n v="40"/>
    <n v="460"/>
    <n v="110"/>
    <s v="North-C1048-1738"/>
    <s v="Regular"/>
    <s v="Poor"/>
    <n v="3"/>
    <x v="7"/>
    <n v="0.06"/>
    <n v="16841.28"/>
    <n v="12469.394398273185"/>
    <n v="996"/>
  </r>
  <r>
    <n v="1739"/>
    <s v="07-12-2025"/>
    <x v="1"/>
    <x v="0"/>
    <s v="C1045"/>
    <s v="P102"/>
    <n v="7"/>
    <n v="500"/>
    <n v="0"/>
    <n v="87685"/>
    <n v="10"/>
    <n v="3"/>
    <s v="Mouse"/>
    <x v="0"/>
    <n v="350"/>
    <n v="3500"/>
    <n v="0"/>
    <n v="3500"/>
    <n v="1050"/>
    <s v="North-C1045-1739"/>
    <s v="Regular"/>
    <s v="Poor"/>
    <n v="4"/>
    <x v="0"/>
    <n v="0.08"/>
    <n v="26305.5"/>
    <n v="2829.3483090916402"/>
    <n v="865"/>
  </r>
  <r>
    <n v="1740"/>
    <s v="18-03-2025"/>
    <x v="3"/>
    <x v="0"/>
    <s v="C1004"/>
    <s v="P110"/>
    <n v="5"/>
    <n v="950"/>
    <n v="10"/>
    <n v="458644"/>
    <n v="12"/>
    <n v="3"/>
    <s v="Webcam"/>
    <x v="0"/>
    <n v="700"/>
    <n v="4750"/>
    <n v="475"/>
    <n v="4275"/>
    <n v="775"/>
    <s v="East-C1004-1740"/>
    <s v="Regular"/>
    <s v="Poor"/>
    <n v="1"/>
    <x v="10"/>
    <n v="0.02"/>
    <n v="165111.84"/>
    <n v="15233.543909805321"/>
    <n v="819"/>
  </r>
  <r>
    <n v="1741"/>
    <s v="22-09-2025"/>
    <x v="0"/>
    <x v="4"/>
    <s v="C1036"/>
    <s v="P105"/>
    <n v="5"/>
    <n v="2000"/>
    <n v="2"/>
    <n v="225427"/>
    <n v="12"/>
    <n v="2"/>
    <s v="Headset"/>
    <x v="0"/>
    <n v="1500"/>
    <n v="10000"/>
    <n v="200"/>
    <n v="9800"/>
    <n v="2300"/>
    <s v="West-C1036-1741"/>
    <s v="Regular"/>
    <s v="Poor"/>
    <n v="3"/>
    <x v="1"/>
    <n v="0.06"/>
    <n v="54102.48"/>
    <n v="10611.631622873892"/>
    <n v="645"/>
  </r>
  <r>
    <n v="1742"/>
    <s v="13-02-2025"/>
    <x v="3"/>
    <x v="2"/>
    <s v="C1018"/>
    <s v="P106"/>
    <n v="3"/>
    <n v="8000"/>
    <n v="0"/>
    <n v="382340"/>
    <n v="11"/>
    <n v="4"/>
    <s v="Printer"/>
    <x v="1"/>
    <n v="6500"/>
    <n v="24000"/>
    <n v="0"/>
    <n v="24000"/>
    <n v="4500"/>
    <s v="East-C1018-1742"/>
    <s v="Regular"/>
    <s v="Average"/>
    <n v="1"/>
    <x v="9"/>
    <n v="0.02"/>
    <n v="168229.6"/>
    <n v="9881.7771152628684"/>
    <n v="403"/>
  </r>
  <r>
    <n v="1743"/>
    <s v="13-11-2025"/>
    <x v="0"/>
    <x v="1"/>
    <s v="C1008"/>
    <s v="P107"/>
    <n v="5"/>
    <n v="35000"/>
    <n v="0"/>
    <n v="431316"/>
    <n v="8"/>
    <n v="1"/>
    <s v="Tablet"/>
    <x v="1"/>
    <n v="29000"/>
    <n v="175000"/>
    <n v="0"/>
    <n v="175000"/>
    <n v="30000"/>
    <s v="West-C1008-1743"/>
    <s v="High Value"/>
    <s v="Excellent"/>
    <n v="4"/>
    <x v="5"/>
    <n v="0.08"/>
    <n v="34505.279999999999"/>
    <n v="37519.501279407472"/>
    <n v="120"/>
  </r>
  <r>
    <n v="1744"/>
    <s v="23-02-2025"/>
    <x v="2"/>
    <x v="1"/>
    <s v="C1036"/>
    <s v="P110"/>
    <n v="7"/>
    <n v="950"/>
    <n v="8"/>
    <n v="152167"/>
    <n v="10"/>
    <n v="5"/>
    <s v="Webcam"/>
    <x v="0"/>
    <n v="700"/>
    <n v="6650"/>
    <n v="532"/>
    <n v="6118"/>
    <n v="1218"/>
    <s v="South-C1036-1744"/>
    <s v="Regular"/>
    <s v="Poor"/>
    <n v="1"/>
    <x v="9"/>
    <n v="0.02"/>
    <n v="76083.5"/>
    <n v="3233.0990525795596"/>
    <n v="758"/>
  </r>
  <r>
    <n v="1745"/>
    <s v="15-09-2025"/>
    <x v="1"/>
    <x v="3"/>
    <s v="C1031"/>
    <s v="P105"/>
    <n v="10"/>
    <n v="2000"/>
    <n v="8"/>
    <n v="310103"/>
    <n v="11"/>
    <n v="3"/>
    <s v="Headset"/>
    <x v="0"/>
    <n v="1500"/>
    <n v="20000"/>
    <n v="1600"/>
    <n v="18400"/>
    <n v="3400"/>
    <s v="North-C1031-1745"/>
    <s v="Regular"/>
    <s v="Poor"/>
    <n v="3"/>
    <x v="1"/>
    <n v="0.06"/>
    <n v="102333.99"/>
    <n v="10152.374394133683"/>
    <n v="473"/>
  </r>
  <r>
    <n v="1746"/>
    <s v="19-04-2025"/>
    <x v="1"/>
    <x v="3"/>
    <s v="C1042"/>
    <s v="P101"/>
    <n v="10"/>
    <n v="55000"/>
    <n v="12"/>
    <n v="399257"/>
    <n v="12"/>
    <n v="3"/>
    <s v="Laptop"/>
    <x v="1"/>
    <n v="45000"/>
    <n v="550000"/>
    <n v="66000"/>
    <n v="484000"/>
    <n v="34000"/>
    <s v="North-C1042-1746"/>
    <s v="High Value"/>
    <s v="Excellent"/>
    <n v="2"/>
    <x v="11"/>
    <n v="0.04"/>
    <n v="143732.51999999999"/>
    <n v="13261.045692949529"/>
    <n v="10"/>
  </r>
  <r>
    <n v="1747"/>
    <s v="24-10-2025"/>
    <x v="0"/>
    <x v="0"/>
    <s v="C1023"/>
    <s v="P104"/>
    <n v="7"/>
    <n v="12000"/>
    <n v="12"/>
    <n v="292127"/>
    <n v="12"/>
    <n v="2"/>
    <s v="Monitor"/>
    <x v="1"/>
    <n v="9000"/>
    <n v="84000"/>
    <n v="10080"/>
    <n v="73920"/>
    <n v="10920"/>
    <s v="West-C1023-1747"/>
    <s v="High Value"/>
    <s v="Good"/>
    <n v="4"/>
    <x v="6"/>
    <n v="0.08"/>
    <n v="70110.48"/>
    <n v="13751.432220165649"/>
    <n v="202"/>
  </r>
  <r>
    <n v="1748"/>
    <s v="14-05-2025"/>
    <x v="2"/>
    <x v="6"/>
    <s v="C1030"/>
    <s v="P108"/>
    <n v="10"/>
    <n v="2500"/>
    <n v="8"/>
    <n v="51997"/>
    <n v="8"/>
    <n v="4"/>
    <s v="Speaker"/>
    <x v="0"/>
    <n v="1800"/>
    <n v="25000"/>
    <n v="2000"/>
    <n v="23000"/>
    <n v="5000"/>
    <s v="South-C1030-1748"/>
    <s v="Regular"/>
    <s v="Average"/>
    <n v="2"/>
    <x v="4"/>
    <n v="0.04"/>
    <n v="16639.04"/>
    <n v="1269.3987229911047"/>
    <n v="407"/>
  </r>
  <r>
    <n v="1749"/>
    <s v="14-03-2025"/>
    <x v="3"/>
    <x v="7"/>
    <s v="C1009"/>
    <s v="P108"/>
    <n v="3"/>
    <n v="2500"/>
    <n v="12"/>
    <n v="347335"/>
    <n v="7"/>
    <n v="1"/>
    <s v="Speaker"/>
    <x v="0"/>
    <n v="1800"/>
    <n v="7500"/>
    <n v="900"/>
    <n v="6600"/>
    <n v="1200"/>
    <s v="East-C1009-1749"/>
    <s v="Regular"/>
    <s v="Poor"/>
    <n v="1"/>
    <x v="10"/>
    <n v="0.02"/>
    <n v="24313.45"/>
    <n v="30053.767355996781"/>
    <n v="738"/>
  </r>
  <r>
    <n v="1750"/>
    <s v="17-06-2025"/>
    <x v="0"/>
    <x v="0"/>
    <s v="C1029"/>
    <s v="P102"/>
    <n v="9"/>
    <n v="500"/>
    <n v="0"/>
    <n v="95157"/>
    <n v="11"/>
    <n v="4"/>
    <s v="Mouse"/>
    <x v="0"/>
    <n v="350"/>
    <n v="4500"/>
    <n v="0"/>
    <n v="4500"/>
    <n v="1350"/>
    <s v="West-C1029-1750"/>
    <s v="Regular"/>
    <s v="Poor"/>
    <n v="2"/>
    <x v="3"/>
    <n v="0.04"/>
    <n v="41869.08"/>
    <n v="2459.3823951380155"/>
    <n v="805"/>
  </r>
  <r>
    <n v="1751"/>
    <s v="03-11-2025"/>
    <x v="3"/>
    <x v="6"/>
    <s v="C1010"/>
    <s v="P106"/>
    <n v="2"/>
    <n v="8000"/>
    <n v="10"/>
    <n v="428779"/>
    <n v="8"/>
    <n v="4"/>
    <s v="Printer"/>
    <x v="1"/>
    <n v="6500"/>
    <n v="16000"/>
    <n v="1600"/>
    <n v="14400"/>
    <n v="1400"/>
    <s v="East-C1010-1751"/>
    <s v="Regular"/>
    <s v="Poor"/>
    <n v="4"/>
    <x v="5"/>
    <n v="0.08"/>
    <n v="137209.28"/>
    <n v="10467.748428667093"/>
    <n v="534"/>
  </r>
  <r>
    <n v="1752"/>
    <s v="04-03-2025"/>
    <x v="2"/>
    <x v="3"/>
    <s v="C1038"/>
    <s v="P105"/>
    <n v="2"/>
    <n v="2000"/>
    <n v="5"/>
    <n v="253078"/>
    <n v="12"/>
    <n v="3"/>
    <s v="Headset"/>
    <x v="0"/>
    <n v="1500"/>
    <n v="4000"/>
    <n v="200"/>
    <n v="3800"/>
    <n v="800"/>
    <s v="South-C1038-1752"/>
    <s v="Regular"/>
    <s v="Poor"/>
    <n v="1"/>
    <x v="10"/>
    <n v="0.02"/>
    <n v="91108.08"/>
    <n v="8405.8110988167537"/>
    <n v="854"/>
  </r>
  <r>
    <n v="1753"/>
    <s v="02-02-2025"/>
    <x v="2"/>
    <x v="0"/>
    <s v="C1033"/>
    <s v="P105"/>
    <n v="4"/>
    <n v="2000"/>
    <n v="8"/>
    <n v="301146"/>
    <n v="11"/>
    <n v="3"/>
    <s v="Headset"/>
    <x v="0"/>
    <n v="1500"/>
    <n v="8000"/>
    <n v="640"/>
    <n v="7360"/>
    <n v="1360"/>
    <s v="South-C1033-1753"/>
    <s v="Regular"/>
    <s v="Poor"/>
    <n v="1"/>
    <x v="9"/>
    <n v="0.02"/>
    <n v="99378.18"/>
    <n v="9859.1337049166959"/>
    <n v="709"/>
  </r>
  <r>
    <n v="1754"/>
    <s v="22-05-2025"/>
    <x v="0"/>
    <x v="7"/>
    <s v="C1047"/>
    <s v="P106"/>
    <n v="3"/>
    <n v="8000"/>
    <n v="10"/>
    <n v="483090"/>
    <n v="8"/>
    <n v="4"/>
    <s v="Printer"/>
    <x v="1"/>
    <n v="6500"/>
    <n v="24000"/>
    <n v="2400"/>
    <n v="21600"/>
    <n v="2100"/>
    <s v="West-C1047-1754"/>
    <s v="Regular"/>
    <s v="Average"/>
    <n v="2"/>
    <x v="4"/>
    <n v="0.04"/>
    <n v="154588.79999999999"/>
    <n v="11793.638653956436"/>
    <n v="424"/>
  </r>
  <r>
    <n v="1755"/>
    <s v="15-04-2025"/>
    <x v="2"/>
    <x v="0"/>
    <s v="C1033"/>
    <s v="P106"/>
    <n v="7"/>
    <n v="8000"/>
    <n v="10"/>
    <n v="310885"/>
    <n v="11"/>
    <n v="1"/>
    <s v="Printer"/>
    <x v="1"/>
    <n v="6500"/>
    <n v="56000"/>
    <n v="5600"/>
    <n v="50400"/>
    <n v="4900"/>
    <s v="South-C1033-1755"/>
    <s v="High Value"/>
    <s v="Good"/>
    <n v="2"/>
    <x v="11"/>
    <n v="0.04"/>
    <n v="34197.35"/>
    <n v="27476.531909488869"/>
    <n v="294"/>
  </r>
  <r>
    <n v="1756"/>
    <s v="01-08-2025"/>
    <x v="2"/>
    <x v="0"/>
    <s v="C1046"/>
    <s v="P103"/>
    <n v="3"/>
    <n v="1500"/>
    <n v="15"/>
    <n v="226243"/>
    <n v="9"/>
    <n v="3"/>
    <s v="Keyboard"/>
    <x v="0"/>
    <n v="1200"/>
    <n v="4500"/>
    <n v="675"/>
    <n v="3825"/>
    <n v="225"/>
    <s v="South-C1046-1756"/>
    <s v="Regular"/>
    <s v="Poor"/>
    <n v="3"/>
    <x v="7"/>
    <n v="0.06"/>
    <n v="61085.61"/>
    <n v="7194.4669161829606"/>
    <n v="850"/>
  </r>
  <r>
    <n v="1757"/>
    <s v="10-02-2025"/>
    <x v="2"/>
    <x v="3"/>
    <s v="C1045"/>
    <s v="P105"/>
    <n v="9"/>
    <n v="2000"/>
    <n v="5"/>
    <n v="99809"/>
    <n v="10"/>
    <n v="3"/>
    <s v="Headset"/>
    <x v="0"/>
    <n v="1500"/>
    <n v="18000"/>
    <n v="900"/>
    <n v="17100"/>
    <n v="3600"/>
    <s v="South-C1045-1757"/>
    <s v="Regular"/>
    <s v="Poor"/>
    <n v="1"/>
    <x v="9"/>
    <n v="0.02"/>
    <n v="29942.7"/>
    <n v="3220.5556866297256"/>
    <n v="501"/>
  </r>
  <r>
    <n v="1758"/>
    <s v="18-02-2025"/>
    <x v="1"/>
    <x v="5"/>
    <s v="C1018"/>
    <s v="P104"/>
    <n v="5"/>
    <n v="12000"/>
    <n v="10"/>
    <n v="217237"/>
    <n v="8"/>
    <n v="3"/>
    <s v="Monitor"/>
    <x v="1"/>
    <n v="9000"/>
    <n v="60000"/>
    <n v="6000"/>
    <n v="54000"/>
    <n v="9000"/>
    <s v="North-C1018-1758"/>
    <s v="High Value"/>
    <s v="Good"/>
    <n v="1"/>
    <x v="9"/>
    <n v="0.02"/>
    <n v="52136.88"/>
    <n v="6807.4180237448536"/>
    <n v="276"/>
  </r>
  <r>
    <n v="1759"/>
    <s v="06-05-2025"/>
    <x v="1"/>
    <x v="2"/>
    <s v="C1037"/>
    <s v="P101"/>
    <n v="7"/>
    <n v="55000"/>
    <n v="12"/>
    <n v="170917"/>
    <n v="7"/>
    <n v="5"/>
    <s v="Laptop"/>
    <x v="1"/>
    <n v="45000"/>
    <n v="385000"/>
    <n v="46200"/>
    <n v="338800"/>
    <n v="23800"/>
    <s v="North-C1037-1759"/>
    <s v="High Value"/>
    <s v="Excellent"/>
    <n v="2"/>
    <x v="4"/>
    <n v="0.04"/>
    <n v="59820.95"/>
    <n v="3384.3614509209215"/>
    <n v="37"/>
  </r>
  <r>
    <n v="1760"/>
    <s v="12-04-2025"/>
    <x v="3"/>
    <x v="4"/>
    <s v="C1013"/>
    <s v="P108"/>
    <n v="8"/>
    <n v="2500"/>
    <n v="2"/>
    <n v="87011"/>
    <n v="8"/>
    <n v="5"/>
    <s v="Speaker"/>
    <x v="0"/>
    <n v="1800"/>
    <n v="20000"/>
    <n v="400"/>
    <n v="19600"/>
    <n v="5200"/>
    <s v="East-C1013-1760"/>
    <s v="Regular"/>
    <s v="Poor"/>
    <n v="2"/>
    <x v="11"/>
    <n v="0.04"/>
    <n v="34804.400000000001"/>
    <n v="1764.269343429163"/>
    <n v="461"/>
  </r>
  <r>
    <n v="1761"/>
    <s v="29-06-2025"/>
    <x v="1"/>
    <x v="3"/>
    <s v="C1011"/>
    <s v="P107"/>
    <n v="5"/>
    <n v="35000"/>
    <n v="10"/>
    <n v="348462"/>
    <n v="12"/>
    <n v="1"/>
    <s v="Tablet"/>
    <x v="1"/>
    <n v="29000"/>
    <n v="175000"/>
    <n v="17500"/>
    <n v="157500"/>
    <n v="12500"/>
    <s v="North-C1011-1761"/>
    <s v="High Value"/>
    <s v="Excellent"/>
    <n v="2"/>
    <x v="3"/>
    <n v="0.04"/>
    <n v="41815.440000000002"/>
    <n v="30960.426600432304"/>
    <n v="126"/>
  </r>
  <r>
    <n v="1762"/>
    <s v="11-06-2025"/>
    <x v="0"/>
    <x v="2"/>
    <s v="C1029"/>
    <s v="P106"/>
    <n v="4"/>
    <n v="8000"/>
    <n v="12"/>
    <n v="356550"/>
    <n v="7"/>
    <n v="4"/>
    <s v="Printer"/>
    <x v="1"/>
    <n v="6500"/>
    <n v="32000"/>
    <n v="3840"/>
    <n v="28160"/>
    <n v="2160"/>
    <s v="West-C1029-1762"/>
    <s v="Regular"/>
    <s v="Average"/>
    <n v="2"/>
    <x v="3"/>
    <n v="0.04"/>
    <n v="99834"/>
    <n v="8538.0335343940187"/>
    <n v="388"/>
  </r>
  <r>
    <n v="1763"/>
    <s v="28-05-2025"/>
    <x v="0"/>
    <x v="2"/>
    <s v="C1005"/>
    <s v="P102"/>
    <n v="8"/>
    <n v="500"/>
    <n v="2"/>
    <n v="269375"/>
    <n v="8"/>
    <n v="1"/>
    <s v="Mouse"/>
    <x v="0"/>
    <n v="350"/>
    <n v="4000"/>
    <n v="80"/>
    <n v="3920"/>
    <n v="1120"/>
    <s v="West-C1005-1763"/>
    <s v="Regular"/>
    <s v="Poor"/>
    <n v="2"/>
    <x v="4"/>
    <n v="0.04"/>
    <n v="21550"/>
    <n v="23432.508084885299"/>
    <n v="846"/>
  </r>
  <r>
    <n v="1764"/>
    <s v="31-07-2025"/>
    <x v="1"/>
    <x v="5"/>
    <s v="C1014"/>
    <s v="P102"/>
    <n v="2"/>
    <n v="500"/>
    <n v="15"/>
    <n v="121513"/>
    <n v="10"/>
    <n v="3"/>
    <s v="Mouse"/>
    <x v="0"/>
    <n v="350"/>
    <n v="1000"/>
    <n v="150"/>
    <n v="850"/>
    <n v="150"/>
    <s v="North-C1014-1764"/>
    <s v="Regular"/>
    <s v="Poor"/>
    <n v="3"/>
    <x v="8"/>
    <n v="0.06"/>
    <n v="36453.9"/>
    <n v="3920.8827174847743"/>
    <n v="985"/>
  </r>
  <r>
    <n v="1765"/>
    <s v="14-07-2025"/>
    <x v="1"/>
    <x v="0"/>
    <s v="C1034"/>
    <s v="P108"/>
    <n v="6"/>
    <n v="2500"/>
    <n v="2"/>
    <n v="273847"/>
    <n v="9"/>
    <n v="4"/>
    <s v="Speaker"/>
    <x v="0"/>
    <n v="1800"/>
    <n v="15000"/>
    <n v="300"/>
    <n v="14700"/>
    <n v="3900"/>
    <s v="North-C1034-1765"/>
    <s v="Regular"/>
    <s v="Poor"/>
    <n v="3"/>
    <x v="8"/>
    <n v="0.06"/>
    <n v="98584.92"/>
    <n v="6814.6941989747611"/>
    <n v="532"/>
  </r>
  <r>
    <n v="1766"/>
    <s v="20-07-2025"/>
    <x v="3"/>
    <x v="1"/>
    <s v="C1019"/>
    <s v="P109"/>
    <n v="8"/>
    <n v="7000"/>
    <n v="8"/>
    <n v="391771"/>
    <n v="12"/>
    <n v="4"/>
    <s v="Router"/>
    <x v="1"/>
    <n v="5000"/>
    <n v="56000"/>
    <n v="4480"/>
    <n v="51520"/>
    <n v="11520"/>
    <s v="East-C1019-1766"/>
    <s v="High Value"/>
    <s v="Good"/>
    <n v="3"/>
    <x v="8"/>
    <n v="0.06"/>
    <n v="188050.08"/>
    <n v="10316.833041001773"/>
    <n v="287"/>
  </r>
  <r>
    <n v="1767"/>
    <s v="13-10-2025"/>
    <x v="1"/>
    <x v="6"/>
    <s v="C1024"/>
    <s v="P109"/>
    <n v="9"/>
    <n v="7000"/>
    <n v="2"/>
    <n v="294725"/>
    <n v="11"/>
    <n v="5"/>
    <s v="Router"/>
    <x v="1"/>
    <n v="5000"/>
    <n v="63000"/>
    <n v="1260"/>
    <n v="61740"/>
    <n v="16740"/>
    <s v="North-C1024-1767"/>
    <s v="High Value"/>
    <s v="Good"/>
    <n v="4"/>
    <x v="6"/>
    <n v="0.08"/>
    <n v="162098.75"/>
    <n v="6408.0356400847995"/>
    <n v="248"/>
  </r>
  <r>
    <n v="1768"/>
    <s v="08-03-2025"/>
    <x v="0"/>
    <x v="4"/>
    <s v="C1002"/>
    <s v="P108"/>
    <n v="9"/>
    <n v="2500"/>
    <n v="8"/>
    <n v="64977"/>
    <n v="7"/>
    <n v="3"/>
    <s v="Speaker"/>
    <x v="0"/>
    <n v="1800"/>
    <n v="22500"/>
    <n v="1800"/>
    <n v="20700"/>
    <n v="4500"/>
    <s v="West-C1002-1768"/>
    <s v="Regular"/>
    <s v="Average"/>
    <n v="1"/>
    <x v="10"/>
    <n v="0.02"/>
    <n v="13645.17"/>
    <n v="2006.3011230212726"/>
    <n v="438"/>
  </r>
  <r>
    <n v="1769"/>
    <s v="17-07-2025"/>
    <x v="0"/>
    <x v="6"/>
    <s v="C1034"/>
    <s v="P103"/>
    <n v="2"/>
    <n v="1500"/>
    <n v="15"/>
    <n v="132145"/>
    <n v="9"/>
    <n v="1"/>
    <s v="Keyboard"/>
    <x v="0"/>
    <n v="1200"/>
    <n v="3000"/>
    <n v="450"/>
    <n v="2550"/>
    <n v="150"/>
    <s v="West-C1034-1769"/>
    <s v="Regular"/>
    <s v="Poor"/>
    <n v="3"/>
    <x v="8"/>
    <n v="0.06"/>
    <n v="11893.05"/>
    <n v="11556.275397761267"/>
    <n v="905"/>
  </r>
  <r>
    <n v="1770"/>
    <s v="02-01-2025"/>
    <x v="0"/>
    <x v="0"/>
    <s v="C1008"/>
    <s v="P108"/>
    <n v="1"/>
    <n v="2500"/>
    <n v="8"/>
    <n v="404720"/>
    <n v="7"/>
    <n v="2"/>
    <s v="Speaker"/>
    <x v="0"/>
    <n v="1800"/>
    <n v="2500"/>
    <n v="200"/>
    <n v="2300"/>
    <n v="500"/>
    <s v="West-C1008-1770"/>
    <s v="Regular"/>
    <s v="Poor"/>
    <n v="1"/>
    <x v="2"/>
    <n v="0.02"/>
    <n v="56660.800000000003"/>
    <n v="18120.358214625016"/>
    <n v="917"/>
  </r>
  <r>
    <n v="1771"/>
    <s v="03-05-2025"/>
    <x v="1"/>
    <x v="2"/>
    <s v="C1024"/>
    <s v="P101"/>
    <n v="1"/>
    <n v="55000"/>
    <n v="15"/>
    <n v="407934"/>
    <n v="11"/>
    <n v="2"/>
    <s v="Laptop"/>
    <x v="1"/>
    <n v="45000"/>
    <n v="55000"/>
    <n v="8250"/>
    <n v="46750"/>
    <n v="1750"/>
    <s v="North-C1024-1771"/>
    <s v="Regular"/>
    <s v="Average"/>
    <n v="2"/>
    <x v="4"/>
    <n v="0.04"/>
    <n v="89745.48"/>
    <n v="19012.921866861256"/>
    <n v="313"/>
  </r>
  <r>
    <n v="1772"/>
    <s v="28-10-2025"/>
    <x v="1"/>
    <x v="6"/>
    <s v="C1028"/>
    <s v="P101"/>
    <n v="8"/>
    <n v="55000"/>
    <n v="15"/>
    <n v="168433"/>
    <n v="9"/>
    <n v="3"/>
    <s v="Laptop"/>
    <x v="1"/>
    <n v="45000"/>
    <n v="440000"/>
    <n v="66000"/>
    <n v="374000"/>
    <n v="14000"/>
    <s v="North-C1028-1772"/>
    <s v="High Value"/>
    <s v="Excellent"/>
    <n v="4"/>
    <x v="6"/>
    <n v="0.08"/>
    <n v="45476.91"/>
    <n v="5356.1243711117895"/>
    <n v="27"/>
  </r>
  <r>
    <n v="1773"/>
    <s v="25-07-2025"/>
    <x v="1"/>
    <x v="0"/>
    <s v="C1011"/>
    <s v="P106"/>
    <n v="2"/>
    <n v="8000"/>
    <n v="0"/>
    <n v="293623"/>
    <n v="12"/>
    <n v="3"/>
    <s v="Printer"/>
    <x v="1"/>
    <n v="6500"/>
    <n v="16000"/>
    <n v="0"/>
    <n v="16000"/>
    <n v="3000"/>
    <s v="North-C1011-1773"/>
    <s v="Regular"/>
    <s v="Poor"/>
    <n v="3"/>
    <x v="8"/>
    <n v="0.06"/>
    <n v="105704.28"/>
    <n v="9752.4852901788054"/>
    <n v="514"/>
  </r>
  <r>
    <n v="1774"/>
    <s v="02-09-2025"/>
    <x v="3"/>
    <x v="0"/>
    <s v="C1017"/>
    <s v="P104"/>
    <n v="8"/>
    <n v="12000"/>
    <n v="5"/>
    <n v="472505"/>
    <n v="12"/>
    <n v="3"/>
    <s v="Monitor"/>
    <x v="1"/>
    <n v="9000"/>
    <n v="96000"/>
    <n v="4800"/>
    <n v="91200"/>
    <n v="19200"/>
    <s v="East-C1017-1774"/>
    <s v="High Value"/>
    <s v="Good"/>
    <n v="3"/>
    <x v="1"/>
    <n v="0.06"/>
    <n v="170101.8"/>
    <n v="15693.92745812125"/>
    <n v="184"/>
  </r>
  <r>
    <n v="1775"/>
    <s v="19-12-2025"/>
    <x v="0"/>
    <x v="7"/>
    <s v="C1030"/>
    <s v="P107"/>
    <n v="4"/>
    <n v="35000"/>
    <n v="12"/>
    <n v="422833"/>
    <n v="8"/>
    <n v="3"/>
    <s v="Tablet"/>
    <x v="1"/>
    <n v="29000"/>
    <n v="140000"/>
    <n v="16800"/>
    <n v="123200"/>
    <n v="7200"/>
    <s v="West-C1030-1775"/>
    <s v="High Value"/>
    <s v="Excellent"/>
    <n v="4"/>
    <x v="0"/>
    <n v="0.08"/>
    <n v="101479.92"/>
    <n v="13250.049417153192"/>
    <n v="142"/>
  </r>
  <r>
    <n v="1776"/>
    <s v="01-02-2025"/>
    <x v="3"/>
    <x v="5"/>
    <s v="C1019"/>
    <s v="P102"/>
    <n v="10"/>
    <n v="500"/>
    <n v="10"/>
    <n v="156340"/>
    <n v="7"/>
    <n v="5"/>
    <s v="Mouse"/>
    <x v="0"/>
    <n v="350"/>
    <n v="5000"/>
    <n v="500"/>
    <n v="4500"/>
    <n v="1000"/>
    <s v="East-C1019-1776"/>
    <s v="Regular"/>
    <s v="Poor"/>
    <n v="1"/>
    <x v="9"/>
    <n v="0.02"/>
    <n v="54719"/>
    <n v="3095.7193797982459"/>
    <n v="805"/>
  </r>
  <r>
    <n v="1777"/>
    <s v="26-06-2025"/>
    <x v="0"/>
    <x v="1"/>
    <s v="C1006"/>
    <s v="P108"/>
    <n v="8"/>
    <n v="2500"/>
    <n v="8"/>
    <n v="353403"/>
    <n v="9"/>
    <n v="3"/>
    <s v="Speaker"/>
    <x v="0"/>
    <n v="1800"/>
    <n v="20000"/>
    <n v="1600"/>
    <n v="18400"/>
    <n v="4000"/>
    <s v="West-C1006-1777"/>
    <s v="Regular"/>
    <s v="Poor"/>
    <n v="2"/>
    <x v="3"/>
    <n v="0.04"/>
    <n v="95418.81"/>
    <n v="11238.120921221018"/>
    <n v="473"/>
  </r>
  <r>
    <n v="1778"/>
    <s v="14-01-2025"/>
    <x v="1"/>
    <x v="0"/>
    <s v="C1046"/>
    <s v="P103"/>
    <n v="9"/>
    <n v="1500"/>
    <n v="5"/>
    <n v="183580"/>
    <n v="7"/>
    <n v="1"/>
    <s v="Keyboard"/>
    <x v="0"/>
    <n v="1200"/>
    <n v="13500"/>
    <n v="675"/>
    <n v="12825"/>
    <n v="2025"/>
    <s v="North-C1046-1778"/>
    <s v="Regular"/>
    <s v="Poor"/>
    <n v="1"/>
    <x v="2"/>
    <n v="0.02"/>
    <n v="12850.6"/>
    <n v="15884.580048696183"/>
    <n v="574"/>
  </r>
  <r>
    <n v="1779"/>
    <s v="20-11-2025"/>
    <x v="3"/>
    <x v="1"/>
    <s v="C1047"/>
    <s v="P108"/>
    <n v="3"/>
    <n v="2500"/>
    <n v="12"/>
    <n v="285018"/>
    <n v="8"/>
    <n v="5"/>
    <s v="Speaker"/>
    <x v="0"/>
    <n v="1800"/>
    <n v="7500"/>
    <n v="900"/>
    <n v="6600"/>
    <n v="1200"/>
    <s v="East-C1047-1779"/>
    <s v="Regular"/>
    <s v="Poor"/>
    <n v="4"/>
    <x v="5"/>
    <n v="0.08"/>
    <n v="114007.2"/>
    <n v="5779.1373472950909"/>
    <n v="738"/>
  </r>
  <r>
    <n v="1780"/>
    <s v="17-05-2025"/>
    <x v="2"/>
    <x v="7"/>
    <s v="C1006"/>
    <s v="P103"/>
    <n v="4"/>
    <n v="1500"/>
    <n v="2"/>
    <n v="497774"/>
    <n v="7"/>
    <n v="5"/>
    <s v="Keyboard"/>
    <x v="0"/>
    <n v="1200"/>
    <n v="6000"/>
    <n v="120"/>
    <n v="5880"/>
    <n v="1080"/>
    <s v="South-C1006-1780"/>
    <s v="Regular"/>
    <s v="Poor"/>
    <n v="2"/>
    <x v="4"/>
    <n v="0.04"/>
    <n v="174220.9"/>
    <n v="9856.5218022239496"/>
    <n v="763"/>
  </r>
  <r>
    <n v="1781"/>
    <s v="21-03-2025"/>
    <x v="0"/>
    <x v="0"/>
    <s v="C1041"/>
    <s v="P101"/>
    <n v="7"/>
    <n v="55000"/>
    <n v="8"/>
    <n v="138073"/>
    <n v="7"/>
    <n v="3"/>
    <s v="Laptop"/>
    <x v="1"/>
    <n v="45000"/>
    <n v="385000"/>
    <n v="30800"/>
    <n v="354200"/>
    <n v="39200"/>
    <s v="West-C1041-1781"/>
    <s v="High Value"/>
    <s v="Excellent"/>
    <n v="1"/>
    <x v="10"/>
    <n v="0.02"/>
    <n v="28995.33"/>
    <n v="4263.2933954925002"/>
    <n v="31"/>
  </r>
  <r>
    <n v="1782"/>
    <s v="09-12-2025"/>
    <x v="3"/>
    <x v="0"/>
    <s v="C1033"/>
    <s v="P107"/>
    <n v="4"/>
    <n v="35000"/>
    <n v="15"/>
    <n v="213576"/>
    <n v="7"/>
    <n v="5"/>
    <s v="Tablet"/>
    <x v="1"/>
    <n v="29000"/>
    <n v="140000"/>
    <n v="21000"/>
    <n v="119000"/>
    <n v="3000"/>
    <s v="East-C1033-1782"/>
    <s v="High Value"/>
    <s v="Excellent"/>
    <n v="4"/>
    <x v="0"/>
    <n v="0.08"/>
    <n v="74751.600000000006"/>
    <n v="4229.0607794536927"/>
    <n v="145"/>
  </r>
  <r>
    <n v="1783"/>
    <s v="11-03-2025"/>
    <x v="3"/>
    <x v="5"/>
    <s v="C1013"/>
    <s v="P110"/>
    <n v="5"/>
    <n v="950"/>
    <n v="2"/>
    <n v="374218"/>
    <n v="10"/>
    <n v="3"/>
    <s v="Webcam"/>
    <x v="0"/>
    <n v="700"/>
    <n v="4750"/>
    <n v="95"/>
    <n v="4655"/>
    <n v="1155"/>
    <s v="East-C1013-1783"/>
    <s v="Regular"/>
    <s v="Poor"/>
    <n v="1"/>
    <x v="10"/>
    <n v="0.02"/>
    <n v="112265.4"/>
    <n v="12074.962257303476"/>
    <n v="800"/>
  </r>
  <r>
    <n v="1784"/>
    <s v="09-12-2025"/>
    <x v="3"/>
    <x v="4"/>
    <s v="C1003"/>
    <s v="P108"/>
    <n v="9"/>
    <n v="2500"/>
    <n v="10"/>
    <n v="133239"/>
    <n v="7"/>
    <n v="4"/>
    <s v="Speaker"/>
    <x v="0"/>
    <n v="1800"/>
    <n v="22500"/>
    <n v="2250"/>
    <n v="20250"/>
    <n v="4050"/>
    <s v="East-C1003-1784"/>
    <s v="Regular"/>
    <s v="Average"/>
    <n v="4"/>
    <x v="0"/>
    <n v="0.08"/>
    <n v="37306.92"/>
    <n v="3190.5736925792303"/>
    <n v="449"/>
  </r>
  <r>
    <n v="1785"/>
    <s v="29-12-2025"/>
    <x v="0"/>
    <x v="3"/>
    <s v="C1019"/>
    <s v="P101"/>
    <n v="7"/>
    <n v="55000"/>
    <n v="15"/>
    <n v="466960"/>
    <n v="8"/>
    <n v="4"/>
    <s v="Laptop"/>
    <x v="1"/>
    <n v="45000"/>
    <n v="385000"/>
    <n v="57750"/>
    <n v="327250"/>
    <n v="12250"/>
    <s v="West-C1019-1785"/>
    <s v="High Value"/>
    <s v="Excellent"/>
    <n v="4"/>
    <x v="0"/>
    <n v="0.08"/>
    <n v="149427.20000000001"/>
    <n v="11399.858216588"/>
    <n v="41"/>
  </r>
  <r>
    <n v="1786"/>
    <s v="18-09-2025"/>
    <x v="0"/>
    <x v="1"/>
    <s v="C1014"/>
    <s v="P108"/>
    <n v="7"/>
    <n v="2500"/>
    <n v="2"/>
    <n v="417737"/>
    <n v="8"/>
    <n v="4"/>
    <s v="Speaker"/>
    <x v="0"/>
    <n v="1800"/>
    <n v="17500"/>
    <n v="350"/>
    <n v="17150"/>
    <n v="4550"/>
    <s v="West-C1014-1786"/>
    <s v="Regular"/>
    <s v="Poor"/>
    <n v="3"/>
    <x v="1"/>
    <n v="0.06"/>
    <n v="133675.84"/>
    <n v="10198.180940172222"/>
    <n v="498"/>
  </r>
  <r>
    <n v="1787"/>
    <s v="11-11-2025"/>
    <x v="3"/>
    <x v="7"/>
    <s v="C1017"/>
    <s v="P103"/>
    <n v="10"/>
    <n v="1500"/>
    <n v="10"/>
    <n v="442410"/>
    <n v="8"/>
    <n v="5"/>
    <s v="Keyboard"/>
    <x v="0"/>
    <n v="1200"/>
    <n v="15000"/>
    <n v="1500"/>
    <n v="13500"/>
    <n v="1500"/>
    <s v="East-C1017-1787"/>
    <s v="Regular"/>
    <s v="Poor"/>
    <n v="4"/>
    <x v="5"/>
    <n v="0.08"/>
    <n v="176964"/>
    <n v="8970.4795971370968"/>
    <n v="553"/>
  </r>
  <r>
    <n v="1788"/>
    <s v="08-05-2025"/>
    <x v="2"/>
    <x v="6"/>
    <s v="C1032"/>
    <s v="P105"/>
    <n v="9"/>
    <n v="2000"/>
    <n v="0"/>
    <n v="308315"/>
    <n v="9"/>
    <n v="1"/>
    <s v="Headset"/>
    <x v="0"/>
    <n v="1500"/>
    <n v="18000"/>
    <n v="0"/>
    <n v="18000"/>
    <n v="4500"/>
    <s v="South-C1032-1788"/>
    <s v="Regular"/>
    <s v="Poor"/>
    <n v="2"/>
    <x v="4"/>
    <n v="0.04"/>
    <n v="27748.35"/>
    <n v="26962.602060318328"/>
    <n v="480"/>
  </r>
  <r>
    <n v="1789"/>
    <s v="26-01-2025"/>
    <x v="1"/>
    <x v="1"/>
    <s v="C1002"/>
    <s v="P108"/>
    <n v="6"/>
    <n v="2500"/>
    <n v="12"/>
    <n v="459447"/>
    <n v="7"/>
    <n v="4"/>
    <s v="Speaker"/>
    <x v="0"/>
    <n v="1800"/>
    <n v="15000"/>
    <n v="1800"/>
    <n v="13200"/>
    <n v="2400"/>
    <s v="North-C1002-1789"/>
    <s v="Regular"/>
    <s v="Poor"/>
    <n v="1"/>
    <x v="2"/>
    <n v="0.02"/>
    <n v="128645.16"/>
    <n v="11002.030271425407"/>
    <n v="564"/>
  </r>
  <r>
    <n v="1790"/>
    <s v="30-12-2025"/>
    <x v="3"/>
    <x v="4"/>
    <s v="C1009"/>
    <s v="P102"/>
    <n v="10"/>
    <n v="500"/>
    <n v="10"/>
    <n v="395627"/>
    <n v="11"/>
    <n v="5"/>
    <s v="Mouse"/>
    <x v="0"/>
    <n v="350"/>
    <n v="5000"/>
    <n v="500"/>
    <n v="4500"/>
    <n v="1000"/>
    <s v="East-C1009-1790"/>
    <s v="Regular"/>
    <s v="Poor"/>
    <n v="4"/>
    <x v="0"/>
    <n v="0.08"/>
    <n v="217594.85"/>
    <n v="8601.8896129606546"/>
    <n v="805"/>
  </r>
  <r>
    <n v="1791"/>
    <s v="05-03-2025"/>
    <x v="0"/>
    <x v="1"/>
    <s v="C1033"/>
    <s v="P110"/>
    <n v="3"/>
    <n v="950"/>
    <n v="10"/>
    <n v="243780"/>
    <n v="9"/>
    <n v="4"/>
    <s v="Webcam"/>
    <x v="0"/>
    <n v="700"/>
    <n v="2850"/>
    <n v="285"/>
    <n v="2565"/>
    <n v="465"/>
    <s v="West-C1033-1791"/>
    <s v="Regular"/>
    <s v="Poor"/>
    <n v="1"/>
    <x v="10"/>
    <n v="0.02"/>
    <n v="87760.8"/>
    <n v="6066.4756299176815"/>
    <n v="901"/>
  </r>
  <r>
    <n v="1792"/>
    <s v="24-07-2025"/>
    <x v="0"/>
    <x v="0"/>
    <s v="C1037"/>
    <s v="P102"/>
    <n v="5"/>
    <n v="500"/>
    <n v="15"/>
    <n v="344390"/>
    <n v="9"/>
    <n v="3"/>
    <s v="Mouse"/>
    <x v="0"/>
    <n v="350"/>
    <n v="2500"/>
    <n v="375"/>
    <n v="2125"/>
    <n v="375"/>
    <s v="West-C1037-1792"/>
    <s v="Regular"/>
    <s v="Poor"/>
    <n v="3"/>
    <x v="8"/>
    <n v="0.06"/>
    <n v="92985.3"/>
    <n v="10951.509930756973"/>
    <n v="923"/>
  </r>
  <r>
    <n v="1793"/>
    <s v="26-02-2025"/>
    <x v="0"/>
    <x v="4"/>
    <s v="C1032"/>
    <s v="P107"/>
    <n v="4"/>
    <n v="35000"/>
    <n v="2"/>
    <n v="115435"/>
    <n v="7"/>
    <n v="3"/>
    <s v="Tablet"/>
    <x v="1"/>
    <n v="29000"/>
    <n v="140000"/>
    <n v="2800"/>
    <n v="137200"/>
    <n v="21200"/>
    <s v="West-C1032-1793"/>
    <s v="High Value"/>
    <s v="Excellent"/>
    <n v="1"/>
    <x v="9"/>
    <n v="0.02"/>
    <n v="24241.35"/>
    <n v="3564.2976766542101"/>
    <n v="139"/>
  </r>
  <r>
    <n v="1794"/>
    <s v="27-04-2025"/>
    <x v="1"/>
    <x v="1"/>
    <s v="C1005"/>
    <s v="P108"/>
    <n v="6"/>
    <n v="2500"/>
    <n v="8"/>
    <n v="283797"/>
    <n v="11"/>
    <n v="2"/>
    <s v="Speaker"/>
    <x v="0"/>
    <n v="1800"/>
    <n v="15000"/>
    <n v="1200"/>
    <n v="13800"/>
    <n v="3000"/>
    <s v="North-C1005-1794"/>
    <s v="Regular"/>
    <s v="Poor"/>
    <n v="2"/>
    <x v="11"/>
    <n v="0.04"/>
    <n v="62435.34"/>
    <n v="13227.164656659223"/>
    <n v="544"/>
  </r>
  <r>
    <n v="1795"/>
    <s v="27-06-2025"/>
    <x v="3"/>
    <x v="1"/>
    <s v="C1048"/>
    <s v="P107"/>
    <n v="8"/>
    <n v="35000"/>
    <n v="8"/>
    <n v="373327"/>
    <n v="12"/>
    <n v="1"/>
    <s v="Tablet"/>
    <x v="1"/>
    <n v="29000"/>
    <n v="280000"/>
    <n v="22400"/>
    <n v="257600"/>
    <n v="25600"/>
    <s v="East-C1048-1795"/>
    <s v="High Value"/>
    <s v="Excellent"/>
    <n v="2"/>
    <x v="3"/>
    <n v="0.04"/>
    <n v="44799.24"/>
    <n v="33169.651730919264"/>
    <n v="72"/>
  </r>
  <r>
    <n v="1796"/>
    <s v="08-01-2025"/>
    <x v="1"/>
    <x v="6"/>
    <s v="C1021"/>
    <s v="P108"/>
    <n v="10"/>
    <n v="2500"/>
    <n v="10"/>
    <n v="492243"/>
    <n v="8"/>
    <n v="5"/>
    <s v="Speaker"/>
    <x v="0"/>
    <n v="1800"/>
    <n v="25000"/>
    <n v="2500"/>
    <n v="22500"/>
    <n v="4500"/>
    <s v="North-C1021-1796"/>
    <s v="Regular"/>
    <s v="Average"/>
    <n v="1"/>
    <x v="2"/>
    <n v="0.02"/>
    <n v="196897.2"/>
    <n v="9980.9131537116155"/>
    <n v="416"/>
  </r>
  <r>
    <n v="1797"/>
    <s v="08-02-2025"/>
    <x v="2"/>
    <x v="0"/>
    <s v="C1040"/>
    <s v="P109"/>
    <n v="2"/>
    <n v="7000"/>
    <n v="5"/>
    <n v="195292"/>
    <n v="8"/>
    <n v="2"/>
    <s v="Router"/>
    <x v="1"/>
    <n v="5000"/>
    <n v="14000"/>
    <n v="700"/>
    <n v="13300"/>
    <n v="3300"/>
    <s v="South-C1040-1797"/>
    <s v="Regular"/>
    <s v="Poor"/>
    <n v="1"/>
    <x v="9"/>
    <n v="0.02"/>
    <n v="31246.720000000001"/>
    <n v="8832.5282030611143"/>
    <n v="559"/>
  </r>
  <r>
    <n v="1798"/>
    <s v="10-12-2025"/>
    <x v="0"/>
    <x v="6"/>
    <s v="C1033"/>
    <s v="P102"/>
    <n v="9"/>
    <n v="500"/>
    <n v="15"/>
    <n v="113801"/>
    <n v="8"/>
    <n v="3"/>
    <s v="Mouse"/>
    <x v="0"/>
    <n v="350"/>
    <n v="4500"/>
    <n v="675"/>
    <n v="3825"/>
    <n v="675"/>
    <s v="West-C1033-1798"/>
    <s v="Regular"/>
    <s v="Poor"/>
    <n v="4"/>
    <x v="0"/>
    <n v="0.08"/>
    <n v="27312.240000000002"/>
    <n v="3566.1097258762925"/>
    <n v="850"/>
  </r>
  <r>
    <n v="1799"/>
    <s v="29-03-2025"/>
    <x v="0"/>
    <x v="4"/>
    <s v="C1014"/>
    <s v="P110"/>
    <n v="7"/>
    <n v="950"/>
    <n v="0"/>
    <n v="499603"/>
    <n v="12"/>
    <n v="2"/>
    <s v="Webcam"/>
    <x v="0"/>
    <n v="700"/>
    <n v="6650"/>
    <n v="0"/>
    <n v="6650"/>
    <n v="1750"/>
    <s v="West-C1014-1799"/>
    <s v="Regular"/>
    <s v="Poor"/>
    <n v="1"/>
    <x v="10"/>
    <n v="0.02"/>
    <n v="119904.72"/>
    <n v="23518.047943159716"/>
    <n v="734"/>
  </r>
  <r>
    <n v="1800"/>
    <s v="28-05-2025"/>
    <x v="2"/>
    <x v="5"/>
    <s v="C1026"/>
    <s v="P108"/>
    <n v="8"/>
    <n v="2500"/>
    <n v="8"/>
    <n v="290481"/>
    <n v="11"/>
    <n v="1"/>
    <s v="Speaker"/>
    <x v="0"/>
    <n v="1800"/>
    <n v="20000"/>
    <n v="1600"/>
    <n v="18400"/>
    <n v="4000"/>
    <s v="South-C1026-1800"/>
    <s v="Regular"/>
    <s v="Poor"/>
    <n v="2"/>
    <x v="4"/>
    <n v="0.04"/>
    <n v="31952.91"/>
    <n v="25673.19254901406"/>
    <n v="473"/>
  </r>
  <r>
    <n v="1801"/>
    <s v="26-12-2025"/>
    <x v="3"/>
    <x v="4"/>
    <s v="C1030"/>
    <s v="P109"/>
    <n v="4"/>
    <n v="7000"/>
    <n v="10"/>
    <n v="357711"/>
    <n v="9"/>
    <n v="5"/>
    <s v="Router"/>
    <x v="1"/>
    <n v="5000"/>
    <n v="28000"/>
    <n v="2800"/>
    <n v="25200"/>
    <n v="5200"/>
    <s v="East-C1030-1801"/>
    <s v="Regular"/>
    <s v="Average"/>
    <n v="4"/>
    <x v="0"/>
    <n v="0.08"/>
    <n v="160969.95000000001"/>
    <n v="7425.4920063743184"/>
    <n v="395"/>
  </r>
  <r>
    <n v="1802"/>
    <s v="12-05-2025"/>
    <x v="2"/>
    <x v="1"/>
    <s v="C1007"/>
    <s v="P103"/>
    <n v="3"/>
    <n v="1500"/>
    <n v="12"/>
    <n v="66677"/>
    <n v="9"/>
    <n v="5"/>
    <s v="Keyboard"/>
    <x v="0"/>
    <n v="1200"/>
    <n v="4500"/>
    <n v="540"/>
    <n v="3960"/>
    <n v="360"/>
    <s v="South-C1007-1802"/>
    <s v="Regular"/>
    <s v="Poor"/>
    <n v="2"/>
    <x v="4"/>
    <n v="0.04"/>
    <n v="30004.65"/>
    <n v="1384.1048514276063"/>
    <n v="840"/>
  </r>
  <r>
    <n v="1803"/>
    <s v="09-08-2025"/>
    <x v="3"/>
    <x v="4"/>
    <s v="C1005"/>
    <s v="P108"/>
    <n v="8"/>
    <n v="2500"/>
    <n v="2"/>
    <n v="180376"/>
    <n v="8"/>
    <n v="2"/>
    <s v="Speaker"/>
    <x v="0"/>
    <n v="1800"/>
    <n v="20000"/>
    <n v="400"/>
    <n v="19600"/>
    <n v="5200"/>
    <s v="East-C1005-1803"/>
    <s v="Regular"/>
    <s v="Poor"/>
    <n v="3"/>
    <x v="7"/>
    <n v="0.06"/>
    <n v="28860.16"/>
    <n v="8157.9179237006738"/>
    <n v="461"/>
  </r>
  <r>
    <n v="1804"/>
    <s v="24-02-2025"/>
    <x v="3"/>
    <x v="7"/>
    <s v="C1023"/>
    <s v="P110"/>
    <n v="1"/>
    <n v="950"/>
    <n v="12"/>
    <n v="263181"/>
    <n v="7"/>
    <n v="4"/>
    <s v="Webcam"/>
    <x v="0"/>
    <n v="700"/>
    <n v="950"/>
    <n v="114"/>
    <n v="836"/>
    <n v="136"/>
    <s v="East-C1023-1804"/>
    <s v="Regular"/>
    <s v="Poor"/>
    <n v="1"/>
    <x v="9"/>
    <n v="0.02"/>
    <n v="73690.679999999993"/>
    <n v="6302.1966165063868"/>
    <n v="989"/>
  </r>
  <r>
    <n v="1805"/>
    <s v="25-10-2025"/>
    <x v="2"/>
    <x v="0"/>
    <s v="C1050"/>
    <s v="P101"/>
    <n v="10"/>
    <n v="55000"/>
    <n v="12"/>
    <n v="323005"/>
    <n v="11"/>
    <n v="4"/>
    <s v="Laptop"/>
    <x v="1"/>
    <n v="45000"/>
    <n v="550000"/>
    <n v="66000"/>
    <n v="484000"/>
    <n v="34000"/>
    <s v="South-C1050-1805"/>
    <s v="High Value"/>
    <s v="Excellent"/>
    <n v="4"/>
    <x v="6"/>
    <n v="0.08"/>
    <n v="142122.20000000001"/>
    <n v="8348.2330311123151"/>
    <n v="10"/>
  </r>
  <r>
    <n v="1806"/>
    <s v="16-01-2025"/>
    <x v="0"/>
    <x v="7"/>
    <s v="C1006"/>
    <s v="P104"/>
    <n v="4"/>
    <n v="12000"/>
    <n v="2"/>
    <n v="470453"/>
    <n v="12"/>
    <n v="1"/>
    <s v="Monitor"/>
    <x v="1"/>
    <n v="9000"/>
    <n v="48000"/>
    <n v="960"/>
    <n v="47040"/>
    <n v="11040"/>
    <s v="West-C1006-1806"/>
    <s v="Regular"/>
    <s v="Average"/>
    <n v="1"/>
    <x v="2"/>
    <n v="0.02"/>
    <n v="56454.36"/>
    <n v="41799.17918009188"/>
    <n v="310"/>
  </r>
  <r>
    <n v="1807"/>
    <s v="13-02-2025"/>
    <x v="3"/>
    <x v="2"/>
    <s v="C1025"/>
    <s v="P103"/>
    <n v="7"/>
    <n v="1500"/>
    <n v="12"/>
    <n v="276248"/>
    <n v="9"/>
    <n v="5"/>
    <s v="Keyboard"/>
    <x v="0"/>
    <n v="1200"/>
    <n v="10500"/>
    <n v="1260"/>
    <n v="9240"/>
    <n v="840"/>
    <s v="East-C1025-1807"/>
    <s v="Regular"/>
    <s v="Poor"/>
    <n v="1"/>
    <x v="9"/>
    <n v="0.02"/>
    <n v="124311.6"/>
    <n v="5734.4541145698422"/>
    <n v="655"/>
  </r>
  <r>
    <n v="1808"/>
    <s v="22-12-2025"/>
    <x v="0"/>
    <x v="1"/>
    <s v="C1002"/>
    <s v="P109"/>
    <n v="3"/>
    <n v="7000"/>
    <n v="12"/>
    <n v="200198"/>
    <n v="9"/>
    <n v="4"/>
    <s v="Router"/>
    <x v="1"/>
    <n v="5000"/>
    <n v="21000"/>
    <n v="2520"/>
    <n v="18480"/>
    <n v="3480"/>
    <s v="West-C1002-1808"/>
    <s v="Regular"/>
    <s v="Poor"/>
    <n v="4"/>
    <x v="0"/>
    <n v="0.08"/>
    <n v="72071.28"/>
    <n v="4981.9357131768811"/>
    <n v="472"/>
  </r>
  <r>
    <n v="1809"/>
    <s v="24-07-2025"/>
    <x v="2"/>
    <x v="5"/>
    <s v="C1030"/>
    <s v="P110"/>
    <n v="6"/>
    <n v="950"/>
    <n v="5"/>
    <n v="475592"/>
    <n v="7"/>
    <n v="1"/>
    <s v="Webcam"/>
    <x v="0"/>
    <n v="700"/>
    <n v="5700"/>
    <n v="285"/>
    <n v="5415"/>
    <n v="1215"/>
    <s v="South-C1030-1809"/>
    <s v="Regular"/>
    <s v="Poor"/>
    <n v="3"/>
    <x v="8"/>
    <n v="0.06"/>
    <n v="33291.440000000002"/>
    <n v="41151.428230305675"/>
    <n v="774"/>
  </r>
  <r>
    <n v="1810"/>
    <s v="23-06-2025"/>
    <x v="0"/>
    <x v="0"/>
    <s v="C1014"/>
    <s v="P102"/>
    <n v="8"/>
    <n v="500"/>
    <n v="5"/>
    <n v="288911"/>
    <n v="7"/>
    <n v="5"/>
    <s v="Mouse"/>
    <x v="0"/>
    <n v="350"/>
    <n v="4000"/>
    <n v="200"/>
    <n v="3800"/>
    <n v="1000"/>
    <s v="West-C1014-1810"/>
    <s v="Regular"/>
    <s v="Poor"/>
    <n v="2"/>
    <x v="3"/>
    <n v="0.04"/>
    <n v="101118.85"/>
    <n v="5720.7840714909244"/>
    <n v="854"/>
  </r>
  <r>
    <n v="1811"/>
    <s v="18-07-2025"/>
    <x v="2"/>
    <x v="6"/>
    <s v="C1045"/>
    <s v="P109"/>
    <n v="8"/>
    <n v="7000"/>
    <n v="8"/>
    <n v="173092"/>
    <n v="12"/>
    <n v="2"/>
    <s v="Router"/>
    <x v="1"/>
    <n v="5000"/>
    <n v="56000"/>
    <n v="4480"/>
    <n v="51520"/>
    <n v="11520"/>
    <s v="South-C1045-1811"/>
    <s v="High Value"/>
    <s v="Good"/>
    <n v="3"/>
    <x v="8"/>
    <n v="0.06"/>
    <n v="41542.080000000002"/>
    <n v="8148.0414540693337"/>
    <n v="287"/>
  </r>
  <r>
    <n v="1812"/>
    <s v="02-10-2025"/>
    <x v="0"/>
    <x v="5"/>
    <s v="C1003"/>
    <s v="P104"/>
    <n v="2"/>
    <n v="12000"/>
    <n v="12"/>
    <n v="287642"/>
    <n v="7"/>
    <n v="1"/>
    <s v="Monitor"/>
    <x v="1"/>
    <n v="9000"/>
    <n v="24000"/>
    <n v="2880"/>
    <n v="21120"/>
    <n v="3120"/>
    <s v="West-C1003-1812"/>
    <s v="Regular"/>
    <s v="Average"/>
    <n v="4"/>
    <x v="6"/>
    <n v="0.08"/>
    <n v="20134.939999999999"/>
    <n v="24888.726301160626"/>
    <n v="429"/>
  </r>
  <r>
    <n v="1813"/>
    <s v="25-05-2025"/>
    <x v="2"/>
    <x v="4"/>
    <s v="C1029"/>
    <s v="P104"/>
    <n v="2"/>
    <n v="12000"/>
    <n v="5"/>
    <n v="481399"/>
    <n v="11"/>
    <n v="4"/>
    <s v="Monitor"/>
    <x v="1"/>
    <n v="9000"/>
    <n v="24000"/>
    <n v="1200"/>
    <n v="22800"/>
    <n v="4800"/>
    <s v="South-C1029-1813"/>
    <s v="Regular"/>
    <s v="Average"/>
    <n v="2"/>
    <x v="4"/>
    <n v="0.04"/>
    <n v="211815.56"/>
    <n v="12442.008739630774"/>
    <n v="410"/>
  </r>
  <r>
    <n v="1814"/>
    <s v="05-04-2025"/>
    <x v="3"/>
    <x v="6"/>
    <s v="C1019"/>
    <s v="P110"/>
    <n v="3"/>
    <n v="950"/>
    <n v="0"/>
    <n v="240104"/>
    <n v="11"/>
    <n v="5"/>
    <s v="Webcam"/>
    <x v="0"/>
    <n v="700"/>
    <n v="2850"/>
    <n v="0"/>
    <n v="2850"/>
    <n v="750"/>
    <s v="East-C1019-1814"/>
    <s v="Regular"/>
    <s v="Poor"/>
    <n v="2"/>
    <x v="11"/>
    <n v="0.04"/>
    <n v="132057.20000000001"/>
    <n v="5220.4427494339488"/>
    <n v="887"/>
  </r>
  <r>
    <n v="1815"/>
    <s v="21-01-2025"/>
    <x v="1"/>
    <x v="6"/>
    <s v="C1033"/>
    <s v="P106"/>
    <n v="3"/>
    <n v="8000"/>
    <n v="5"/>
    <n v="162749"/>
    <n v="10"/>
    <n v="5"/>
    <s v="Printer"/>
    <x v="1"/>
    <n v="6500"/>
    <n v="24000"/>
    <n v="1200"/>
    <n v="22800"/>
    <n v="3300"/>
    <s v="North-C1033-1815"/>
    <s v="Regular"/>
    <s v="Average"/>
    <n v="1"/>
    <x v="2"/>
    <n v="0.02"/>
    <n v="81374.5"/>
    <n v="3457.9352797142005"/>
    <n v="410"/>
  </r>
  <r>
    <n v="1816"/>
    <s v="05-07-2025"/>
    <x v="3"/>
    <x v="1"/>
    <s v="C1025"/>
    <s v="P104"/>
    <n v="4"/>
    <n v="12000"/>
    <n v="2"/>
    <n v="494015"/>
    <n v="7"/>
    <n v="4"/>
    <s v="Monitor"/>
    <x v="1"/>
    <n v="9000"/>
    <n v="48000"/>
    <n v="960"/>
    <n v="47040"/>
    <n v="11040"/>
    <s v="East-C1025-1816"/>
    <s v="Regular"/>
    <s v="Average"/>
    <n v="3"/>
    <x v="8"/>
    <n v="0.06"/>
    <n v="138324.20000000001"/>
    <n v="11829.804056916733"/>
    <n v="310"/>
  </r>
  <r>
    <n v="1817"/>
    <s v="29-06-2025"/>
    <x v="2"/>
    <x v="7"/>
    <s v="C1004"/>
    <s v="P103"/>
    <n v="8"/>
    <n v="1500"/>
    <n v="15"/>
    <n v="222539"/>
    <n v="9"/>
    <n v="1"/>
    <s v="Keyboard"/>
    <x v="0"/>
    <n v="1200"/>
    <n v="12000"/>
    <n v="1800"/>
    <n v="10200"/>
    <n v="600"/>
    <s v="South-C1004-1817"/>
    <s v="Regular"/>
    <s v="Poor"/>
    <n v="2"/>
    <x v="3"/>
    <n v="0.04"/>
    <n v="20028.509999999998"/>
    <n v="19461.364188901545"/>
    <n v="630"/>
  </r>
  <r>
    <n v="1818"/>
    <s v="17-08-2025"/>
    <x v="2"/>
    <x v="0"/>
    <s v="C1050"/>
    <s v="P109"/>
    <n v="5"/>
    <n v="7000"/>
    <n v="10"/>
    <n v="415824"/>
    <n v="10"/>
    <n v="5"/>
    <s v="Router"/>
    <x v="1"/>
    <n v="5000"/>
    <n v="35000"/>
    <n v="3500"/>
    <n v="31500"/>
    <n v="6500"/>
    <s v="South-C1050-1818"/>
    <s v="Regular"/>
    <s v="Average"/>
    <n v="3"/>
    <x v="7"/>
    <n v="0.06"/>
    <n v="207912"/>
    <n v="8835.0311200184206"/>
    <n v="367"/>
  </r>
  <r>
    <n v="1819"/>
    <s v="28-05-2025"/>
    <x v="1"/>
    <x v="0"/>
    <s v="C1008"/>
    <s v="P104"/>
    <n v="2"/>
    <n v="12000"/>
    <n v="10"/>
    <n v="148871"/>
    <n v="10"/>
    <n v="3"/>
    <s v="Monitor"/>
    <x v="1"/>
    <n v="9000"/>
    <n v="24000"/>
    <n v="2400"/>
    <n v="21600"/>
    <n v="3600"/>
    <s v="North-C1008-1819"/>
    <s v="Regular"/>
    <s v="Average"/>
    <n v="2"/>
    <x v="4"/>
    <n v="0.04"/>
    <n v="44661.3"/>
    <n v="4803.6484247337803"/>
    <n v="424"/>
  </r>
  <r>
    <n v="1820"/>
    <s v="18-01-2025"/>
    <x v="1"/>
    <x v="7"/>
    <s v="C1005"/>
    <s v="P109"/>
    <n v="8"/>
    <n v="7000"/>
    <n v="12"/>
    <n v="479331"/>
    <n v="10"/>
    <n v="2"/>
    <s v="Router"/>
    <x v="1"/>
    <n v="5000"/>
    <n v="56000"/>
    <n v="6720"/>
    <n v="49280"/>
    <n v="9280"/>
    <s v="North-C1005-1820"/>
    <s v="Regular"/>
    <s v="Average"/>
    <n v="1"/>
    <x v="2"/>
    <n v="0.02"/>
    <n v="95866.2"/>
    <n v="22118.693686288127"/>
    <n v="297"/>
  </r>
  <r>
    <n v="1821"/>
    <s v="02-08-2025"/>
    <x v="1"/>
    <x v="6"/>
    <s v="C1037"/>
    <s v="P101"/>
    <n v="7"/>
    <n v="55000"/>
    <n v="2"/>
    <n v="499781"/>
    <n v="8"/>
    <n v="1"/>
    <s v="Laptop"/>
    <x v="1"/>
    <n v="45000"/>
    <n v="385000"/>
    <n v="7700"/>
    <n v="377300"/>
    <n v="62300"/>
    <s v="North-C1037-1821"/>
    <s v="High Value"/>
    <s v="Excellent"/>
    <n v="3"/>
    <x v="7"/>
    <n v="0.06"/>
    <n v="39982.480000000003"/>
    <n v="43475.164076740824"/>
    <n v="26"/>
  </r>
  <r>
    <n v="1822"/>
    <s v="07-09-2025"/>
    <x v="1"/>
    <x v="6"/>
    <s v="C1048"/>
    <s v="P108"/>
    <n v="3"/>
    <n v="2500"/>
    <n v="12"/>
    <n v="138439"/>
    <n v="7"/>
    <n v="5"/>
    <s v="Speaker"/>
    <x v="0"/>
    <n v="1800"/>
    <n v="7500"/>
    <n v="900"/>
    <n v="6600"/>
    <n v="1200"/>
    <s v="North-C1048-1822"/>
    <s v="Regular"/>
    <s v="Poor"/>
    <n v="3"/>
    <x v="1"/>
    <n v="0.06"/>
    <n v="48453.65"/>
    <n v="2741.2581247274493"/>
    <n v="738"/>
  </r>
  <r>
    <n v="1823"/>
    <s v="08-11-2025"/>
    <x v="1"/>
    <x v="0"/>
    <s v="C1016"/>
    <s v="P102"/>
    <n v="2"/>
    <n v="500"/>
    <n v="5"/>
    <n v="296406"/>
    <n v="9"/>
    <n v="1"/>
    <s v="Mouse"/>
    <x v="0"/>
    <n v="350"/>
    <n v="1000"/>
    <n v="50"/>
    <n v="950"/>
    <n v="250"/>
    <s v="North-C1016-1823"/>
    <s v="Regular"/>
    <s v="Poor"/>
    <n v="4"/>
    <x v="5"/>
    <n v="0.08"/>
    <n v="26676.54"/>
    <n v="25921.142423465331"/>
    <n v="967"/>
  </r>
  <r>
    <n v="1824"/>
    <s v="15-11-2025"/>
    <x v="1"/>
    <x v="3"/>
    <s v="C1044"/>
    <s v="P105"/>
    <n v="5"/>
    <n v="2000"/>
    <n v="10"/>
    <n v="439604"/>
    <n v="9"/>
    <n v="4"/>
    <s v="Headset"/>
    <x v="0"/>
    <n v="1500"/>
    <n v="10000"/>
    <n v="1000"/>
    <n v="9000"/>
    <n v="1500"/>
    <s v="North-C1044-1824"/>
    <s v="Regular"/>
    <s v="Poor"/>
    <n v="4"/>
    <x v="5"/>
    <n v="0.08"/>
    <n v="158257.44"/>
    <n v="10939.564167750974"/>
    <n v="663"/>
  </r>
  <r>
    <n v="1825"/>
    <s v="05-06-2025"/>
    <x v="3"/>
    <x v="6"/>
    <s v="C1002"/>
    <s v="P108"/>
    <n v="6"/>
    <n v="2500"/>
    <n v="10"/>
    <n v="58928"/>
    <n v="12"/>
    <n v="3"/>
    <s v="Speaker"/>
    <x v="0"/>
    <n v="1800"/>
    <n v="15000"/>
    <n v="1500"/>
    <n v="13500"/>
    <n v="2700"/>
    <s v="East-C1002-1825"/>
    <s v="Regular"/>
    <s v="Poor"/>
    <n v="2"/>
    <x v="3"/>
    <n v="0.04"/>
    <n v="21214.080000000002"/>
    <n v="1957.2528486516949"/>
    <n v="553"/>
  </r>
  <r>
    <n v="1826"/>
    <s v="12-08-2025"/>
    <x v="3"/>
    <x v="2"/>
    <s v="C1039"/>
    <s v="P107"/>
    <n v="7"/>
    <n v="35000"/>
    <n v="15"/>
    <n v="405069"/>
    <n v="8"/>
    <n v="1"/>
    <s v="Tablet"/>
    <x v="1"/>
    <n v="29000"/>
    <n v="245000"/>
    <n v="36750"/>
    <n v="208250"/>
    <n v="5250"/>
    <s v="East-C1039-1826"/>
    <s v="High Value"/>
    <s v="Excellent"/>
    <n v="3"/>
    <x v="7"/>
    <n v="0.06"/>
    <n v="32405.52"/>
    <n v="35236.315981202424"/>
    <n v="105"/>
  </r>
  <r>
    <n v="1827"/>
    <s v="13-12-2025"/>
    <x v="0"/>
    <x v="3"/>
    <s v="C1015"/>
    <s v="P109"/>
    <n v="5"/>
    <n v="7000"/>
    <n v="0"/>
    <n v="225639"/>
    <n v="7"/>
    <n v="5"/>
    <s v="Router"/>
    <x v="1"/>
    <n v="5000"/>
    <n v="35000"/>
    <n v="0"/>
    <n v="35000"/>
    <n v="10000"/>
    <s v="West-C1015-1827"/>
    <s v="Regular"/>
    <s v="Average"/>
    <n v="4"/>
    <x v="0"/>
    <n v="0.08"/>
    <n v="78973.649999999994"/>
    <n v="4467.9226374459286"/>
    <n v="351"/>
  </r>
  <r>
    <n v="1828"/>
    <s v="29-10-2025"/>
    <x v="1"/>
    <x v="3"/>
    <s v="C1002"/>
    <s v="P109"/>
    <n v="1"/>
    <n v="7000"/>
    <n v="0"/>
    <n v="229625"/>
    <n v="11"/>
    <n v="5"/>
    <s v="Router"/>
    <x v="1"/>
    <n v="5000"/>
    <n v="7000"/>
    <n v="0"/>
    <n v="7000"/>
    <n v="2000"/>
    <s v="North-C1002-1828"/>
    <s v="Regular"/>
    <s v="Poor"/>
    <n v="4"/>
    <x v="6"/>
    <n v="0.08"/>
    <n v="126293.75"/>
    <n v="4992.6038980557196"/>
    <n v="719"/>
  </r>
  <r>
    <n v="1829"/>
    <s v="23-04-2025"/>
    <x v="3"/>
    <x v="4"/>
    <s v="C1030"/>
    <s v="P104"/>
    <n v="9"/>
    <n v="12000"/>
    <n v="12"/>
    <n v="161380"/>
    <n v="7"/>
    <n v="3"/>
    <s v="Monitor"/>
    <x v="1"/>
    <n v="9000"/>
    <n v="108000"/>
    <n v="12960"/>
    <n v="95040"/>
    <n v="14040"/>
    <s v="East-C1030-1829"/>
    <s v="High Value"/>
    <s v="Good"/>
    <n v="2"/>
    <x v="11"/>
    <n v="0.04"/>
    <n v="33889.800000000003"/>
    <n v="4982.9458921337236"/>
    <n v="174"/>
  </r>
  <r>
    <n v="1830"/>
    <s v="18-10-2025"/>
    <x v="0"/>
    <x v="1"/>
    <s v="C1049"/>
    <s v="P110"/>
    <n v="8"/>
    <n v="950"/>
    <n v="12"/>
    <n v="421067"/>
    <n v="12"/>
    <n v="3"/>
    <s v="Webcam"/>
    <x v="0"/>
    <n v="700"/>
    <n v="7600"/>
    <n v="912"/>
    <n v="6688"/>
    <n v="1088"/>
    <s v="West-C1049-1830"/>
    <s v="Regular"/>
    <s v="Poor"/>
    <n v="4"/>
    <x v="6"/>
    <n v="0.08"/>
    <n v="151584.12"/>
    <n v="13985.449789967812"/>
    <n v="732"/>
  </r>
  <r>
    <n v="1831"/>
    <s v="26-11-2025"/>
    <x v="1"/>
    <x v="2"/>
    <s v="C1033"/>
    <s v="P103"/>
    <n v="3"/>
    <n v="1500"/>
    <n v="12"/>
    <n v="493813"/>
    <n v="9"/>
    <n v="4"/>
    <s v="Keyboard"/>
    <x v="0"/>
    <n v="1200"/>
    <n v="4500"/>
    <n v="540"/>
    <n v="3960"/>
    <n v="360"/>
    <s v="North-C1033-1831"/>
    <s v="Regular"/>
    <s v="Poor"/>
    <n v="4"/>
    <x v="5"/>
    <n v="0.08"/>
    <n v="177772.68"/>
    <n v="12288.557429799574"/>
    <n v="840"/>
  </r>
  <r>
    <n v="1832"/>
    <s v="30-03-2025"/>
    <x v="0"/>
    <x v="1"/>
    <s v="C1011"/>
    <s v="P104"/>
    <n v="4"/>
    <n v="12000"/>
    <n v="10"/>
    <n v="415155"/>
    <n v="9"/>
    <n v="1"/>
    <s v="Monitor"/>
    <x v="1"/>
    <n v="9000"/>
    <n v="48000"/>
    <n v="4800"/>
    <n v="43200"/>
    <n v="7200"/>
    <s v="West-C1011-1832"/>
    <s v="Regular"/>
    <s v="Average"/>
    <n v="1"/>
    <x v="10"/>
    <n v="0.02"/>
    <n v="37363.949999999997"/>
    <n v="36305.917838416724"/>
    <n v="323"/>
  </r>
  <r>
    <n v="1833"/>
    <s v="03-05-2025"/>
    <x v="3"/>
    <x v="7"/>
    <s v="C1049"/>
    <s v="P106"/>
    <n v="3"/>
    <n v="8000"/>
    <n v="10"/>
    <n v="492550"/>
    <n v="7"/>
    <n v="1"/>
    <s v="Printer"/>
    <x v="1"/>
    <n v="6500"/>
    <n v="24000"/>
    <n v="2400"/>
    <n v="21600"/>
    <n v="2100"/>
    <s v="East-C1049-1833"/>
    <s v="Regular"/>
    <s v="Average"/>
    <n v="2"/>
    <x v="4"/>
    <n v="0.04"/>
    <n v="34478.5"/>
    <n v="42618.748790637903"/>
    <n v="424"/>
  </r>
  <r>
    <n v="1834"/>
    <s v="05-02-2025"/>
    <x v="2"/>
    <x v="5"/>
    <s v="C1042"/>
    <s v="P109"/>
    <n v="8"/>
    <n v="7000"/>
    <n v="15"/>
    <n v="77405"/>
    <n v="8"/>
    <n v="2"/>
    <s v="Router"/>
    <x v="1"/>
    <n v="5000"/>
    <n v="56000"/>
    <n v="8400"/>
    <n v="47600"/>
    <n v="7600"/>
    <s v="South-C1042-1834"/>
    <s v="Regular"/>
    <s v="Average"/>
    <n v="1"/>
    <x v="9"/>
    <n v="0.02"/>
    <n v="12384.8"/>
    <n v="3500.8184951659341"/>
    <n v="309"/>
  </r>
  <r>
    <n v="1835"/>
    <s v="08-01-2025"/>
    <x v="0"/>
    <x v="1"/>
    <s v="C1038"/>
    <s v="P110"/>
    <n v="7"/>
    <n v="950"/>
    <n v="0"/>
    <n v="58375"/>
    <n v="8"/>
    <n v="1"/>
    <s v="Webcam"/>
    <x v="0"/>
    <n v="700"/>
    <n v="6650"/>
    <n v="0"/>
    <n v="6650"/>
    <n v="1750"/>
    <s v="West-C1038-1835"/>
    <s v="Regular"/>
    <s v="Poor"/>
    <n v="1"/>
    <x v="2"/>
    <n v="0.02"/>
    <n v="4670"/>
    <n v="5077.9495478614544"/>
    <n v="734"/>
  </r>
  <r>
    <n v="1836"/>
    <s v="18-07-2025"/>
    <x v="2"/>
    <x v="6"/>
    <s v="C1017"/>
    <s v="P109"/>
    <n v="8"/>
    <n v="7000"/>
    <n v="10"/>
    <n v="77730"/>
    <n v="10"/>
    <n v="2"/>
    <s v="Router"/>
    <x v="1"/>
    <n v="5000"/>
    <n v="56000"/>
    <n v="5600"/>
    <n v="50400"/>
    <n v="10400"/>
    <s v="South-C1017-1836"/>
    <s v="High Value"/>
    <s v="Good"/>
    <n v="3"/>
    <x v="8"/>
    <n v="0.06"/>
    <n v="15546"/>
    <n v="3586.8451242151577"/>
    <n v="294"/>
  </r>
  <r>
    <n v="1837"/>
    <s v="26-12-2025"/>
    <x v="2"/>
    <x v="0"/>
    <s v="C1035"/>
    <s v="P102"/>
    <n v="3"/>
    <n v="500"/>
    <n v="5"/>
    <n v="324752"/>
    <n v="8"/>
    <n v="4"/>
    <s v="Mouse"/>
    <x v="0"/>
    <n v="350"/>
    <n v="1500"/>
    <n v="75"/>
    <n v="1425"/>
    <n v="375"/>
    <s v="South-C1035-1837"/>
    <s v="Regular"/>
    <s v="Poor"/>
    <n v="4"/>
    <x v="0"/>
    <n v="0.08"/>
    <n v="103920.64"/>
    <n v="7928.1453562476154"/>
    <n v="952"/>
  </r>
  <r>
    <n v="1838"/>
    <s v="20-02-2025"/>
    <x v="3"/>
    <x v="0"/>
    <s v="C1001"/>
    <s v="P102"/>
    <n v="1"/>
    <n v="500"/>
    <n v="2"/>
    <n v="248618"/>
    <n v="9"/>
    <n v="5"/>
    <s v="Mouse"/>
    <x v="0"/>
    <n v="350"/>
    <n v="500"/>
    <n v="10"/>
    <n v="490"/>
    <n v="140"/>
    <s v="East-C1001-1838"/>
    <s v="Regular"/>
    <s v="Poor"/>
    <n v="1"/>
    <x v="9"/>
    <n v="0.02"/>
    <n v="111878.1"/>
    <n v="5160.9007596656802"/>
    <n v="995"/>
  </r>
  <r>
    <n v="1839"/>
    <s v="14-06-2025"/>
    <x v="3"/>
    <x v="5"/>
    <s v="C1022"/>
    <s v="P102"/>
    <n v="10"/>
    <n v="500"/>
    <n v="2"/>
    <n v="261075"/>
    <n v="11"/>
    <n v="5"/>
    <s v="Mouse"/>
    <x v="0"/>
    <n v="350"/>
    <n v="5000"/>
    <n v="100"/>
    <n v="4900"/>
    <n v="1400"/>
    <s v="East-C1022-1839"/>
    <s v="Regular"/>
    <s v="Poor"/>
    <n v="2"/>
    <x v="3"/>
    <n v="0.04"/>
    <n v="143591.25"/>
    <n v="5676.4031036903516"/>
    <n v="793"/>
  </r>
  <r>
    <n v="1840"/>
    <s v="23-03-2025"/>
    <x v="3"/>
    <x v="0"/>
    <s v="C1031"/>
    <s v="P104"/>
    <n v="9"/>
    <n v="12000"/>
    <n v="2"/>
    <n v="189603"/>
    <n v="10"/>
    <n v="2"/>
    <s v="Monitor"/>
    <x v="1"/>
    <n v="9000"/>
    <n v="108000"/>
    <n v="2160"/>
    <n v="105840"/>
    <n v="24840"/>
    <s v="East-C1031-1840"/>
    <s v="High Value"/>
    <s v="Excellent"/>
    <n v="1"/>
    <x v="10"/>
    <n v="0.02"/>
    <n v="37920.6"/>
    <n v="8749.2164683721421"/>
    <n v="158"/>
  </r>
  <r>
    <n v="1841"/>
    <s v="03-03-2025"/>
    <x v="1"/>
    <x v="6"/>
    <s v="C1047"/>
    <s v="P109"/>
    <n v="2"/>
    <n v="7000"/>
    <n v="8"/>
    <n v="212464"/>
    <n v="8"/>
    <n v="1"/>
    <s v="Router"/>
    <x v="1"/>
    <n v="5000"/>
    <n v="14000"/>
    <n v="1120"/>
    <n v="12880"/>
    <n v="2880"/>
    <s v="North-C1047-1841"/>
    <s v="Regular"/>
    <s v="Poor"/>
    <n v="1"/>
    <x v="10"/>
    <n v="0.02"/>
    <n v="16997.12"/>
    <n v="18481.9095972049"/>
    <n v="568"/>
  </r>
  <r>
    <n v="1842"/>
    <s v="01-04-2025"/>
    <x v="1"/>
    <x v="0"/>
    <s v="C1009"/>
    <s v="P105"/>
    <n v="3"/>
    <n v="2000"/>
    <n v="12"/>
    <n v="368066"/>
    <n v="12"/>
    <n v="3"/>
    <s v="Headset"/>
    <x v="0"/>
    <n v="1500"/>
    <n v="6000"/>
    <n v="720"/>
    <n v="5280"/>
    <n v="780"/>
    <s v="North-C1009-1842"/>
    <s v="Regular"/>
    <s v="Poor"/>
    <n v="2"/>
    <x v="11"/>
    <n v="0.04"/>
    <n v="132503.76"/>
    <n v="12225.058155576888"/>
    <n v="779"/>
  </r>
  <r>
    <n v="1843"/>
    <s v="19-12-2025"/>
    <x v="0"/>
    <x v="0"/>
    <s v="C1016"/>
    <s v="P104"/>
    <n v="3"/>
    <n v="12000"/>
    <n v="15"/>
    <n v="429139"/>
    <n v="10"/>
    <n v="4"/>
    <s v="Monitor"/>
    <x v="1"/>
    <n v="9000"/>
    <n v="36000"/>
    <n v="5400"/>
    <n v="30600"/>
    <n v="3600"/>
    <s v="West-C1016-1843"/>
    <s v="Regular"/>
    <s v="Average"/>
    <n v="4"/>
    <x v="0"/>
    <n v="0.08"/>
    <n v="171655.6"/>
    <n v="10884.073692603974"/>
    <n v="373"/>
  </r>
  <r>
    <n v="1844"/>
    <s v="25-12-2025"/>
    <x v="2"/>
    <x v="5"/>
    <s v="C1037"/>
    <s v="P103"/>
    <n v="8"/>
    <n v="1500"/>
    <n v="10"/>
    <n v="326269"/>
    <n v="7"/>
    <n v="1"/>
    <s v="Keyboard"/>
    <x v="0"/>
    <n v="1200"/>
    <n v="12000"/>
    <n v="1200"/>
    <n v="10800"/>
    <n v="1200"/>
    <s v="South-C1037-1844"/>
    <s v="Regular"/>
    <s v="Poor"/>
    <n v="4"/>
    <x v="0"/>
    <n v="0.08"/>
    <n v="22838.83"/>
    <n v="28230.994922693404"/>
    <n v="619"/>
  </r>
  <r>
    <n v="1845"/>
    <s v="23-07-2025"/>
    <x v="1"/>
    <x v="2"/>
    <s v="C1038"/>
    <s v="P106"/>
    <n v="4"/>
    <n v="8000"/>
    <n v="10"/>
    <n v="120472"/>
    <n v="11"/>
    <n v="5"/>
    <s v="Printer"/>
    <x v="1"/>
    <n v="6500"/>
    <n v="32000"/>
    <n v="3200"/>
    <n v="28800"/>
    <n v="2800"/>
    <s v="North-C1038-1845"/>
    <s v="Regular"/>
    <s v="Average"/>
    <n v="3"/>
    <x v="8"/>
    <n v="0.06"/>
    <n v="66259.600000000006"/>
    <n v="2619.3531924074846"/>
    <n v="384"/>
  </r>
  <r>
    <n v="1846"/>
    <s v="30-08-2025"/>
    <x v="2"/>
    <x v="2"/>
    <s v="C1020"/>
    <s v="P108"/>
    <n v="5"/>
    <n v="2500"/>
    <n v="8"/>
    <n v="394095"/>
    <n v="12"/>
    <n v="3"/>
    <s v="Speaker"/>
    <x v="0"/>
    <n v="1800"/>
    <n v="12500"/>
    <n v="1000"/>
    <n v="11500"/>
    <n v="2500"/>
    <s v="South-C1020-1846"/>
    <s v="Regular"/>
    <s v="Poor"/>
    <n v="3"/>
    <x v="7"/>
    <n v="0.06"/>
    <n v="141874.20000000001"/>
    <n v="13089.59342569559"/>
    <n v="603"/>
  </r>
  <r>
    <n v="1847"/>
    <s v="08-02-2025"/>
    <x v="2"/>
    <x v="4"/>
    <s v="C1041"/>
    <s v="P102"/>
    <n v="6"/>
    <n v="500"/>
    <n v="0"/>
    <n v="75172"/>
    <n v="8"/>
    <n v="4"/>
    <s v="Mouse"/>
    <x v="0"/>
    <n v="350"/>
    <n v="3000"/>
    <n v="0"/>
    <n v="3000"/>
    <n v="900"/>
    <s v="South-C1041-1847"/>
    <s v="Regular"/>
    <s v="Poor"/>
    <n v="1"/>
    <x v="9"/>
    <n v="0.02"/>
    <n v="24055.040000000001"/>
    <n v="1835.1681982554248"/>
    <n v="877"/>
  </r>
  <r>
    <n v="1848"/>
    <s v="20-01-2025"/>
    <x v="0"/>
    <x v="2"/>
    <s v="C1016"/>
    <s v="P103"/>
    <n v="6"/>
    <n v="1500"/>
    <n v="10"/>
    <n v="223348"/>
    <n v="11"/>
    <n v="1"/>
    <s v="Keyboard"/>
    <x v="0"/>
    <n v="1200"/>
    <n v="9000"/>
    <n v="900"/>
    <n v="8100"/>
    <n v="900"/>
    <s v="West-C1016-1848"/>
    <s v="Regular"/>
    <s v="Poor"/>
    <n v="1"/>
    <x v="2"/>
    <n v="0.02"/>
    <n v="24568.28"/>
    <n v="19739.866667483217"/>
    <n v="682"/>
  </r>
  <r>
    <n v="1849"/>
    <s v="05-05-2025"/>
    <x v="2"/>
    <x v="3"/>
    <s v="C1034"/>
    <s v="P102"/>
    <n v="2"/>
    <n v="500"/>
    <n v="10"/>
    <n v="356796"/>
    <n v="10"/>
    <n v="1"/>
    <s v="Mouse"/>
    <x v="0"/>
    <n v="350"/>
    <n v="1000"/>
    <n v="100"/>
    <n v="900"/>
    <n v="200"/>
    <s v="South-C1034-1849"/>
    <s v="Regular"/>
    <s v="Poor"/>
    <n v="2"/>
    <x v="4"/>
    <n v="0.04"/>
    <n v="35679.599999999999"/>
    <n v="31368.036900118506"/>
    <n v="979"/>
  </r>
  <r>
    <n v="1850"/>
    <s v="20-09-2025"/>
    <x v="3"/>
    <x v="4"/>
    <s v="C1028"/>
    <s v="P110"/>
    <n v="7"/>
    <n v="950"/>
    <n v="0"/>
    <n v="111752"/>
    <n v="10"/>
    <n v="4"/>
    <s v="Webcam"/>
    <x v="0"/>
    <n v="700"/>
    <n v="6650"/>
    <n v="0"/>
    <n v="6650"/>
    <n v="1750"/>
    <s v="East-C1028-1850"/>
    <s v="Regular"/>
    <s v="Poor"/>
    <n v="3"/>
    <x v="1"/>
    <n v="0.06"/>
    <n v="44700.800000000003"/>
    <n v="2834.3194239998679"/>
    <n v="734"/>
  </r>
  <r>
    <n v="1851"/>
    <s v="20-01-2025"/>
    <x v="2"/>
    <x v="2"/>
    <s v="C1023"/>
    <s v="P101"/>
    <n v="9"/>
    <n v="55000"/>
    <n v="15"/>
    <n v="396126"/>
    <n v="9"/>
    <n v="5"/>
    <s v="Laptop"/>
    <x v="1"/>
    <n v="45000"/>
    <n v="495000"/>
    <n v="74250"/>
    <n v="420750"/>
    <n v="15750"/>
    <s v="South-C1023-1851"/>
    <s v="High Value"/>
    <s v="Excellent"/>
    <n v="1"/>
    <x v="2"/>
    <n v="0.02"/>
    <n v="178256.7"/>
    <n v="8222.9242223947076"/>
    <n v="19"/>
  </r>
  <r>
    <n v="1852"/>
    <s v="21-07-2025"/>
    <x v="2"/>
    <x v="1"/>
    <s v="C1040"/>
    <s v="P105"/>
    <n v="4"/>
    <n v="2000"/>
    <n v="5"/>
    <n v="491872"/>
    <n v="8"/>
    <n v="3"/>
    <s v="Headset"/>
    <x v="0"/>
    <n v="1500"/>
    <n v="8000"/>
    <n v="400"/>
    <n v="7600"/>
    <n v="1600"/>
    <s v="South-C1040-1852"/>
    <s v="Regular"/>
    <s v="Poor"/>
    <n v="3"/>
    <x v="8"/>
    <n v="0.06"/>
    <n v="118049.28"/>
    <n v="15413.480752244915"/>
    <n v="701"/>
  </r>
  <r>
    <n v="1853"/>
    <s v="06-06-2025"/>
    <x v="2"/>
    <x v="1"/>
    <s v="C1005"/>
    <s v="P110"/>
    <n v="5"/>
    <n v="950"/>
    <n v="8"/>
    <n v="201436"/>
    <n v="7"/>
    <n v="4"/>
    <s v="Webcam"/>
    <x v="0"/>
    <n v="700"/>
    <n v="4750"/>
    <n v="380"/>
    <n v="4370"/>
    <n v="870"/>
    <s v="South-C1005-1853"/>
    <s v="Regular"/>
    <s v="Poor"/>
    <n v="2"/>
    <x v="3"/>
    <n v="0.04"/>
    <n v="56402.080000000002"/>
    <n v="4823.6357398238497"/>
    <n v="816"/>
  </r>
  <r>
    <n v="1854"/>
    <s v="18-06-2025"/>
    <x v="1"/>
    <x v="0"/>
    <s v="C1015"/>
    <s v="P105"/>
    <n v="5"/>
    <n v="2000"/>
    <n v="0"/>
    <n v="188159"/>
    <n v="9"/>
    <n v="5"/>
    <s v="Headset"/>
    <x v="0"/>
    <n v="1500"/>
    <n v="10000"/>
    <n v="0"/>
    <n v="10000"/>
    <n v="2500"/>
    <s v="North-C1015-1854"/>
    <s v="Regular"/>
    <s v="Poor"/>
    <n v="2"/>
    <x v="3"/>
    <n v="0.04"/>
    <n v="84671.55"/>
    <n v="3905.8713610355439"/>
    <n v="636"/>
  </r>
  <r>
    <n v="1855"/>
    <s v="03-09-2025"/>
    <x v="2"/>
    <x v="7"/>
    <s v="C1008"/>
    <s v="P106"/>
    <n v="3"/>
    <n v="8000"/>
    <n v="12"/>
    <n v="456459"/>
    <n v="12"/>
    <n v="2"/>
    <s v="Printer"/>
    <x v="1"/>
    <n v="6500"/>
    <n v="24000"/>
    <n v="2880"/>
    <n v="21120"/>
    <n v="1620"/>
    <s v="South-C1008-1855"/>
    <s v="Regular"/>
    <s v="Average"/>
    <n v="3"/>
    <x v="1"/>
    <n v="0.06"/>
    <n v="109550.16"/>
    <n v="21487.110057559181"/>
    <n v="429"/>
  </r>
  <r>
    <n v="1856"/>
    <s v="05-05-2025"/>
    <x v="1"/>
    <x v="5"/>
    <s v="C1033"/>
    <s v="P102"/>
    <n v="4"/>
    <n v="500"/>
    <n v="0"/>
    <n v="72060"/>
    <n v="12"/>
    <n v="3"/>
    <s v="Mouse"/>
    <x v="0"/>
    <n v="350"/>
    <n v="2000"/>
    <n v="0"/>
    <n v="2000"/>
    <n v="600"/>
    <s v="North-C1033-1856"/>
    <s v="Regular"/>
    <s v="Poor"/>
    <n v="2"/>
    <x v="4"/>
    <n v="0.04"/>
    <n v="25941.599999999999"/>
    <n v="2393.4231651140567"/>
    <n v="926"/>
  </r>
  <r>
    <n v="1857"/>
    <s v="19-10-2025"/>
    <x v="0"/>
    <x v="5"/>
    <s v="C1040"/>
    <s v="P103"/>
    <n v="5"/>
    <n v="1500"/>
    <n v="15"/>
    <n v="308311"/>
    <n v="8"/>
    <n v="3"/>
    <s v="Keyboard"/>
    <x v="0"/>
    <n v="1200"/>
    <n v="7500"/>
    <n v="1125"/>
    <n v="6375"/>
    <n v="375"/>
    <s v="West-C1040-1857"/>
    <s v="Regular"/>
    <s v="Poor"/>
    <n v="4"/>
    <x v="6"/>
    <n v="0.08"/>
    <n v="73994.64"/>
    <n v="9661.346171779207"/>
    <n v="748"/>
  </r>
  <r>
    <n v="1858"/>
    <s v="02-01-2025"/>
    <x v="0"/>
    <x v="6"/>
    <s v="C1038"/>
    <s v="P104"/>
    <n v="7"/>
    <n v="12000"/>
    <n v="0"/>
    <n v="297629"/>
    <n v="11"/>
    <n v="1"/>
    <s v="Monitor"/>
    <x v="1"/>
    <n v="9000"/>
    <n v="84000"/>
    <n v="0"/>
    <n v="84000"/>
    <n v="21000"/>
    <s v="West-C1038-1858"/>
    <s v="High Value"/>
    <s v="Good"/>
    <n v="1"/>
    <x v="2"/>
    <n v="0.02"/>
    <n v="32739.19"/>
    <n v="26304.944644126488"/>
    <n v="191"/>
  </r>
  <r>
    <n v="1859"/>
    <s v="04-09-2025"/>
    <x v="1"/>
    <x v="5"/>
    <s v="C1046"/>
    <s v="P106"/>
    <n v="1"/>
    <n v="8000"/>
    <n v="0"/>
    <n v="379954"/>
    <n v="8"/>
    <n v="1"/>
    <s v="Printer"/>
    <x v="1"/>
    <n v="6500"/>
    <n v="8000"/>
    <n v="0"/>
    <n v="8000"/>
    <n v="1500"/>
    <s v="North-C1046-1859"/>
    <s v="Regular"/>
    <s v="Poor"/>
    <n v="3"/>
    <x v="1"/>
    <n v="0.06"/>
    <n v="30396.32"/>
    <n v="33051.60158472207"/>
    <n v="687"/>
  </r>
  <r>
    <n v="1860"/>
    <s v="30-04-2025"/>
    <x v="3"/>
    <x v="2"/>
    <s v="C1001"/>
    <s v="P109"/>
    <n v="5"/>
    <n v="7000"/>
    <n v="0"/>
    <n v="77400"/>
    <n v="11"/>
    <n v="4"/>
    <s v="Router"/>
    <x v="1"/>
    <n v="5000"/>
    <n v="35000"/>
    <n v="0"/>
    <n v="35000"/>
    <n v="10000"/>
    <s v="East-C1001-1860"/>
    <s v="Regular"/>
    <s v="Average"/>
    <n v="2"/>
    <x v="11"/>
    <n v="0.04"/>
    <n v="34056"/>
    <n v="2000.4434501264477"/>
    <n v="351"/>
  </r>
  <r>
    <n v="1861"/>
    <s v="05-06-2025"/>
    <x v="2"/>
    <x v="4"/>
    <s v="C1011"/>
    <s v="P104"/>
    <n v="3"/>
    <n v="12000"/>
    <n v="0"/>
    <n v="478979"/>
    <n v="12"/>
    <n v="2"/>
    <s v="Monitor"/>
    <x v="1"/>
    <n v="9000"/>
    <n v="36000"/>
    <n v="0"/>
    <n v="36000"/>
    <n v="9000"/>
    <s v="South-C1011-1861"/>
    <s v="Regular"/>
    <s v="Average"/>
    <n v="2"/>
    <x v="3"/>
    <n v="0.04"/>
    <n v="114954.96"/>
    <n v="22547.204652027103"/>
    <n v="344"/>
  </r>
  <r>
    <n v="1862"/>
    <s v="06-01-2025"/>
    <x v="3"/>
    <x v="4"/>
    <s v="C1033"/>
    <s v="P106"/>
    <n v="4"/>
    <n v="8000"/>
    <n v="5"/>
    <n v="421112"/>
    <n v="12"/>
    <n v="4"/>
    <s v="Printer"/>
    <x v="1"/>
    <n v="6500"/>
    <n v="32000"/>
    <n v="1600"/>
    <n v="30400"/>
    <n v="4400"/>
    <s v="East-C1033-1862"/>
    <s v="Regular"/>
    <s v="Average"/>
    <n v="1"/>
    <x v="2"/>
    <n v="0.02"/>
    <n v="202133.76000000001"/>
    <n v="11089.494106409964"/>
    <n v="375"/>
  </r>
  <r>
    <n v="1863"/>
    <s v="08-05-2025"/>
    <x v="1"/>
    <x v="5"/>
    <s v="C1045"/>
    <s v="P106"/>
    <n v="3"/>
    <n v="8000"/>
    <n v="10"/>
    <n v="311867"/>
    <n v="7"/>
    <n v="5"/>
    <s v="Printer"/>
    <x v="1"/>
    <n v="6500"/>
    <n v="24000"/>
    <n v="2400"/>
    <n v="21600"/>
    <n v="2100"/>
    <s v="North-C1045-1863"/>
    <s v="Regular"/>
    <s v="Average"/>
    <n v="2"/>
    <x v="4"/>
    <n v="0.04"/>
    <n v="109153.45"/>
    <n v="6175.3403851831881"/>
    <n v="424"/>
  </r>
  <r>
    <n v="1864"/>
    <s v="21-10-2025"/>
    <x v="2"/>
    <x v="1"/>
    <s v="C1010"/>
    <s v="P109"/>
    <n v="4"/>
    <n v="7000"/>
    <n v="8"/>
    <n v="376484"/>
    <n v="8"/>
    <n v="1"/>
    <s v="Router"/>
    <x v="1"/>
    <n v="5000"/>
    <n v="28000"/>
    <n v="2240"/>
    <n v="25760"/>
    <n v="5760"/>
    <s v="South-C1010-1864"/>
    <s v="Regular"/>
    <s v="Average"/>
    <n v="4"/>
    <x v="6"/>
    <n v="0.08"/>
    <n v="30118.720000000001"/>
    <n v="32749.751735795664"/>
    <n v="393"/>
  </r>
  <r>
    <n v="1865"/>
    <s v="22-02-2025"/>
    <x v="3"/>
    <x v="3"/>
    <s v="C1001"/>
    <s v="P105"/>
    <n v="8"/>
    <n v="2000"/>
    <n v="15"/>
    <n v="317757"/>
    <n v="11"/>
    <n v="5"/>
    <s v="Headset"/>
    <x v="0"/>
    <n v="1500"/>
    <n v="16000"/>
    <n v="2400"/>
    <n v="13600"/>
    <n v="1600"/>
    <s v="East-C1001-1865"/>
    <s v="Regular"/>
    <s v="Poor"/>
    <n v="1"/>
    <x v="9"/>
    <n v="0.02"/>
    <n v="174766.35"/>
    <n v="6908.807128293919"/>
    <n v="552"/>
  </r>
  <r>
    <n v="1866"/>
    <s v="18-10-2025"/>
    <x v="2"/>
    <x v="0"/>
    <s v="C1004"/>
    <s v="P110"/>
    <n v="9"/>
    <n v="950"/>
    <n v="8"/>
    <n v="203029"/>
    <n v="9"/>
    <n v="5"/>
    <s v="Webcam"/>
    <x v="0"/>
    <n v="700"/>
    <n v="8550"/>
    <n v="684"/>
    <n v="7866"/>
    <n v="1566"/>
    <s v="South-C1004-1866"/>
    <s v="Regular"/>
    <s v="Poor"/>
    <n v="4"/>
    <x v="6"/>
    <n v="0.08"/>
    <n v="91363.05"/>
    <n v="4214.5481032514281"/>
    <n v="690"/>
  </r>
  <r>
    <n v="1867"/>
    <s v="25-12-2025"/>
    <x v="3"/>
    <x v="5"/>
    <s v="C1042"/>
    <s v="P102"/>
    <n v="7"/>
    <n v="500"/>
    <n v="5"/>
    <n v="369682"/>
    <n v="7"/>
    <n v="4"/>
    <s v="Mouse"/>
    <x v="0"/>
    <n v="350"/>
    <n v="3500"/>
    <n v="175"/>
    <n v="3325"/>
    <n v="875"/>
    <s v="East-C1042-1867"/>
    <s v="Regular"/>
    <s v="Poor"/>
    <n v="4"/>
    <x v="0"/>
    <n v="0.08"/>
    <n v="103510.96"/>
    <n v="8852.4956193012185"/>
    <n v="869"/>
  </r>
  <r>
    <n v="1868"/>
    <s v="17-01-2025"/>
    <x v="3"/>
    <x v="3"/>
    <s v="C1017"/>
    <s v="P102"/>
    <n v="5"/>
    <n v="500"/>
    <n v="8"/>
    <n v="129921"/>
    <n v="8"/>
    <n v="4"/>
    <s v="Mouse"/>
    <x v="0"/>
    <n v="350"/>
    <n v="2500"/>
    <n v="200"/>
    <n v="2300"/>
    <n v="550"/>
    <s v="East-C1017-1868"/>
    <s v="Regular"/>
    <s v="Poor"/>
    <n v="1"/>
    <x v="2"/>
    <n v="0.02"/>
    <n v="41574.720000000001"/>
    <n v="3171.7512835303442"/>
    <n v="917"/>
  </r>
  <r>
    <n v="1869"/>
    <s v="29-01-2025"/>
    <x v="1"/>
    <x v="6"/>
    <s v="C1033"/>
    <s v="P110"/>
    <n v="5"/>
    <n v="950"/>
    <n v="10"/>
    <n v="238711"/>
    <n v="11"/>
    <n v="1"/>
    <s v="Webcam"/>
    <x v="0"/>
    <n v="700"/>
    <n v="4750"/>
    <n v="475"/>
    <n v="4275"/>
    <n v="775"/>
    <s v="North-C1033-1869"/>
    <s v="Regular"/>
    <s v="Poor"/>
    <n v="1"/>
    <x v="2"/>
    <n v="0.02"/>
    <n v="26258.21"/>
    <n v="21097.674087350621"/>
    <n v="819"/>
  </r>
  <r>
    <n v="1870"/>
    <s v="06-08-2025"/>
    <x v="2"/>
    <x v="2"/>
    <s v="C1018"/>
    <s v="P110"/>
    <n v="6"/>
    <n v="950"/>
    <n v="5"/>
    <n v="74192"/>
    <n v="9"/>
    <n v="3"/>
    <s v="Webcam"/>
    <x v="0"/>
    <n v="700"/>
    <n v="5700"/>
    <n v="285"/>
    <n v="5415"/>
    <n v="1215"/>
    <s v="South-C1018-1870"/>
    <s v="Regular"/>
    <s v="Poor"/>
    <n v="3"/>
    <x v="7"/>
    <n v="0.06"/>
    <n v="20031.84"/>
    <n v="2359.2857655063194"/>
    <n v="774"/>
  </r>
  <r>
    <n v="1871"/>
    <s v="20-08-2025"/>
    <x v="1"/>
    <x v="0"/>
    <s v="C1043"/>
    <s v="P103"/>
    <n v="2"/>
    <n v="1500"/>
    <n v="12"/>
    <n v="302042"/>
    <n v="11"/>
    <n v="5"/>
    <s v="Keyboard"/>
    <x v="0"/>
    <n v="1200"/>
    <n v="3000"/>
    <n v="360"/>
    <n v="2640"/>
    <n v="240"/>
    <s v="North-C1043-1871"/>
    <s v="Regular"/>
    <s v="Poor"/>
    <n v="3"/>
    <x v="7"/>
    <n v="0.06"/>
    <n v="166123.1"/>
    <n v="6567.1249497073295"/>
    <n v="899"/>
  </r>
  <r>
    <n v="1872"/>
    <s v="24-07-2025"/>
    <x v="3"/>
    <x v="5"/>
    <s v="C1019"/>
    <s v="P109"/>
    <n v="9"/>
    <n v="7000"/>
    <n v="15"/>
    <n v="253129"/>
    <n v="10"/>
    <n v="1"/>
    <s v="Router"/>
    <x v="1"/>
    <n v="5000"/>
    <n v="63000"/>
    <n v="9450"/>
    <n v="53550"/>
    <n v="8550"/>
    <s v="East-C1019-1872"/>
    <s v="High Value"/>
    <s v="Good"/>
    <n v="3"/>
    <x v="8"/>
    <n v="0.06"/>
    <n v="25312.9"/>
    <n v="22254.0606186451"/>
    <n v="279"/>
  </r>
  <r>
    <n v="1873"/>
    <s v="23-10-2025"/>
    <x v="0"/>
    <x v="6"/>
    <s v="C1027"/>
    <s v="P102"/>
    <n v="8"/>
    <n v="500"/>
    <n v="12"/>
    <n v="439754"/>
    <n v="8"/>
    <n v="5"/>
    <s v="Mouse"/>
    <x v="0"/>
    <n v="350"/>
    <n v="4000"/>
    <n v="480"/>
    <n v="3520"/>
    <n v="720"/>
    <s v="West-C1027-1873"/>
    <s v="Regular"/>
    <s v="Poor"/>
    <n v="4"/>
    <x v="6"/>
    <n v="0.08"/>
    <n v="175901.6"/>
    <n v="8916.6254939070695"/>
    <n v="862"/>
  </r>
  <r>
    <n v="1874"/>
    <s v="21-02-2025"/>
    <x v="2"/>
    <x v="4"/>
    <s v="C1008"/>
    <s v="P110"/>
    <n v="8"/>
    <n v="950"/>
    <n v="10"/>
    <n v="433667"/>
    <n v="11"/>
    <n v="4"/>
    <s v="Webcam"/>
    <x v="0"/>
    <n v="700"/>
    <n v="7600"/>
    <n v="760"/>
    <n v="6840"/>
    <n v="1240"/>
    <s v="South-C1008-1874"/>
    <s v="Regular"/>
    <s v="Poor"/>
    <n v="1"/>
    <x v="9"/>
    <n v="0.02"/>
    <n v="190813.48"/>
    <n v="11208.350254340907"/>
    <n v="728"/>
  </r>
  <r>
    <n v="1875"/>
    <s v="09-01-2025"/>
    <x v="0"/>
    <x v="0"/>
    <s v="C1029"/>
    <s v="P105"/>
    <n v="5"/>
    <n v="2000"/>
    <n v="5"/>
    <n v="481678"/>
    <n v="9"/>
    <n v="5"/>
    <s v="Headset"/>
    <x v="0"/>
    <n v="1500"/>
    <n v="10000"/>
    <n v="500"/>
    <n v="9500"/>
    <n v="2000"/>
    <s v="West-C1029-1875"/>
    <s v="Regular"/>
    <s v="Poor"/>
    <n v="1"/>
    <x v="2"/>
    <n v="0.02"/>
    <n v="216755.1"/>
    <n v="9998.8430287197461"/>
    <n v="651"/>
  </r>
  <r>
    <n v="1876"/>
    <s v="02-02-2025"/>
    <x v="2"/>
    <x v="4"/>
    <s v="C1032"/>
    <s v="P103"/>
    <n v="1"/>
    <n v="1500"/>
    <n v="2"/>
    <n v="498718"/>
    <n v="11"/>
    <n v="1"/>
    <s v="Keyboard"/>
    <x v="0"/>
    <n v="1200"/>
    <n v="1500"/>
    <n v="30"/>
    <n v="1470"/>
    <n v="270"/>
    <s v="South-C1032-1876"/>
    <s v="Regular"/>
    <s v="Poor"/>
    <n v="1"/>
    <x v="9"/>
    <n v="0.02"/>
    <n v="54858.98"/>
    <n v="44077.523974577321"/>
    <n v="950"/>
  </r>
  <r>
    <n v="1877"/>
    <s v="23-07-2025"/>
    <x v="3"/>
    <x v="6"/>
    <s v="C1018"/>
    <s v="P108"/>
    <n v="9"/>
    <n v="2500"/>
    <n v="2"/>
    <n v="101134"/>
    <n v="12"/>
    <n v="5"/>
    <s v="Speaker"/>
    <x v="0"/>
    <n v="1800"/>
    <n v="22500"/>
    <n v="450"/>
    <n v="22050"/>
    <n v="5850"/>
    <s v="East-C1018-1877"/>
    <s v="Regular"/>
    <s v="Average"/>
    <n v="3"/>
    <x v="8"/>
    <n v="0.06"/>
    <n v="60680.4"/>
    <n v="2249.6699721648561"/>
    <n v="423"/>
  </r>
  <r>
    <n v="1878"/>
    <s v="04-10-2025"/>
    <x v="2"/>
    <x v="4"/>
    <s v="C1021"/>
    <s v="P110"/>
    <n v="9"/>
    <n v="950"/>
    <n v="2"/>
    <n v="259168"/>
    <n v="12"/>
    <n v="5"/>
    <s v="Webcam"/>
    <x v="0"/>
    <n v="700"/>
    <n v="8550"/>
    <n v="171"/>
    <n v="8379"/>
    <n v="2079"/>
    <s v="South-C1021-1878"/>
    <s v="Regular"/>
    <s v="Poor"/>
    <n v="4"/>
    <x v="6"/>
    <n v="0.08"/>
    <n v="155500.79999999999"/>
    <n v="5765.0490176006224"/>
    <n v="681"/>
  </r>
  <r>
    <n v="1879"/>
    <s v="20-05-2025"/>
    <x v="3"/>
    <x v="0"/>
    <s v="C1042"/>
    <s v="P107"/>
    <n v="6"/>
    <n v="35000"/>
    <n v="0"/>
    <n v="258887"/>
    <n v="11"/>
    <n v="1"/>
    <s v="Tablet"/>
    <x v="1"/>
    <n v="29000"/>
    <n v="210000"/>
    <n v="0"/>
    <n v="210000"/>
    <n v="36000"/>
    <s v="East-C1042-1879"/>
    <s v="High Value"/>
    <s v="Excellent"/>
    <n v="2"/>
    <x v="4"/>
    <n v="0.04"/>
    <n v="28477.57"/>
    <n v="22880.862429682504"/>
    <n v="100"/>
  </r>
  <r>
    <n v="1880"/>
    <s v="21-02-2025"/>
    <x v="2"/>
    <x v="2"/>
    <s v="C1042"/>
    <s v="P104"/>
    <n v="1"/>
    <n v="12000"/>
    <n v="10"/>
    <n v="198535"/>
    <n v="10"/>
    <n v="2"/>
    <s v="Monitor"/>
    <x v="1"/>
    <n v="9000"/>
    <n v="12000"/>
    <n v="1200"/>
    <n v="10800"/>
    <n v="1800"/>
    <s v="South-C1042-1880"/>
    <s v="Regular"/>
    <s v="Poor"/>
    <n v="1"/>
    <x v="9"/>
    <n v="0.02"/>
    <n v="39707"/>
    <n v="9161.3829504188398"/>
    <n v="619"/>
  </r>
  <r>
    <n v="1881"/>
    <s v="12-06-2025"/>
    <x v="0"/>
    <x v="0"/>
    <s v="C1050"/>
    <s v="P106"/>
    <n v="3"/>
    <n v="8000"/>
    <n v="8"/>
    <n v="73693"/>
    <n v="12"/>
    <n v="2"/>
    <s v="Printer"/>
    <x v="1"/>
    <n v="6500"/>
    <n v="24000"/>
    <n v="1920"/>
    <n v="22080"/>
    <n v="2580"/>
    <s v="West-C1050-1881"/>
    <s v="Regular"/>
    <s v="Average"/>
    <n v="2"/>
    <x v="3"/>
    <n v="0.04"/>
    <n v="17686.32"/>
    <n v="3468.9853885490461"/>
    <n v="418"/>
  </r>
  <r>
    <n v="1882"/>
    <s v="20-08-2025"/>
    <x v="3"/>
    <x v="1"/>
    <s v="C1007"/>
    <s v="P107"/>
    <n v="8"/>
    <n v="35000"/>
    <n v="5"/>
    <n v="228989"/>
    <n v="11"/>
    <n v="4"/>
    <s v="Tablet"/>
    <x v="1"/>
    <n v="29000"/>
    <n v="280000"/>
    <n v="14000"/>
    <n v="266000"/>
    <n v="34000"/>
    <s v="East-C1007-1882"/>
    <s v="High Value"/>
    <s v="Excellent"/>
    <n v="3"/>
    <x v="7"/>
    <n v="0.06"/>
    <n v="100755.16"/>
    <n v="5918.3403772739684"/>
    <n v="67"/>
  </r>
  <r>
    <n v="1883"/>
    <s v="24-07-2025"/>
    <x v="1"/>
    <x v="6"/>
    <s v="C1030"/>
    <s v="P105"/>
    <n v="8"/>
    <n v="2000"/>
    <n v="0"/>
    <n v="110629"/>
    <n v="10"/>
    <n v="5"/>
    <s v="Headset"/>
    <x v="0"/>
    <n v="1500"/>
    <n v="16000"/>
    <n v="0"/>
    <n v="16000"/>
    <n v="4000"/>
    <s v="North-C1030-1883"/>
    <s v="Regular"/>
    <s v="Poor"/>
    <n v="3"/>
    <x v="8"/>
    <n v="0.06"/>
    <n v="55314.5"/>
    <n v="2350.5393093628982"/>
    <n v="514"/>
  </r>
  <r>
    <n v="1884"/>
    <s v="10-10-2025"/>
    <x v="0"/>
    <x v="7"/>
    <s v="C1002"/>
    <s v="P110"/>
    <n v="7"/>
    <n v="950"/>
    <n v="2"/>
    <n v="214173"/>
    <n v="10"/>
    <n v="4"/>
    <s v="Webcam"/>
    <x v="0"/>
    <n v="700"/>
    <n v="6650"/>
    <n v="133"/>
    <n v="6517"/>
    <n v="1617"/>
    <s v="West-C1002-1884"/>
    <s v="Regular"/>
    <s v="Poor"/>
    <n v="4"/>
    <x v="6"/>
    <n v="0.08"/>
    <n v="85669.2"/>
    <n v="5431.9805819701096"/>
    <n v="744"/>
  </r>
  <r>
    <n v="1885"/>
    <s v="30-04-2025"/>
    <x v="2"/>
    <x v="4"/>
    <s v="C1002"/>
    <s v="P105"/>
    <n v="7"/>
    <n v="2000"/>
    <n v="8"/>
    <n v="153755"/>
    <n v="12"/>
    <n v="4"/>
    <s v="Headset"/>
    <x v="0"/>
    <n v="1500"/>
    <n v="14000"/>
    <n v="1120"/>
    <n v="12880"/>
    <n v="2380"/>
    <s v="South-C1002-1885"/>
    <s v="Regular"/>
    <s v="Poor"/>
    <n v="2"/>
    <x v="11"/>
    <n v="0.04"/>
    <n v="73802.399999999994"/>
    <n v="4048.9588668360539"/>
    <n v="568"/>
  </r>
  <r>
    <n v="1886"/>
    <s v="22-12-2025"/>
    <x v="3"/>
    <x v="2"/>
    <s v="C1049"/>
    <s v="P108"/>
    <n v="8"/>
    <n v="2500"/>
    <n v="5"/>
    <n v="287015"/>
    <n v="12"/>
    <n v="1"/>
    <s v="Speaker"/>
    <x v="0"/>
    <n v="1800"/>
    <n v="20000"/>
    <n v="1000"/>
    <n v="19000"/>
    <n v="4600"/>
    <s v="East-C1049-1886"/>
    <s v="Regular"/>
    <s v="Poor"/>
    <n v="4"/>
    <x v="0"/>
    <n v="0.08"/>
    <n v="34441.800000000003"/>
    <n v="25500.935082514239"/>
    <n v="465"/>
  </r>
  <r>
    <n v="1887"/>
    <s v="28-12-2025"/>
    <x v="1"/>
    <x v="2"/>
    <s v="C1003"/>
    <s v="P110"/>
    <n v="6"/>
    <n v="950"/>
    <n v="15"/>
    <n v="239929"/>
    <n v="7"/>
    <n v="2"/>
    <s v="Webcam"/>
    <x v="0"/>
    <n v="700"/>
    <n v="5700"/>
    <n v="855"/>
    <n v="4845"/>
    <n v="645"/>
    <s v="North-C1003-1887"/>
    <s v="Regular"/>
    <s v="Poor"/>
    <n v="4"/>
    <x v="0"/>
    <n v="0.08"/>
    <n v="33590.06"/>
    <n v="10742.240131638577"/>
    <n v="794"/>
  </r>
  <r>
    <n v="1888"/>
    <s v="31-12-2025"/>
    <x v="1"/>
    <x v="0"/>
    <s v="C1037"/>
    <s v="P103"/>
    <n v="10"/>
    <n v="1500"/>
    <n v="8"/>
    <n v="271337"/>
    <n v="10"/>
    <n v="5"/>
    <s v="Keyboard"/>
    <x v="0"/>
    <n v="1200"/>
    <n v="15000"/>
    <n v="1200"/>
    <n v="13800"/>
    <n v="1800"/>
    <s v="North-C1037-1888"/>
    <s v="Regular"/>
    <s v="Poor"/>
    <n v="4"/>
    <x v="0"/>
    <n v="0.08"/>
    <n v="135668.5"/>
    <n v="5765.1093708214003"/>
    <n v="544"/>
  </r>
  <r>
    <n v="1889"/>
    <s v="16-06-2025"/>
    <x v="0"/>
    <x v="6"/>
    <s v="C1009"/>
    <s v="P109"/>
    <n v="9"/>
    <n v="7000"/>
    <n v="8"/>
    <n v="207616"/>
    <n v="8"/>
    <n v="1"/>
    <s v="Router"/>
    <x v="1"/>
    <n v="5000"/>
    <n v="63000"/>
    <n v="5040"/>
    <n v="57960"/>
    <n v="12960"/>
    <s v="West-C1009-1889"/>
    <s v="High Value"/>
    <s v="Good"/>
    <n v="2"/>
    <x v="3"/>
    <n v="0.04"/>
    <n v="16609.28"/>
    <n v="18060.189692998782"/>
    <n v="259"/>
  </r>
  <r>
    <n v="1890"/>
    <s v="22-10-2025"/>
    <x v="3"/>
    <x v="4"/>
    <s v="C1042"/>
    <s v="P104"/>
    <n v="7"/>
    <n v="12000"/>
    <n v="5"/>
    <n v="77834"/>
    <n v="10"/>
    <n v="5"/>
    <s v="Monitor"/>
    <x v="1"/>
    <n v="9000"/>
    <n v="84000"/>
    <n v="4200"/>
    <n v="79800"/>
    <n v="16800"/>
    <s v="East-C1042-1890"/>
    <s v="High Value"/>
    <s v="Good"/>
    <n v="4"/>
    <x v="6"/>
    <n v="0.08"/>
    <n v="38917"/>
    <n v="1653.7424780568549"/>
    <n v="194"/>
  </r>
  <r>
    <n v="1891"/>
    <s v="31-08-2025"/>
    <x v="3"/>
    <x v="2"/>
    <s v="C1030"/>
    <s v="P110"/>
    <n v="6"/>
    <n v="950"/>
    <n v="5"/>
    <n v="259202"/>
    <n v="9"/>
    <n v="1"/>
    <s v="Webcam"/>
    <x v="0"/>
    <n v="700"/>
    <n v="5700"/>
    <n v="285"/>
    <n v="5415"/>
    <n v="1215"/>
    <s v="East-C1030-1891"/>
    <s v="Regular"/>
    <s v="Poor"/>
    <n v="3"/>
    <x v="7"/>
    <n v="0.06"/>
    <n v="23328.18"/>
    <n v="22667.597681717176"/>
    <n v="774"/>
  </r>
  <r>
    <n v="1892"/>
    <s v="04-01-2025"/>
    <x v="0"/>
    <x v="6"/>
    <s v="C1034"/>
    <s v="P105"/>
    <n v="9"/>
    <n v="2000"/>
    <n v="10"/>
    <n v="342677"/>
    <n v="11"/>
    <n v="2"/>
    <s v="Headset"/>
    <x v="0"/>
    <n v="1500"/>
    <n v="18000"/>
    <n v="1800"/>
    <n v="16200"/>
    <n v="2700"/>
    <s v="West-C1034-1892"/>
    <s v="Regular"/>
    <s v="Poor"/>
    <n v="1"/>
    <x v="2"/>
    <n v="0.02"/>
    <n v="75388.94"/>
    <n v="15971.43416967062"/>
    <n v="511"/>
  </r>
  <r>
    <n v="1893"/>
    <s v="26-07-2025"/>
    <x v="1"/>
    <x v="3"/>
    <s v="C1037"/>
    <s v="P105"/>
    <n v="7"/>
    <n v="2000"/>
    <n v="8"/>
    <n v="476343"/>
    <n v="9"/>
    <n v="2"/>
    <s v="Headset"/>
    <x v="0"/>
    <n v="1500"/>
    <n v="14000"/>
    <n v="1120"/>
    <n v="12880"/>
    <n v="2380"/>
    <s v="North-C1037-1893"/>
    <s v="Regular"/>
    <s v="Poor"/>
    <n v="3"/>
    <x v="8"/>
    <n v="0.06"/>
    <n v="85741.74"/>
    <n v="21761.60719148815"/>
    <n v="568"/>
  </r>
  <r>
    <n v="1894"/>
    <s v="20-08-2025"/>
    <x v="1"/>
    <x v="6"/>
    <s v="C1045"/>
    <s v="P107"/>
    <n v="9"/>
    <n v="35000"/>
    <n v="15"/>
    <n v="455339"/>
    <n v="10"/>
    <n v="4"/>
    <s v="Tablet"/>
    <x v="1"/>
    <n v="29000"/>
    <n v="315000"/>
    <n v="47250"/>
    <n v="267750"/>
    <n v="6750"/>
    <s v="North-C1045-1894"/>
    <s v="High Value"/>
    <s v="Excellent"/>
    <n v="3"/>
    <x v="7"/>
    <n v="0.06"/>
    <n v="182135.6"/>
    <n v="11548.57337859435"/>
    <n v="65"/>
  </r>
  <r>
    <n v="1895"/>
    <s v="30-08-2025"/>
    <x v="0"/>
    <x v="1"/>
    <s v="C1023"/>
    <s v="P105"/>
    <n v="9"/>
    <n v="2000"/>
    <n v="8"/>
    <n v="440496"/>
    <n v="12"/>
    <n v="4"/>
    <s v="Headset"/>
    <x v="0"/>
    <n v="1500"/>
    <n v="18000"/>
    <n v="1440"/>
    <n v="16560"/>
    <n v="3060"/>
    <s v="West-C1023-1895"/>
    <s v="Regular"/>
    <s v="Poor"/>
    <n v="3"/>
    <x v="7"/>
    <n v="0.06"/>
    <n v="211438.07999999999"/>
    <n v="11599.949172422454"/>
    <n v="508"/>
  </r>
  <r>
    <n v="1896"/>
    <s v="31-10-2025"/>
    <x v="0"/>
    <x v="3"/>
    <s v="C1044"/>
    <s v="P105"/>
    <n v="7"/>
    <n v="2000"/>
    <n v="12"/>
    <n v="66599"/>
    <n v="11"/>
    <n v="3"/>
    <s v="Headset"/>
    <x v="0"/>
    <n v="1500"/>
    <n v="14000"/>
    <n v="1680"/>
    <n v="12320"/>
    <n v="1820"/>
    <s v="West-C1044-1896"/>
    <s v="Regular"/>
    <s v="Poor"/>
    <n v="4"/>
    <x v="6"/>
    <n v="0.08"/>
    <n v="21977.67"/>
    <n v="2180.3658212752189"/>
    <n v="584"/>
  </r>
  <r>
    <n v="1897"/>
    <s v="13-08-2025"/>
    <x v="0"/>
    <x v="4"/>
    <s v="C1020"/>
    <s v="P106"/>
    <n v="9"/>
    <n v="8000"/>
    <n v="15"/>
    <n v="124798"/>
    <n v="11"/>
    <n v="1"/>
    <s v="Printer"/>
    <x v="1"/>
    <n v="6500"/>
    <n v="72000"/>
    <n v="10800"/>
    <n v="61200"/>
    <n v="2700"/>
    <s v="West-C1020-1897"/>
    <s v="High Value"/>
    <s v="Good"/>
    <n v="3"/>
    <x v="7"/>
    <n v="0.06"/>
    <n v="13727.78"/>
    <n v="11029.854220179141"/>
    <n v="251"/>
  </r>
  <r>
    <n v="1898"/>
    <s v="28-08-2025"/>
    <x v="0"/>
    <x v="1"/>
    <s v="C1010"/>
    <s v="P101"/>
    <n v="4"/>
    <n v="55000"/>
    <n v="15"/>
    <n v="493650"/>
    <n v="8"/>
    <n v="2"/>
    <s v="Laptop"/>
    <x v="1"/>
    <n v="45000"/>
    <n v="220000"/>
    <n v="33000"/>
    <n v="187000"/>
    <n v="7000"/>
    <s v="West-C1010-1898"/>
    <s v="High Value"/>
    <s v="Excellent"/>
    <n v="3"/>
    <x v="7"/>
    <n v="0.06"/>
    <n v="78984"/>
    <n v="22326.452427345306"/>
    <n v="113"/>
  </r>
  <r>
    <n v="1899"/>
    <s v="16-11-2025"/>
    <x v="1"/>
    <x v="7"/>
    <s v="C1045"/>
    <s v="P107"/>
    <n v="4"/>
    <n v="35000"/>
    <n v="0"/>
    <n v="429237"/>
    <n v="7"/>
    <n v="5"/>
    <s v="Tablet"/>
    <x v="1"/>
    <n v="29000"/>
    <n v="140000"/>
    <n v="0"/>
    <n v="140000"/>
    <n v="24000"/>
    <s v="North-C1045-1899"/>
    <s v="High Value"/>
    <s v="Excellent"/>
    <n v="4"/>
    <x v="5"/>
    <n v="0.08"/>
    <n v="150232.95000000001"/>
    <n v="8499.407057864013"/>
    <n v="137"/>
  </r>
  <r>
    <n v="1900"/>
    <s v="19-12-2025"/>
    <x v="0"/>
    <x v="7"/>
    <s v="C1031"/>
    <s v="P104"/>
    <n v="6"/>
    <n v="12000"/>
    <n v="12"/>
    <n v="174947"/>
    <n v="11"/>
    <n v="3"/>
    <s v="Monitor"/>
    <x v="1"/>
    <n v="9000"/>
    <n v="72000"/>
    <n v="8640"/>
    <n v="63360"/>
    <n v="9360"/>
    <s v="West-C1031-1900"/>
    <s v="High Value"/>
    <s v="Good"/>
    <n v="4"/>
    <x v="0"/>
    <n v="0.08"/>
    <n v="57732.51"/>
    <n v="5727.5403434681557"/>
    <n v="240"/>
  </r>
  <r>
    <n v="1901"/>
    <s v="30-10-2025"/>
    <x v="3"/>
    <x v="4"/>
    <s v="C1037"/>
    <s v="P108"/>
    <n v="4"/>
    <n v="2500"/>
    <n v="0"/>
    <n v="446018"/>
    <n v="12"/>
    <n v="3"/>
    <s v="Speaker"/>
    <x v="0"/>
    <n v="1800"/>
    <n v="10000"/>
    <n v="0"/>
    <n v="10000"/>
    <n v="2800"/>
    <s v="East-C1037-1901"/>
    <s v="Regular"/>
    <s v="Poor"/>
    <n v="4"/>
    <x v="6"/>
    <n v="0.08"/>
    <n v="160566.48000000001"/>
    <n v="14814.180034108262"/>
    <n v="636"/>
  </r>
  <r>
    <n v="1902"/>
    <s v="10-12-2025"/>
    <x v="1"/>
    <x v="4"/>
    <s v="C1012"/>
    <s v="P101"/>
    <n v="9"/>
    <n v="55000"/>
    <n v="0"/>
    <n v="146391"/>
    <n v="9"/>
    <n v="3"/>
    <s v="Laptop"/>
    <x v="1"/>
    <n v="45000"/>
    <n v="495000"/>
    <n v="0"/>
    <n v="495000"/>
    <n v="90000"/>
    <s v="North-C1012-1902"/>
    <s v="High Value"/>
    <s v="Excellent"/>
    <n v="4"/>
    <x v="0"/>
    <n v="0.08"/>
    <n v="39525.57"/>
    <n v="4655.1946638213767"/>
    <n v="4"/>
  </r>
  <r>
    <n v="1903"/>
    <s v="25-03-2025"/>
    <x v="1"/>
    <x v="0"/>
    <s v="C1004"/>
    <s v="P104"/>
    <n v="10"/>
    <n v="12000"/>
    <n v="10"/>
    <n v="245686"/>
    <n v="7"/>
    <n v="3"/>
    <s v="Monitor"/>
    <x v="1"/>
    <n v="9000"/>
    <n v="120000"/>
    <n v="12000"/>
    <n v="108000"/>
    <n v="18000"/>
    <s v="North-C1004-1903"/>
    <s v="High Value"/>
    <s v="Excellent"/>
    <n v="1"/>
    <x v="10"/>
    <n v="0.02"/>
    <n v="51594.06"/>
    <n v="7586.0704204657704"/>
    <n v="154"/>
  </r>
  <r>
    <n v="1904"/>
    <s v="12-05-2025"/>
    <x v="0"/>
    <x v="4"/>
    <s v="C1016"/>
    <s v="P109"/>
    <n v="4"/>
    <n v="7000"/>
    <n v="10"/>
    <n v="289360"/>
    <n v="11"/>
    <n v="1"/>
    <s v="Router"/>
    <x v="1"/>
    <n v="5000"/>
    <n v="28000"/>
    <n v="2800"/>
    <n v="25200"/>
    <n v="5200"/>
    <s v="West-C1016-1904"/>
    <s v="Regular"/>
    <s v="Average"/>
    <n v="2"/>
    <x v="4"/>
    <n v="0.04"/>
    <n v="31829.599999999999"/>
    <n v="25574.11670981134"/>
    <n v="395"/>
  </r>
  <r>
    <n v="1905"/>
    <s v="14-12-2025"/>
    <x v="0"/>
    <x v="5"/>
    <s v="C1001"/>
    <s v="P101"/>
    <n v="6"/>
    <n v="55000"/>
    <n v="8"/>
    <n v="320110"/>
    <n v="8"/>
    <n v="4"/>
    <s v="Laptop"/>
    <x v="1"/>
    <n v="45000"/>
    <n v="330000"/>
    <n v="26400"/>
    <n v="303600"/>
    <n v="33600"/>
    <s v="West-C1001-1905"/>
    <s v="High Value"/>
    <s v="Excellent"/>
    <n v="4"/>
    <x v="0"/>
    <n v="0.08"/>
    <n v="102435.2"/>
    <n v="7814.8205707383595"/>
    <n v="54"/>
  </r>
  <r>
    <n v="1906"/>
    <s v="02-12-2025"/>
    <x v="1"/>
    <x v="5"/>
    <s v="C1044"/>
    <s v="P107"/>
    <n v="2"/>
    <n v="35000"/>
    <n v="5"/>
    <n v="174834"/>
    <n v="8"/>
    <n v="1"/>
    <s v="Tablet"/>
    <x v="1"/>
    <n v="29000"/>
    <n v="70000"/>
    <n v="3500"/>
    <n v="66500"/>
    <n v="8500"/>
    <s v="North-C1044-1906"/>
    <s v="High Value"/>
    <s v="Good"/>
    <n v="4"/>
    <x v="0"/>
    <n v="0.08"/>
    <n v="13986.72"/>
    <n v="15208.535010720509"/>
    <n v="228"/>
  </r>
  <r>
    <n v="1907"/>
    <s v="22-01-2025"/>
    <x v="3"/>
    <x v="1"/>
    <s v="C1032"/>
    <s v="P108"/>
    <n v="5"/>
    <n v="2500"/>
    <n v="5"/>
    <n v="50073"/>
    <n v="9"/>
    <n v="3"/>
    <s v="Speaker"/>
    <x v="0"/>
    <n v="1800"/>
    <n v="12500"/>
    <n v="625"/>
    <n v="11875"/>
    <n v="2875"/>
    <s v="East-C1032-1907"/>
    <s v="Regular"/>
    <s v="Poor"/>
    <n v="1"/>
    <x v="2"/>
    <n v="0.02"/>
    <n v="13519.71"/>
    <n v="1592.3080134812099"/>
    <n v="598"/>
  </r>
  <r>
    <n v="1908"/>
    <s v="01-04-2025"/>
    <x v="1"/>
    <x v="0"/>
    <s v="C1028"/>
    <s v="P103"/>
    <n v="9"/>
    <n v="1500"/>
    <n v="2"/>
    <n v="84018"/>
    <n v="12"/>
    <n v="2"/>
    <s v="Keyboard"/>
    <x v="0"/>
    <n v="1200"/>
    <n v="13500"/>
    <n v="270"/>
    <n v="13230"/>
    <n v="2430"/>
    <s v="North-C1028-1908"/>
    <s v="Regular"/>
    <s v="Poor"/>
    <n v="2"/>
    <x v="11"/>
    <n v="0.04"/>
    <n v="20164.32"/>
    <n v="3955.0189892542539"/>
    <n v="563"/>
  </r>
  <r>
    <n v="1909"/>
    <s v="09-08-2025"/>
    <x v="1"/>
    <x v="1"/>
    <s v="C1046"/>
    <s v="P110"/>
    <n v="10"/>
    <n v="950"/>
    <n v="5"/>
    <n v="72885"/>
    <n v="8"/>
    <n v="5"/>
    <s v="Webcam"/>
    <x v="0"/>
    <n v="700"/>
    <n v="9500"/>
    <n v="475"/>
    <n v="9025"/>
    <n v="2025"/>
    <s v="North-C1046-1909"/>
    <s v="Regular"/>
    <s v="Poor"/>
    <n v="3"/>
    <x v="7"/>
    <n v="0.06"/>
    <n v="29154"/>
    <n v="1477.8449977110313"/>
    <n v="661"/>
  </r>
  <r>
    <n v="1910"/>
    <s v="29-04-2025"/>
    <x v="2"/>
    <x v="2"/>
    <s v="C1027"/>
    <s v="P109"/>
    <n v="9"/>
    <n v="7000"/>
    <n v="10"/>
    <n v="292936"/>
    <n v="10"/>
    <n v="5"/>
    <s v="Router"/>
    <x v="1"/>
    <n v="5000"/>
    <n v="63000"/>
    <n v="6300"/>
    <n v="56700"/>
    <n v="11700"/>
    <s v="South-C1027-1910"/>
    <s v="High Value"/>
    <s v="Good"/>
    <n v="2"/>
    <x v="11"/>
    <n v="0.04"/>
    <n v="146468"/>
    <n v="6224.0242895400843"/>
    <n v="263"/>
  </r>
  <r>
    <n v="1911"/>
    <s v="29-09-2025"/>
    <x v="2"/>
    <x v="0"/>
    <s v="C1027"/>
    <s v="P110"/>
    <n v="3"/>
    <n v="950"/>
    <n v="5"/>
    <n v="190824"/>
    <n v="11"/>
    <n v="3"/>
    <s v="Webcam"/>
    <x v="0"/>
    <n v="700"/>
    <n v="2850"/>
    <n v="142.5"/>
    <n v="2707.5"/>
    <n v="607.5"/>
    <s v="South-C1027-1911"/>
    <s v="Regular"/>
    <s v="Poor"/>
    <n v="3"/>
    <x v="1"/>
    <n v="0.06"/>
    <n v="62971.92"/>
    <n v="6247.3329551347979"/>
    <n v="896"/>
  </r>
  <r>
    <n v="1912"/>
    <s v="29-08-2025"/>
    <x v="2"/>
    <x v="7"/>
    <s v="C1028"/>
    <s v="P104"/>
    <n v="8"/>
    <n v="12000"/>
    <n v="5"/>
    <n v="444035"/>
    <n v="7"/>
    <n v="2"/>
    <s v="Monitor"/>
    <x v="1"/>
    <n v="9000"/>
    <n v="96000"/>
    <n v="4800"/>
    <n v="91200"/>
    <n v="19200"/>
    <s v="South-C1028-1912"/>
    <s v="High Value"/>
    <s v="Good"/>
    <n v="3"/>
    <x v="7"/>
    <n v="0.06"/>
    <n v="62164.9"/>
    <n v="19880.592162065175"/>
    <n v="184"/>
  </r>
  <r>
    <n v="1913"/>
    <s v="09-03-2025"/>
    <x v="0"/>
    <x v="6"/>
    <s v="C1028"/>
    <s v="P106"/>
    <n v="6"/>
    <n v="8000"/>
    <n v="12"/>
    <n v="255809"/>
    <n v="12"/>
    <n v="3"/>
    <s v="Printer"/>
    <x v="1"/>
    <n v="6500"/>
    <n v="48000"/>
    <n v="5760"/>
    <n v="42240"/>
    <n v="3240"/>
    <s v="West-C1028-1913"/>
    <s v="Regular"/>
    <s v="Average"/>
    <n v="1"/>
    <x v="10"/>
    <n v="0.02"/>
    <n v="92091.24"/>
    <n v="8496.519378915651"/>
    <n v="328"/>
  </r>
  <r>
    <n v="1914"/>
    <s v="31-01-2025"/>
    <x v="0"/>
    <x v="6"/>
    <s v="C1041"/>
    <s v="P109"/>
    <n v="10"/>
    <n v="7000"/>
    <n v="10"/>
    <n v="188995"/>
    <n v="8"/>
    <n v="1"/>
    <s v="Router"/>
    <x v="1"/>
    <n v="5000"/>
    <n v="70000"/>
    <n v="7000"/>
    <n v="63000"/>
    <n v="13000"/>
    <s v="West-C1041-1914"/>
    <s v="High Value"/>
    <s v="Good"/>
    <n v="1"/>
    <x v="2"/>
    <n v="0.02"/>
    <n v="15119.6"/>
    <n v="16440.378154999155"/>
    <n v="245"/>
  </r>
  <r>
    <n v="1915"/>
    <s v="20-05-2025"/>
    <x v="1"/>
    <x v="5"/>
    <s v="C1007"/>
    <s v="P108"/>
    <n v="4"/>
    <n v="2500"/>
    <n v="2"/>
    <n v="257085"/>
    <n v="10"/>
    <n v="4"/>
    <s v="Speaker"/>
    <x v="0"/>
    <n v="1800"/>
    <n v="10000"/>
    <n v="200"/>
    <n v="9800"/>
    <n v="2600"/>
    <s v="North-C1007-1915"/>
    <s v="Regular"/>
    <s v="Poor"/>
    <n v="2"/>
    <x v="4"/>
    <n v="0.04"/>
    <n v="102834"/>
    <n v="6520.3397623219807"/>
    <n v="645"/>
  </r>
  <r>
    <n v="1916"/>
    <s v="23-07-2025"/>
    <x v="1"/>
    <x v="1"/>
    <s v="C1050"/>
    <s v="P105"/>
    <n v="7"/>
    <n v="2000"/>
    <n v="2"/>
    <n v="359511"/>
    <n v="9"/>
    <n v="1"/>
    <s v="Headset"/>
    <x v="0"/>
    <n v="1500"/>
    <n v="14000"/>
    <n v="280"/>
    <n v="13720"/>
    <n v="3220"/>
    <s v="North-C1050-1916"/>
    <s v="Regular"/>
    <s v="Poor"/>
    <n v="3"/>
    <x v="8"/>
    <n v="0.06"/>
    <n v="32355.99"/>
    <n v="31439.767865031223"/>
    <n v="549"/>
  </r>
  <r>
    <n v="1917"/>
    <s v="19-06-2025"/>
    <x v="1"/>
    <x v="2"/>
    <s v="C1028"/>
    <s v="P105"/>
    <n v="1"/>
    <n v="2000"/>
    <n v="2"/>
    <n v="283827"/>
    <n v="9"/>
    <n v="2"/>
    <s v="Headset"/>
    <x v="0"/>
    <n v="1500"/>
    <n v="2000"/>
    <n v="40"/>
    <n v="1960"/>
    <n v="460"/>
    <s v="North-C1028-1917"/>
    <s v="Regular"/>
    <s v="Poor"/>
    <n v="2"/>
    <x v="3"/>
    <n v="0.04"/>
    <n v="51088.86"/>
    <n v="12966.563346870862"/>
    <n v="932"/>
  </r>
  <r>
    <n v="1918"/>
    <s v="08-07-2025"/>
    <x v="1"/>
    <x v="3"/>
    <s v="C1027"/>
    <s v="P109"/>
    <n v="9"/>
    <n v="7000"/>
    <n v="12"/>
    <n v="127258"/>
    <n v="9"/>
    <n v="3"/>
    <s v="Router"/>
    <x v="1"/>
    <n v="5000"/>
    <n v="63000"/>
    <n v="7560"/>
    <n v="55440"/>
    <n v="10440"/>
    <s v="North-C1027-1918"/>
    <s v="High Value"/>
    <s v="Good"/>
    <n v="3"/>
    <x v="8"/>
    <n v="0.06"/>
    <n v="34359.660000000003"/>
    <n v="4046.7703788387316"/>
    <n v="267"/>
  </r>
  <r>
    <n v="1919"/>
    <s v="26-12-2025"/>
    <x v="3"/>
    <x v="3"/>
    <s v="C1012"/>
    <s v="P109"/>
    <n v="5"/>
    <n v="7000"/>
    <n v="5"/>
    <n v="437377"/>
    <n v="11"/>
    <n v="4"/>
    <s v="Router"/>
    <x v="1"/>
    <n v="5000"/>
    <n v="35000"/>
    <n v="1750"/>
    <n v="33250"/>
    <n v="8250"/>
    <s v="East-C1012-1919"/>
    <s v="Regular"/>
    <s v="Average"/>
    <n v="4"/>
    <x v="0"/>
    <n v="0.08"/>
    <n v="192445.88"/>
    <n v="11304.237143229398"/>
    <n v="357"/>
  </r>
  <r>
    <n v="1920"/>
    <s v="15-11-2025"/>
    <x v="3"/>
    <x v="5"/>
    <s v="C1019"/>
    <s v="P108"/>
    <n v="1"/>
    <n v="2500"/>
    <n v="8"/>
    <n v="366778"/>
    <n v="7"/>
    <n v="3"/>
    <s v="Speaker"/>
    <x v="0"/>
    <n v="1800"/>
    <n v="2500"/>
    <n v="200"/>
    <n v="2300"/>
    <n v="500"/>
    <s v="East-C1019-1920"/>
    <s v="Regular"/>
    <s v="Poor"/>
    <n v="4"/>
    <x v="5"/>
    <n v="0.08"/>
    <n v="77023.38"/>
    <n v="11325.039834087391"/>
    <n v="917"/>
  </r>
  <r>
    <n v="1921"/>
    <s v="03-05-2025"/>
    <x v="3"/>
    <x v="4"/>
    <s v="C1036"/>
    <s v="P101"/>
    <n v="6"/>
    <n v="55000"/>
    <n v="0"/>
    <n v="316641"/>
    <n v="8"/>
    <n v="3"/>
    <s v="Laptop"/>
    <x v="1"/>
    <n v="45000"/>
    <n v="330000"/>
    <n v="0"/>
    <n v="330000"/>
    <n v="60000"/>
    <s v="East-C1036-1921"/>
    <s v="High Value"/>
    <s v="Excellent"/>
    <n v="2"/>
    <x v="4"/>
    <n v="0.04"/>
    <n v="75993.84"/>
    <n v="9922.3780960729255"/>
    <n v="40"/>
  </r>
  <r>
    <n v="1922"/>
    <s v="03-08-2025"/>
    <x v="3"/>
    <x v="4"/>
    <s v="C1028"/>
    <s v="P106"/>
    <n v="4"/>
    <n v="8000"/>
    <n v="0"/>
    <n v="492648"/>
    <n v="12"/>
    <n v="3"/>
    <s v="Printer"/>
    <x v="1"/>
    <n v="6500"/>
    <n v="32000"/>
    <n v="0"/>
    <n v="32000"/>
    <n v="6000"/>
    <s v="East-C1028-1922"/>
    <s v="Regular"/>
    <s v="Average"/>
    <n v="3"/>
    <x v="7"/>
    <n v="0.06"/>
    <n v="177353.28"/>
    <n v="16362.963300681513"/>
    <n v="363"/>
  </r>
  <r>
    <n v="1923"/>
    <s v="27-01-2025"/>
    <x v="3"/>
    <x v="4"/>
    <s v="C1043"/>
    <s v="P108"/>
    <n v="10"/>
    <n v="2500"/>
    <n v="0"/>
    <n v="107748"/>
    <n v="7"/>
    <n v="2"/>
    <s v="Speaker"/>
    <x v="0"/>
    <n v="1800"/>
    <n v="25000"/>
    <n v="0"/>
    <n v="25000"/>
    <n v="7000"/>
    <s v="East-C1043-1923"/>
    <s v="Regular"/>
    <s v="Average"/>
    <n v="1"/>
    <x v="2"/>
    <n v="0.02"/>
    <n v="15084.72"/>
    <n v="4824.1558532057124"/>
    <n v="397"/>
  </r>
  <r>
    <n v="1924"/>
    <s v="23-04-2025"/>
    <x v="1"/>
    <x v="5"/>
    <s v="C1022"/>
    <s v="P103"/>
    <n v="6"/>
    <n v="1500"/>
    <n v="0"/>
    <n v="301925"/>
    <n v="9"/>
    <n v="1"/>
    <s v="Keyboard"/>
    <x v="0"/>
    <n v="1200"/>
    <n v="9000"/>
    <n v="0"/>
    <n v="9000"/>
    <n v="1800"/>
    <s v="North-C1022-1924"/>
    <s v="Regular"/>
    <s v="Poor"/>
    <n v="2"/>
    <x v="11"/>
    <n v="0.04"/>
    <n v="27173.25"/>
    <n v="26403.787123758524"/>
    <n v="663"/>
  </r>
  <r>
    <n v="1925"/>
    <s v="15-10-2025"/>
    <x v="2"/>
    <x v="0"/>
    <s v="C1029"/>
    <s v="P104"/>
    <n v="5"/>
    <n v="12000"/>
    <n v="5"/>
    <n v="409919"/>
    <n v="10"/>
    <n v="2"/>
    <s v="Monitor"/>
    <x v="1"/>
    <n v="9000"/>
    <n v="60000"/>
    <n v="3000"/>
    <n v="57000"/>
    <n v="12000"/>
    <s v="South-C1029-1925"/>
    <s v="High Value"/>
    <s v="Good"/>
    <n v="4"/>
    <x v="6"/>
    <n v="0.08"/>
    <n v="81983.8"/>
    <n v="18915.68205934843"/>
    <n v="261"/>
  </r>
  <r>
    <n v="1926"/>
    <s v="22-09-2025"/>
    <x v="1"/>
    <x v="3"/>
    <s v="C1037"/>
    <s v="P105"/>
    <n v="9"/>
    <n v="2000"/>
    <n v="10"/>
    <n v="269590"/>
    <n v="8"/>
    <n v="2"/>
    <s v="Headset"/>
    <x v="0"/>
    <n v="1500"/>
    <n v="18000"/>
    <n v="1800"/>
    <n v="16200"/>
    <n v="2700"/>
    <s v="North-C1037-1926"/>
    <s v="Regular"/>
    <s v="Poor"/>
    <n v="3"/>
    <x v="1"/>
    <n v="0.06"/>
    <n v="43134.400000000001"/>
    <n v="12192.825503672684"/>
    <n v="511"/>
  </r>
  <r>
    <n v="1927"/>
    <s v="13-05-2025"/>
    <x v="1"/>
    <x v="1"/>
    <s v="C1035"/>
    <s v="P109"/>
    <n v="9"/>
    <n v="7000"/>
    <n v="15"/>
    <n v="128874"/>
    <n v="10"/>
    <n v="3"/>
    <s v="Router"/>
    <x v="1"/>
    <n v="5000"/>
    <n v="63000"/>
    <n v="9450"/>
    <n v="53550"/>
    <n v="8550"/>
    <s v="North-C1035-1927"/>
    <s v="High Value"/>
    <s v="Good"/>
    <n v="2"/>
    <x v="4"/>
    <n v="0.04"/>
    <n v="38662.199999999997"/>
    <n v="4158.4014824186124"/>
    <n v="279"/>
  </r>
  <r>
    <n v="1928"/>
    <s v="25-03-2025"/>
    <x v="1"/>
    <x v="7"/>
    <s v="C1002"/>
    <s v="P104"/>
    <n v="1"/>
    <n v="12000"/>
    <n v="2"/>
    <n v="319197"/>
    <n v="11"/>
    <n v="5"/>
    <s v="Monitor"/>
    <x v="1"/>
    <n v="9000"/>
    <n v="12000"/>
    <n v="240"/>
    <n v="11760"/>
    <n v="2760"/>
    <s v="North-C1002-1928"/>
    <s v="Regular"/>
    <s v="Poor"/>
    <n v="1"/>
    <x v="10"/>
    <n v="0.02"/>
    <n v="175558.35"/>
    <n v="6940.1162175185264"/>
    <n v="599"/>
  </r>
  <r>
    <n v="1929"/>
    <s v="23-03-2025"/>
    <x v="1"/>
    <x v="3"/>
    <s v="C1006"/>
    <s v="P108"/>
    <n v="5"/>
    <n v="2500"/>
    <n v="8"/>
    <n v="402398"/>
    <n v="7"/>
    <n v="3"/>
    <s v="Speaker"/>
    <x v="0"/>
    <n v="1800"/>
    <n v="12500"/>
    <n v="1000"/>
    <n v="11500"/>
    <n v="2500"/>
    <s v="North-C1006-1929"/>
    <s v="Regular"/>
    <s v="Poor"/>
    <n v="1"/>
    <x v="10"/>
    <n v="0.02"/>
    <n v="84503.58"/>
    <n v="12424.882024431939"/>
    <n v="603"/>
  </r>
  <r>
    <n v="1930"/>
    <s v="21-09-2025"/>
    <x v="3"/>
    <x v="0"/>
    <s v="C1018"/>
    <s v="P110"/>
    <n v="6"/>
    <n v="950"/>
    <n v="15"/>
    <n v="258283"/>
    <n v="9"/>
    <n v="2"/>
    <s v="Webcam"/>
    <x v="0"/>
    <n v="700"/>
    <n v="5700"/>
    <n v="855"/>
    <n v="4845"/>
    <n v="645"/>
    <s v="East-C1018-1930"/>
    <s v="Regular"/>
    <s v="Poor"/>
    <n v="3"/>
    <x v="1"/>
    <n v="0.06"/>
    <n v="46490.94"/>
    <n v="11799.592290091665"/>
    <n v="794"/>
  </r>
  <r>
    <n v="1931"/>
    <s v="18-06-2025"/>
    <x v="0"/>
    <x v="5"/>
    <s v="C1048"/>
    <s v="P108"/>
    <n v="9"/>
    <n v="2500"/>
    <n v="12"/>
    <n v="499395"/>
    <n v="11"/>
    <n v="4"/>
    <s v="Speaker"/>
    <x v="0"/>
    <n v="1800"/>
    <n v="22500"/>
    <n v="2700"/>
    <n v="19800"/>
    <n v="3600"/>
    <s v="West-C1048-1931"/>
    <s v="Regular"/>
    <s v="Poor"/>
    <n v="2"/>
    <x v="3"/>
    <n v="0.04"/>
    <n v="219733.8"/>
    <n v="12907.124764546477"/>
    <n v="460"/>
  </r>
  <r>
    <n v="1932"/>
    <s v="29-09-2025"/>
    <x v="2"/>
    <x v="4"/>
    <s v="C1038"/>
    <s v="P110"/>
    <n v="8"/>
    <n v="950"/>
    <n v="15"/>
    <n v="433939"/>
    <n v="12"/>
    <n v="1"/>
    <s v="Webcam"/>
    <x v="0"/>
    <n v="700"/>
    <n v="7600"/>
    <n v="1140"/>
    <n v="6460"/>
    <n v="860"/>
    <s v="South-C1038-1932"/>
    <s v="Regular"/>
    <s v="Poor"/>
    <n v="3"/>
    <x v="1"/>
    <n v="0.06"/>
    <n v="52072.68"/>
    <n v="38554.954510290911"/>
    <n v="745"/>
  </r>
  <r>
    <n v="1933"/>
    <s v="02-02-2025"/>
    <x v="1"/>
    <x v="3"/>
    <s v="C1023"/>
    <s v="P103"/>
    <n v="3"/>
    <n v="1500"/>
    <n v="10"/>
    <n v="256177"/>
    <n v="12"/>
    <n v="4"/>
    <s v="Keyboard"/>
    <x v="0"/>
    <n v="1200"/>
    <n v="4500"/>
    <n v="450"/>
    <n v="4050"/>
    <n v="450"/>
    <s v="North-C1023-1933"/>
    <s v="Regular"/>
    <s v="Poor"/>
    <n v="1"/>
    <x v="9"/>
    <n v="0.02"/>
    <n v="122964.96"/>
    <n v="6746.1229594449596"/>
    <n v="832"/>
  </r>
  <r>
    <n v="1934"/>
    <s v="05-08-2025"/>
    <x v="1"/>
    <x v="2"/>
    <s v="C1036"/>
    <s v="P107"/>
    <n v="10"/>
    <n v="35000"/>
    <n v="10"/>
    <n v="123227"/>
    <n v="10"/>
    <n v="2"/>
    <s v="Tablet"/>
    <x v="1"/>
    <n v="29000"/>
    <n v="350000"/>
    <n v="35000"/>
    <n v="315000"/>
    <n v="25000"/>
    <s v="North-C1036-1934"/>
    <s v="High Value"/>
    <s v="Excellent"/>
    <n v="3"/>
    <x v="7"/>
    <n v="0.06"/>
    <n v="24645.4"/>
    <n v="5686.3008377931455"/>
    <n v="45"/>
  </r>
  <r>
    <n v="1935"/>
    <s v="30-04-2025"/>
    <x v="0"/>
    <x v="3"/>
    <s v="C1039"/>
    <s v="P105"/>
    <n v="7"/>
    <n v="2000"/>
    <n v="12"/>
    <n v="340213"/>
    <n v="11"/>
    <n v="1"/>
    <s v="Headset"/>
    <x v="0"/>
    <n v="1500"/>
    <n v="14000"/>
    <n v="1680"/>
    <n v="12320"/>
    <n v="1820"/>
    <s v="West-C1039-1935"/>
    <s v="Regular"/>
    <s v="Poor"/>
    <n v="2"/>
    <x v="11"/>
    <n v="0.04"/>
    <n v="37423.43"/>
    <n v="30068.589190610473"/>
    <n v="584"/>
  </r>
  <r>
    <n v="1936"/>
    <s v="13-01-2025"/>
    <x v="2"/>
    <x v="2"/>
    <s v="C1035"/>
    <s v="P106"/>
    <n v="9"/>
    <n v="8000"/>
    <n v="2"/>
    <n v="194881"/>
    <n v="7"/>
    <n v="3"/>
    <s v="Printer"/>
    <x v="1"/>
    <n v="6500"/>
    <n v="72000"/>
    <n v="1440"/>
    <n v="70560"/>
    <n v="12060"/>
    <s v="South-C1035-1936"/>
    <s v="High Value"/>
    <s v="Good"/>
    <n v="1"/>
    <x v="2"/>
    <n v="0.02"/>
    <n v="40925.01"/>
    <n v="6017.3595142205495"/>
    <n v="214"/>
  </r>
  <r>
    <n v="1937"/>
    <s v="19-05-2025"/>
    <x v="2"/>
    <x v="7"/>
    <s v="C1014"/>
    <s v="P104"/>
    <n v="4"/>
    <n v="12000"/>
    <n v="10"/>
    <n v="433039"/>
    <n v="10"/>
    <n v="1"/>
    <s v="Monitor"/>
    <x v="1"/>
    <n v="9000"/>
    <n v="48000"/>
    <n v="4800"/>
    <n v="43200"/>
    <n v="7200"/>
    <s v="South-C1014-1937"/>
    <s v="Regular"/>
    <s v="Average"/>
    <n v="2"/>
    <x v="4"/>
    <n v="0.04"/>
    <n v="43303.9"/>
    <n v="38071.007890196131"/>
    <n v="323"/>
  </r>
  <r>
    <n v="1938"/>
    <s v="03-07-2025"/>
    <x v="3"/>
    <x v="1"/>
    <s v="C1019"/>
    <s v="P103"/>
    <n v="4"/>
    <n v="1500"/>
    <n v="12"/>
    <n v="143603"/>
    <n v="7"/>
    <n v="2"/>
    <s v="Keyboard"/>
    <x v="0"/>
    <n v="1200"/>
    <n v="6000"/>
    <n v="720"/>
    <n v="5280"/>
    <n v="480"/>
    <s v="East-C1019-1938"/>
    <s v="Regular"/>
    <s v="Poor"/>
    <n v="3"/>
    <x v="8"/>
    <n v="0.06"/>
    <n v="20104.419999999998"/>
    <n v="6429.4766769489916"/>
    <n v="779"/>
  </r>
  <r>
    <n v="1939"/>
    <s v="13-01-2025"/>
    <x v="0"/>
    <x v="3"/>
    <s v="C1032"/>
    <s v="P101"/>
    <n v="4"/>
    <n v="55000"/>
    <n v="15"/>
    <n v="370439"/>
    <n v="7"/>
    <n v="3"/>
    <s v="Laptop"/>
    <x v="1"/>
    <n v="45000"/>
    <n v="220000"/>
    <n v="33000"/>
    <n v="187000"/>
    <n v="7000"/>
    <s v="West-C1032-1939"/>
    <s v="High Value"/>
    <s v="Excellent"/>
    <n v="1"/>
    <x v="2"/>
    <n v="0.02"/>
    <n v="77792.19"/>
    <n v="11438.080885711515"/>
    <n v="113"/>
  </r>
  <r>
    <n v="1940"/>
    <s v="25-03-2025"/>
    <x v="3"/>
    <x v="5"/>
    <s v="C1047"/>
    <s v="P110"/>
    <n v="5"/>
    <n v="950"/>
    <n v="5"/>
    <n v="282555"/>
    <n v="12"/>
    <n v="2"/>
    <s v="Webcam"/>
    <x v="0"/>
    <n v="700"/>
    <n v="4750"/>
    <n v="237.5"/>
    <n v="4512.5"/>
    <n v="1012.5"/>
    <s v="East-C1047-1940"/>
    <s v="Regular"/>
    <s v="Poor"/>
    <n v="1"/>
    <x v="10"/>
    <n v="0.02"/>
    <n v="67813.2"/>
    <n v="13300.844944044558"/>
    <n v="804"/>
  </r>
  <r>
    <n v="1941"/>
    <s v="27-01-2025"/>
    <x v="1"/>
    <x v="6"/>
    <s v="C1004"/>
    <s v="P107"/>
    <n v="10"/>
    <n v="35000"/>
    <n v="5"/>
    <n v="130020"/>
    <n v="11"/>
    <n v="5"/>
    <s v="Tablet"/>
    <x v="1"/>
    <n v="29000"/>
    <n v="350000"/>
    <n v="17500"/>
    <n v="332500"/>
    <n v="42500"/>
    <s v="North-C1004-1941"/>
    <s v="High Value"/>
    <s v="Excellent"/>
    <n v="1"/>
    <x v="2"/>
    <n v="0.02"/>
    <n v="71511"/>
    <n v="2826.9498479050831"/>
    <n v="38"/>
  </r>
  <r>
    <n v="1942"/>
    <s v="06-10-2025"/>
    <x v="1"/>
    <x v="3"/>
    <s v="C1025"/>
    <s v="P110"/>
    <n v="1"/>
    <n v="950"/>
    <n v="10"/>
    <n v="307199"/>
    <n v="11"/>
    <n v="1"/>
    <s v="Webcam"/>
    <x v="0"/>
    <n v="700"/>
    <n v="950"/>
    <n v="95"/>
    <n v="855"/>
    <n v="155"/>
    <s v="North-C1025-1942"/>
    <s v="Regular"/>
    <s v="Poor"/>
    <n v="4"/>
    <x v="6"/>
    <n v="0.08"/>
    <n v="33791.89"/>
    <n v="27150.757116178236"/>
    <n v="983"/>
  </r>
  <r>
    <n v="1943"/>
    <s v="16-03-2025"/>
    <x v="0"/>
    <x v="3"/>
    <s v="C1023"/>
    <s v="P104"/>
    <n v="2"/>
    <n v="12000"/>
    <n v="8"/>
    <n v="423318"/>
    <n v="8"/>
    <n v="2"/>
    <s v="Monitor"/>
    <x v="1"/>
    <n v="9000"/>
    <n v="24000"/>
    <n v="1920"/>
    <n v="22080"/>
    <n v="4080"/>
    <s v="West-C1023-1943"/>
    <s v="Regular"/>
    <s v="Average"/>
    <n v="1"/>
    <x v="10"/>
    <n v="0.02"/>
    <n v="67730.880000000005"/>
    <n v="19145.526564648964"/>
    <n v="418"/>
  </r>
  <r>
    <n v="1944"/>
    <s v="18-03-2025"/>
    <x v="1"/>
    <x v="7"/>
    <s v="C1028"/>
    <s v="P104"/>
    <n v="10"/>
    <n v="12000"/>
    <n v="5"/>
    <n v="111094"/>
    <n v="12"/>
    <n v="2"/>
    <s v="Monitor"/>
    <x v="1"/>
    <n v="9000"/>
    <n v="120000"/>
    <n v="6000"/>
    <n v="114000"/>
    <n v="24000"/>
    <s v="North-C1028-1944"/>
    <s v="High Value"/>
    <s v="Excellent"/>
    <n v="1"/>
    <x v="10"/>
    <n v="0.02"/>
    <n v="26662.560000000001"/>
    <n v="5229.5803231713689"/>
    <n v="150"/>
  </r>
  <r>
    <n v="1945"/>
    <s v="23-05-2025"/>
    <x v="0"/>
    <x v="0"/>
    <s v="C1020"/>
    <s v="P109"/>
    <n v="9"/>
    <n v="7000"/>
    <n v="5"/>
    <n v="171408"/>
    <n v="10"/>
    <n v="5"/>
    <s v="Router"/>
    <x v="1"/>
    <n v="5000"/>
    <n v="63000"/>
    <n v="3150"/>
    <n v="59850"/>
    <n v="14850"/>
    <s v="West-C1020-1945"/>
    <s v="High Value"/>
    <s v="Good"/>
    <n v="2"/>
    <x v="4"/>
    <n v="0.04"/>
    <n v="85704"/>
    <n v="3641.9134398690726"/>
    <n v="255"/>
  </r>
  <r>
    <n v="1946"/>
    <s v="28-11-2025"/>
    <x v="1"/>
    <x v="1"/>
    <s v="C1014"/>
    <s v="P103"/>
    <n v="9"/>
    <n v="1500"/>
    <n v="8"/>
    <n v="209617"/>
    <n v="9"/>
    <n v="3"/>
    <s v="Keyboard"/>
    <x v="0"/>
    <n v="1200"/>
    <n v="13500"/>
    <n v="1080"/>
    <n v="12420"/>
    <n v="1620"/>
    <s v="North-C1014-1946"/>
    <s v="Regular"/>
    <s v="Poor"/>
    <n v="4"/>
    <x v="5"/>
    <n v="0.08"/>
    <n v="56596.59"/>
    <n v="6665.7645609787869"/>
    <n v="582"/>
  </r>
  <r>
    <n v="1947"/>
    <s v="12-06-2025"/>
    <x v="0"/>
    <x v="1"/>
    <s v="C1024"/>
    <s v="P109"/>
    <n v="7"/>
    <n v="7000"/>
    <n v="5"/>
    <n v="69666"/>
    <n v="10"/>
    <n v="1"/>
    <s v="Router"/>
    <x v="1"/>
    <n v="5000"/>
    <n v="49000"/>
    <n v="2450"/>
    <n v="46550"/>
    <n v="11550"/>
    <s v="West-C1024-1947"/>
    <s v="Regular"/>
    <s v="Average"/>
    <n v="2"/>
    <x v="3"/>
    <n v="0.04"/>
    <n v="6966.6"/>
    <n v="6124.7481997658488"/>
    <n v="315"/>
  </r>
  <r>
    <n v="1948"/>
    <s v="29-10-2025"/>
    <x v="1"/>
    <x v="7"/>
    <s v="C1031"/>
    <s v="P101"/>
    <n v="4"/>
    <n v="55000"/>
    <n v="15"/>
    <n v="324734"/>
    <n v="9"/>
    <n v="4"/>
    <s v="Laptop"/>
    <x v="1"/>
    <n v="45000"/>
    <n v="220000"/>
    <n v="33000"/>
    <n v="187000"/>
    <n v="7000"/>
    <s v="North-C1031-1948"/>
    <s v="High Value"/>
    <s v="Excellent"/>
    <n v="4"/>
    <x v="6"/>
    <n v="0.08"/>
    <n v="116904.24"/>
    <n v="8081.019350257151"/>
    <n v="113"/>
  </r>
  <r>
    <n v="1949"/>
    <s v="31-01-2025"/>
    <x v="2"/>
    <x v="7"/>
    <s v="C1042"/>
    <s v="P105"/>
    <n v="7"/>
    <n v="2000"/>
    <n v="12"/>
    <n v="490388"/>
    <n v="7"/>
    <n v="2"/>
    <s v="Headset"/>
    <x v="0"/>
    <n v="1500"/>
    <n v="14000"/>
    <n v="1680"/>
    <n v="12320"/>
    <n v="1820"/>
    <s v="South-C1042-1949"/>
    <s v="Regular"/>
    <s v="Poor"/>
    <n v="1"/>
    <x v="2"/>
    <n v="0.02"/>
    <n v="68654.320000000007"/>
    <n v="21955.935521233274"/>
    <n v="584"/>
  </r>
  <r>
    <n v="1950"/>
    <s v="21-05-2025"/>
    <x v="3"/>
    <x v="6"/>
    <s v="C1002"/>
    <s v="P107"/>
    <n v="10"/>
    <n v="35000"/>
    <n v="10"/>
    <n v="189196"/>
    <n v="11"/>
    <n v="4"/>
    <s v="Tablet"/>
    <x v="1"/>
    <n v="29000"/>
    <n v="350000"/>
    <n v="35000"/>
    <n v="315000"/>
    <n v="25000"/>
    <s v="East-C1002-1950"/>
    <s v="High Value"/>
    <s v="Excellent"/>
    <n v="2"/>
    <x v="4"/>
    <n v="0.04"/>
    <n v="83246.240000000005"/>
    <n v="4889.8694959964259"/>
    <n v="45"/>
  </r>
  <r>
    <n v="1951"/>
    <s v="23-01-2025"/>
    <x v="1"/>
    <x v="2"/>
    <s v="C1041"/>
    <s v="P101"/>
    <n v="5"/>
    <n v="55000"/>
    <n v="5"/>
    <n v="283559"/>
    <n v="12"/>
    <n v="4"/>
    <s v="Laptop"/>
    <x v="1"/>
    <n v="45000"/>
    <n v="275000"/>
    <n v="13750"/>
    <n v="261250"/>
    <n v="36250"/>
    <s v="North-C1041-1951"/>
    <s v="High Value"/>
    <s v="Excellent"/>
    <n v="1"/>
    <x v="2"/>
    <n v="0.02"/>
    <n v="136108.32"/>
    <n v="7467.1960412420058"/>
    <n v="70"/>
  </r>
  <r>
    <n v="1952"/>
    <s v="23-03-2025"/>
    <x v="2"/>
    <x v="0"/>
    <s v="C1019"/>
    <s v="P106"/>
    <n v="7"/>
    <n v="8000"/>
    <n v="8"/>
    <n v="121623"/>
    <n v="10"/>
    <n v="2"/>
    <s v="Printer"/>
    <x v="1"/>
    <n v="6500"/>
    <n v="56000"/>
    <n v="4480"/>
    <n v="51520"/>
    <n v="6020"/>
    <s v="South-C1019-1952"/>
    <s v="High Value"/>
    <s v="Good"/>
    <n v="1"/>
    <x v="10"/>
    <n v="0.02"/>
    <n v="24324.6"/>
    <n v="5612.2843759477701"/>
    <n v="287"/>
  </r>
  <r>
    <n v="1953"/>
    <s v="06-05-2025"/>
    <x v="2"/>
    <x v="6"/>
    <s v="C1009"/>
    <s v="P110"/>
    <n v="8"/>
    <n v="950"/>
    <n v="0"/>
    <n v="394619"/>
    <n v="7"/>
    <n v="5"/>
    <s v="Webcam"/>
    <x v="0"/>
    <n v="700"/>
    <n v="7600"/>
    <n v="0"/>
    <n v="7600"/>
    <n v="2000"/>
    <s v="South-C1009-1953"/>
    <s v="Regular"/>
    <s v="Poor"/>
    <n v="2"/>
    <x v="4"/>
    <n v="0.04"/>
    <n v="138116.65"/>
    <n v="7813.9291667941934"/>
    <n v="701"/>
  </r>
  <r>
    <n v="1954"/>
    <s v="02-08-2025"/>
    <x v="1"/>
    <x v="3"/>
    <s v="C1021"/>
    <s v="P103"/>
    <n v="3"/>
    <n v="1500"/>
    <n v="8"/>
    <n v="218425"/>
    <n v="11"/>
    <n v="2"/>
    <s v="Keyboard"/>
    <x v="0"/>
    <n v="1200"/>
    <n v="4500"/>
    <n v="360"/>
    <n v="4140"/>
    <n v="540"/>
    <s v="North-C1021-1954"/>
    <s v="Regular"/>
    <s v="Poor"/>
    <n v="3"/>
    <x v="7"/>
    <n v="0.06"/>
    <n v="48053.5"/>
    <n v="10180.317058075985"/>
    <n v="829"/>
  </r>
  <r>
    <n v="1955"/>
    <s v="09-10-2025"/>
    <x v="1"/>
    <x v="3"/>
    <s v="C1007"/>
    <s v="P106"/>
    <n v="5"/>
    <n v="8000"/>
    <n v="5"/>
    <n v="83144"/>
    <n v="7"/>
    <n v="5"/>
    <s v="Printer"/>
    <x v="1"/>
    <n v="6500"/>
    <n v="40000"/>
    <n v="2000"/>
    <n v="38000"/>
    <n v="5500"/>
    <s v="North-C1007-1955"/>
    <s v="Regular"/>
    <s v="Average"/>
    <n v="4"/>
    <x v="6"/>
    <n v="0.08"/>
    <n v="29100.400000000001"/>
    <n v="1646.3508514388218"/>
    <n v="340"/>
  </r>
  <r>
    <n v="1956"/>
    <s v="30-09-2025"/>
    <x v="0"/>
    <x v="5"/>
    <s v="C1022"/>
    <s v="P106"/>
    <n v="9"/>
    <n v="8000"/>
    <n v="2"/>
    <n v="405153"/>
    <n v="10"/>
    <n v="4"/>
    <s v="Printer"/>
    <x v="1"/>
    <n v="6500"/>
    <n v="72000"/>
    <n v="1440"/>
    <n v="70560"/>
    <n v="12060"/>
    <s v="West-C1022-1956"/>
    <s v="High Value"/>
    <s v="Good"/>
    <n v="3"/>
    <x v="1"/>
    <n v="0.06"/>
    <n v="162061.20000000001"/>
    <n v="10275.726766338128"/>
    <n v="214"/>
  </r>
  <r>
    <n v="1957"/>
    <s v="23-02-2025"/>
    <x v="2"/>
    <x v="6"/>
    <s v="C1003"/>
    <s v="P105"/>
    <n v="5"/>
    <n v="2000"/>
    <n v="10"/>
    <n v="255210"/>
    <n v="10"/>
    <n v="3"/>
    <s v="Headset"/>
    <x v="0"/>
    <n v="1500"/>
    <n v="10000"/>
    <n v="1000"/>
    <n v="9000"/>
    <n v="1500"/>
    <s v="South-C1003-1957"/>
    <s v="Regular"/>
    <s v="Poor"/>
    <n v="1"/>
    <x v="9"/>
    <n v="0.02"/>
    <n v="76563"/>
    <n v="8234.9088437392638"/>
    <n v="663"/>
  </r>
  <r>
    <n v="1958"/>
    <s v="19-12-2025"/>
    <x v="0"/>
    <x v="5"/>
    <s v="C1010"/>
    <s v="P101"/>
    <n v="3"/>
    <n v="55000"/>
    <n v="10"/>
    <n v="481083"/>
    <n v="8"/>
    <n v="2"/>
    <s v="Laptop"/>
    <x v="1"/>
    <n v="45000"/>
    <n v="165000"/>
    <n v="16500"/>
    <n v="148500"/>
    <n v="13500"/>
    <s v="West-C1010-1958"/>
    <s v="High Value"/>
    <s v="Excellent"/>
    <n v="4"/>
    <x v="0"/>
    <n v="0.08"/>
    <n v="76973.279999999999"/>
    <n v="21758.081055615439"/>
    <n v="135"/>
  </r>
  <r>
    <n v="1959"/>
    <s v="14-02-2025"/>
    <x v="1"/>
    <x v="2"/>
    <s v="C1010"/>
    <s v="P105"/>
    <n v="6"/>
    <n v="2000"/>
    <n v="15"/>
    <n v="288574"/>
    <n v="11"/>
    <n v="1"/>
    <s v="Headset"/>
    <x v="0"/>
    <n v="1500"/>
    <n v="12000"/>
    <n v="1800"/>
    <n v="10200"/>
    <n v="1200"/>
    <s v="North-C1010-1959"/>
    <s v="Regular"/>
    <s v="Poor"/>
    <n v="1"/>
    <x v="9"/>
    <n v="0.02"/>
    <n v="31743.14"/>
    <n v="25504.648726213363"/>
    <n v="630"/>
  </r>
  <r>
    <n v="1960"/>
    <s v="15-05-2025"/>
    <x v="1"/>
    <x v="4"/>
    <s v="C1032"/>
    <s v="P103"/>
    <n v="1"/>
    <n v="1500"/>
    <n v="15"/>
    <n v="478476"/>
    <n v="9"/>
    <n v="4"/>
    <s v="Keyboard"/>
    <x v="0"/>
    <n v="1200"/>
    <n v="1500"/>
    <n v="225"/>
    <n v="1275"/>
    <n v="75"/>
    <s v="North-C1032-1960"/>
    <s v="Regular"/>
    <s v="Poor"/>
    <n v="2"/>
    <x v="4"/>
    <n v="0.04"/>
    <n v="172251.36"/>
    <n v="11906.895534910544"/>
    <n v="961"/>
  </r>
  <r>
    <n v="1961"/>
    <s v="01-04-2025"/>
    <x v="1"/>
    <x v="2"/>
    <s v="C1024"/>
    <s v="P107"/>
    <n v="9"/>
    <n v="35000"/>
    <n v="0"/>
    <n v="62950"/>
    <n v="12"/>
    <n v="3"/>
    <s v="Tablet"/>
    <x v="1"/>
    <n v="29000"/>
    <n v="315000"/>
    <n v="0"/>
    <n v="315000"/>
    <n v="54000"/>
    <s v="North-C1024-1961"/>
    <s v="High Value"/>
    <s v="Excellent"/>
    <n v="2"/>
    <x v="11"/>
    <n v="0.04"/>
    <n v="22662"/>
    <n v="2090.8408027189826"/>
    <n v="45"/>
  </r>
  <r>
    <n v="1962"/>
    <s v="16-09-2025"/>
    <x v="2"/>
    <x v="1"/>
    <s v="C1008"/>
    <s v="P108"/>
    <n v="6"/>
    <n v="2500"/>
    <n v="0"/>
    <n v="453326"/>
    <n v="12"/>
    <n v="5"/>
    <s v="Speaker"/>
    <x v="0"/>
    <n v="1800"/>
    <n v="15000"/>
    <n v="0"/>
    <n v="15000"/>
    <n v="4200"/>
    <s v="South-C1008-1962"/>
    <s v="Regular"/>
    <s v="Poor"/>
    <n v="3"/>
    <x v="1"/>
    <n v="0.06"/>
    <n v="271995.59999999998"/>
    <n v="10083.98649120578"/>
    <n v="526"/>
  </r>
  <r>
    <n v="1963"/>
    <s v="08-05-2025"/>
    <x v="2"/>
    <x v="2"/>
    <s v="C1028"/>
    <s v="P104"/>
    <n v="7"/>
    <n v="12000"/>
    <n v="5"/>
    <n v="253276"/>
    <n v="12"/>
    <n v="1"/>
    <s v="Monitor"/>
    <x v="1"/>
    <n v="9000"/>
    <n v="84000"/>
    <n v="4200"/>
    <n v="79800"/>
    <n v="16800"/>
    <s v="South-C1028-1963"/>
    <s v="High Value"/>
    <s v="Good"/>
    <n v="2"/>
    <x v="4"/>
    <n v="0.04"/>
    <n v="30393.119999999999"/>
    <n v="22503.265801295671"/>
    <n v="194"/>
  </r>
  <r>
    <n v="1964"/>
    <s v="18-02-2025"/>
    <x v="1"/>
    <x v="1"/>
    <s v="C1016"/>
    <s v="P101"/>
    <n v="4"/>
    <n v="55000"/>
    <n v="5"/>
    <n v="106962"/>
    <n v="9"/>
    <n v="1"/>
    <s v="Laptop"/>
    <x v="1"/>
    <n v="45000"/>
    <n v="220000"/>
    <n v="11000"/>
    <n v="209000"/>
    <n v="29000"/>
    <s v="North-C1016-1964"/>
    <s v="High Value"/>
    <s v="Excellent"/>
    <n v="1"/>
    <x v="9"/>
    <n v="0.02"/>
    <n v="9626.58"/>
    <n v="9353.9848582643353"/>
    <n v="102"/>
  </r>
  <r>
    <n v="1965"/>
    <s v="09-07-2025"/>
    <x v="3"/>
    <x v="0"/>
    <s v="C1047"/>
    <s v="P106"/>
    <n v="1"/>
    <n v="8000"/>
    <n v="8"/>
    <n v="343745"/>
    <n v="10"/>
    <n v="1"/>
    <s v="Printer"/>
    <x v="1"/>
    <n v="6500"/>
    <n v="8000"/>
    <n v="640"/>
    <n v="7360"/>
    <n v="860"/>
    <s v="East-C1047-1965"/>
    <s v="Regular"/>
    <s v="Poor"/>
    <n v="3"/>
    <x v="8"/>
    <n v="0.06"/>
    <n v="34374.5"/>
    <n v="30220.646655879646"/>
    <n v="709"/>
  </r>
  <r>
    <n v="1966"/>
    <s v="19-10-2025"/>
    <x v="0"/>
    <x v="5"/>
    <s v="C1017"/>
    <s v="P107"/>
    <n v="9"/>
    <n v="35000"/>
    <n v="15"/>
    <n v="168581"/>
    <n v="7"/>
    <n v="2"/>
    <s v="Tablet"/>
    <x v="1"/>
    <n v="29000"/>
    <n v="315000"/>
    <n v="47250"/>
    <n v="267750"/>
    <n v="6750"/>
    <s v="West-C1017-1966"/>
    <s v="High Value"/>
    <s v="Excellent"/>
    <n v="4"/>
    <x v="6"/>
    <n v="0.08"/>
    <n v="23601.34"/>
    <n v="7547.8061577873577"/>
    <n v="65"/>
  </r>
  <r>
    <n v="1967"/>
    <s v="29-07-2025"/>
    <x v="0"/>
    <x v="5"/>
    <s v="C1009"/>
    <s v="P102"/>
    <n v="7"/>
    <n v="500"/>
    <n v="5"/>
    <n v="260089"/>
    <n v="11"/>
    <n v="1"/>
    <s v="Mouse"/>
    <x v="0"/>
    <n v="350"/>
    <n v="3500"/>
    <n v="175"/>
    <n v="3325"/>
    <n v="875"/>
    <s v="West-C1009-1967"/>
    <s v="Regular"/>
    <s v="Poor"/>
    <n v="3"/>
    <x v="8"/>
    <n v="0.06"/>
    <n v="28609.79"/>
    <n v="22987.097183225473"/>
    <n v="869"/>
  </r>
  <r>
    <n v="1968"/>
    <s v="15-11-2025"/>
    <x v="1"/>
    <x v="2"/>
    <s v="C1030"/>
    <s v="P104"/>
    <n v="7"/>
    <n v="12000"/>
    <n v="12"/>
    <n v="110130"/>
    <n v="10"/>
    <n v="1"/>
    <s v="Monitor"/>
    <x v="1"/>
    <n v="9000"/>
    <n v="84000"/>
    <n v="10080"/>
    <n v="73920"/>
    <n v="10920"/>
    <s v="North-C1030-1968"/>
    <s v="High Value"/>
    <s v="Good"/>
    <n v="4"/>
    <x v="5"/>
    <n v="0.08"/>
    <n v="11013"/>
    <n v="9682.1766606409565"/>
    <n v="202"/>
  </r>
  <r>
    <n v="1969"/>
    <s v="05-02-2025"/>
    <x v="0"/>
    <x v="1"/>
    <s v="C1033"/>
    <s v="P106"/>
    <n v="10"/>
    <n v="8000"/>
    <n v="12"/>
    <n v="301771"/>
    <n v="11"/>
    <n v="3"/>
    <s v="Printer"/>
    <x v="1"/>
    <n v="6500"/>
    <n v="80000"/>
    <n v="9600"/>
    <n v="70400"/>
    <n v="5400"/>
    <s v="West-C1033-1969"/>
    <s v="High Value"/>
    <s v="Good"/>
    <n v="1"/>
    <x v="9"/>
    <n v="0.02"/>
    <n v="99584.43"/>
    <n v="9879.5954031148231"/>
    <n v="218"/>
  </r>
  <r>
    <n v="1970"/>
    <s v="10-08-2025"/>
    <x v="1"/>
    <x v="3"/>
    <s v="C1044"/>
    <s v="P109"/>
    <n v="7"/>
    <n v="7000"/>
    <n v="5"/>
    <n v="81148"/>
    <n v="9"/>
    <n v="1"/>
    <s v="Router"/>
    <x v="1"/>
    <n v="5000"/>
    <n v="49000"/>
    <n v="2450"/>
    <n v="46550"/>
    <n v="11550"/>
    <s v="North-C1044-1970"/>
    <s v="Regular"/>
    <s v="Average"/>
    <n v="3"/>
    <x v="7"/>
    <n v="0.06"/>
    <n v="7303.32"/>
    <n v="7096.5124369255846"/>
    <n v="315"/>
  </r>
  <r>
    <n v="1971"/>
    <s v="23-03-2025"/>
    <x v="3"/>
    <x v="1"/>
    <s v="C1047"/>
    <s v="P106"/>
    <n v="1"/>
    <n v="8000"/>
    <n v="2"/>
    <n v="452704"/>
    <n v="7"/>
    <n v="1"/>
    <s v="Printer"/>
    <x v="1"/>
    <n v="6500"/>
    <n v="8000"/>
    <n v="160"/>
    <n v="7840"/>
    <n v="1340"/>
    <s v="East-C1047-1971"/>
    <s v="Regular"/>
    <s v="Poor"/>
    <n v="1"/>
    <x v="10"/>
    <n v="0.02"/>
    <n v="31689.279999999999"/>
    <n v="39171.004065611494"/>
    <n v="692"/>
  </r>
  <r>
    <n v="1972"/>
    <s v="01-06-2025"/>
    <x v="1"/>
    <x v="7"/>
    <s v="C1025"/>
    <s v="P106"/>
    <n v="9"/>
    <n v="8000"/>
    <n v="12"/>
    <n v="160178"/>
    <n v="8"/>
    <n v="5"/>
    <s v="Printer"/>
    <x v="1"/>
    <n v="6500"/>
    <n v="72000"/>
    <n v="8640"/>
    <n v="63360"/>
    <n v="4860"/>
    <s v="North-C1025-1972"/>
    <s v="High Value"/>
    <s v="Good"/>
    <n v="2"/>
    <x v="3"/>
    <n v="0.04"/>
    <n v="64071.199999999997"/>
    <n v="3247.8322843295264"/>
    <n v="240"/>
  </r>
  <r>
    <n v="1973"/>
    <s v="15-10-2025"/>
    <x v="0"/>
    <x v="7"/>
    <s v="C1012"/>
    <s v="P105"/>
    <n v="5"/>
    <n v="2000"/>
    <n v="0"/>
    <n v="241046"/>
    <n v="10"/>
    <n v="1"/>
    <s v="Headset"/>
    <x v="0"/>
    <n v="1500"/>
    <n v="10000"/>
    <n v="0"/>
    <n v="10000"/>
    <n v="2500"/>
    <s v="West-C1012-1973"/>
    <s v="Regular"/>
    <s v="Poor"/>
    <n v="4"/>
    <x v="6"/>
    <n v="0.08"/>
    <n v="24104.6"/>
    <n v="21191.772953244894"/>
    <n v="636"/>
  </r>
  <r>
    <n v="1974"/>
    <s v="22-08-2025"/>
    <x v="0"/>
    <x v="5"/>
    <s v="C1024"/>
    <s v="P101"/>
    <n v="4"/>
    <n v="55000"/>
    <n v="15"/>
    <n v="120228"/>
    <n v="12"/>
    <n v="1"/>
    <s v="Laptop"/>
    <x v="1"/>
    <n v="45000"/>
    <n v="220000"/>
    <n v="33000"/>
    <n v="187000"/>
    <n v="7000"/>
    <s v="West-C1024-1974"/>
    <s v="High Value"/>
    <s v="Excellent"/>
    <n v="3"/>
    <x v="7"/>
    <n v="0.06"/>
    <n v="14427.36"/>
    <n v="10682.112165219665"/>
    <n v="113"/>
  </r>
  <r>
    <n v="1975"/>
    <s v="08-07-2025"/>
    <x v="3"/>
    <x v="0"/>
    <s v="C1047"/>
    <s v="P102"/>
    <n v="10"/>
    <n v="500"/>
    <n v="12"/>
    <n v="184815"/>
    <n v="9"/>
    <n v="3"/>
    <s v="Mouse"/>
    <x v="0"/>
    <n v="350"/>
    <n v="5000"/>
    <n v="600"/>
    <n v="4400"/>
    <n v="900"/>
    <s v="East-C1047-1975"/>
    <s v="Regular"/>
    <s v="Poor"/>
    <n v="3"/>
    <x v="8"/>
    <n v="0.06"/>
    <n v="49900.05"/>
    <n v="5877.0675915469374"/>
    <n v="814"/>
  </r>
  <r>
    <n v="1976"/>
    <s v="18-08-2025"/>
    <x v="1"/>
    <x v="0"/>
    <s v="C1047"/>
    <s v="P104"/>
    <n v="7"/>
    <n v="12000"/>
    <n v="10"/>
    <n v="259594"/>
    <n v="8"/>
    <n v="3"/>
    <s v="Monitor"/>
    <x v="1"/>
    <n v="9000"/>
    <n v="84000"/>
    <n v="8400"/>
    <n v="75600"/>
    <n v="12600"/>
    <s v="North-C1047-1976"/>
    <s v="High Value"/>
    <s v="Good"/>
    <n v="3"/>
    <x v="7"/>
    <n v="0.06"/>
    <n v="62302.559999999998"/>
    <n v="8134.7324555946798"/>
    <n v="200"/>
  </r>
  <r>
    <n v="1977"/>
    <s v="28-02-2025"/>
    <x v="1"/>
    <x v="4"/>
    <s v="C1031"/>
    <s v="P108"/>
    <n v="1"/>
    <n v="2500"/>
    <n v="0"/>
    <n v="152759"/>
    <n v="11"/>
    <n v="1"/>
    <s v="Speaker"/>
    <x v="0"/>
    <n v="1800"/>
    <n v="2500"/>
    <n v="0"/>
    <n v="2500"/>
    <n v="700"/>
    <s v="North-C1031-1977"/>
    <s v="Regular"/>
    <s v="Poor"/>
    <n v="1"/>
    <x v="9"/>
    <n v="0.02"/>
    <n v="16803.490000000002"/>
    <n v="13501.09377410171"/>
    <n v="907"/>
  </r>
  <r>
    <n v="1978"/>
    <s v="12-11-2025"/>
    <x v="1"/>
    <x v="7"/>
    <s v="C1022"/>
    <s v="P103"/>
    <n v="8"/>
    <n v="1500"/>
    <n v="0"/>
    <n v="474286"/>
    <n v="7"/>
    <n v="1"/>
    <s v="Keyboard"/>
    <x v="0"/>
    <n v="1200"/>
    <n v="12000"/>
    <n v="0"/>
    <n v="12000"/>
    <n v="2400"/>
    <s v="North-C1022-1978"/>
    <s v="Regular"/>
    <s v="Poor"/>
    <n v="4"/>
    <x v="5"/>
    <n v="0.08"/>
    <n v="33200.019999999997"/>
    <n v="41038.424299901511"/>
    <n v="588"/>
  </r>
  <r>
    <n v="1979"/>
    <s v="18-03-2025"/>
    <x v="1"/>
    <x v="3"/>
    <s v="C1012"/>
    <s v="P102"/>
    <n v="7"/>
    <n v="500"/>
    <n v="15"/>
    <n v="375004"/>
    <n v="7"/>
    <n v="4"/>
    <s v="Mouse"/>
    <x v="0"/>
    <n v="350"/>
    <n v="3500"/>
    <n v="525"/>
    <n v="2975"/>
    <n v="525"/>
    <s v="North-C1012-1979"/>
    <s v="Regular"/>
    <s v="Poor"/>
    <n v="1"/>
    <x v="10"/>
    <n v="0.02"/>
    <n v="105001.12"/>
    <n v="8979.937533394741"/>
    <n v="881"/>
  </r>
  <r>
    <n v="1980"/>
    <s v="22-02-2025"/>
    <x v="2"/>
    <x v="2"/>
    <s v="C1035"/>
    <s v="P105"/>
    <n v="5"/>
    <n v="2000"/>
    <n v="12"/>
    <n v="218997"/>
    <n v="11"/>
    <n v="1"/>
    <s v="Headset"/>
    <x v="0"/>
    <n v="1500"/>
    <n v="10000"/>
    <n v="1200"/>
    <n v="8800"/>
    <n v="1300"/>
    <s v="South-C1035-1980"/>
    <s v="Regular"/>
    <s v="Poor"/>
    <n v="1"/>
    <x v="9"/>
    <n v="0.02"/>
    <n v="24089.67"/>
    <n v="19355.318071255715"/>
    <n v="672"/>
  </r>
  <r>
    <n v="1981"/>
    <s v="10-12-2025"/>
    <x v="2"/>
    <x v="2"/>
    <s v="C1007"/>
    <s v="P103"/>
    <n v="1"/>
    <n v="1500"/>
    <n v="8"/>
    <n v="396328"/>
    <n v="7"/>
    <n v="1"/>
    <s v="Keyboard"/>
    <x v="0"/>
    <n v="1200"/>
    <n v="1500"/>
    <n v="120"/>
    <n v="1380"/>
    <n v="180"/>
    <s v="South-C1007-1981"/>
    <s v="Regular"/>
    <s v="Poor"/>
    <n v="4"/>
    <x v="0"/>
    <n v="0.08"/>
    <n v="27742.959999999999"/>
    <n v="34292.972227582861"/>
    <n v="954"/>
  </r>
  <r>
    <n v="1982"/>
    <s v="20-04-2025"/>
    <x v="3"/>
    <x v="2"/>
    <s v="C1013"/>
    <s v="P104"/>
    <n v="1"/>
    <n v="12000"/>
    <n v="8"/>
    <n v="473855"/>
    <n v="11"/>
    <n v="3"/>
    <s v="Monitor"/>
    <x v="1"/>
    <n v="9000"/>
    <n v="12000"/>
    <n v="960"/>
    <n v="11040"/>
    <n v="2040"/>
    <s v="East-C1013-1982"/>
    <s v="Regular"/>
    <s v="Poor"/>
    <n v="2"/>
    <x v="11"/>
    <n v="0.04"/>
    <n v="156372.15"/>
    <n v="15513.404799477003"/>
    <n v="613"/>
  </r>
  <r>
    <n v="1983"/>
    <s v="22-08-2025"/>
    <x v="3"/>
    <x v="3"/>
    <s v="C1003"/>
    <s v="P106"/>
    <n v="1"/>
    <n v="8000"/>
    <n v="2"/>
    <n v="237194"/>
    <n v="10"/>
    <n v="4"/>
    <s v="Printer"/>
    <x v="1"/>
    <n v="6500"/>
    <n v="8000"/>
    <n v="160"/>
    <n v="7840"/>
    <n v="1340"/>
    <s v="East-C1003-1983"/>
    <s v="Regular"/>
    <s v="Poor"/>
    <n v="3"/>
    <x v="7"/>
    <n v="0.06"/>
    <n v="94877.6"/>
    <n v="6015.8526152214245"/>
    <n v="692"/>
  </r>
  <r>
    <n v="1984"/>
    <s v="08-05-2025"/>
    <x v="1"/>
    <x v="5"/>
    <s v="C1021"/>
    <s v="P105"/>
    <n v="2"/>
    <n v="2000"/>
    <n v="0"/>
    <n v="93117"/>
    <n v="10"/>
    <n v="2"/>
    <s v="Headset"/>
    <x v="0"/>
    <n v="1500"/>
    <n v="4000"/>
    <n v="0"/>
    <n v="4000"/>
    <n v="1000"/>
    <s v="North-C1021-1984"/>
    <s v="Regular"/>
    <s v="Poor"/>
    <n v="2"/>
    <x v="4"/>
    <n v="0.04"/>
    <n v="18623.400000000001"/>
    <n v="4296.8771057705244"/>
    <n v="837"/>
  </r>
  <r>
    <n v="1985"/>
    <s v="11-10-2025"/>
    <x v="0"/>
    <x v="2"/>
    <s v="C1003"/>
    <s v="P103"/>
    <n v="10"/>
    <n v="1500"/>
    <n v="12"/>
    <n v="96373"/>
    <n v="9"/>
    <n v="1"/>
    <s v="Keyboard"/>
    <x v="0"/>
    <n v="1200"/>
    <n v="15000"/>
    <n v="1800"/>
    <n v="13200"/>
    <n v="1200"/>
    <s v="West-C1003-1985"/>
    <s v="Regular"/>
    <s v="Poor"/>
    <n v="4"/>
    <x v="6"/>
    <n v="0.08"/>
    <n v="8673.57"/>
    <n v="8427.9611707476379"/>
    <n v="564"/>
  </r>
  <r>
    <n v="1986"/>
    <s v="23-06-2025"/>
    <x v="3"/>
    <x v="7"/>
    <s v="C1013"/>
    <s v="P108"/>
    <n v="10"/>
    <n v="2500"/>
    <n v="2"/>
    <n v="473115"/>
    <n v="7"/>
    <n v="5"/>
    <s v="Speaker"/>
    <x v="0"/>
    <n v="1800"/>
    <n v="25000"/>
    <n v="500"/>
    <n v="24500"/>
    <n v="6500"/>
    <s v="East-C1013-1986"/>
    <s v="Regular"/>
    <s v="Average"/>
    <n v="2"/>
    <x v="3"/>
    <n v="0.04"/>
    <n v="165590.25"/>
    <n v="9368.2440474174691"/>
    <n v="402"/>
  </r>
  <r>
    <n v="1987"/>
    <s v="21-01-2025"/>
    <x v="1"/>
    <x v="3"/>
    <s v="C1019"/>
    <s v="P101"/>
    <n v="2"/>
    <n v="55000"/>
    <n v="0"/>
    <n v="465364"/>
    <n v="7"/>
    <n v="2"/>
    <s v="Laptop"/>
    <x v="1"/>
    <n v="45000"/>
    <n v="110000"/>
    <n v="0"/>
    <n v="110000"/>
    <n v="20000"/>
    <s v="North-C1019-1987"/>
    <s v="High Value"/>
    <s v="Excellent"/>
    <n v="1"/>
    <x v="2"/>
    <n v="0.02"/>
    <n v="65150.96"/>
    <n v="20835.546501756162"/>
    <n v="153"/>
  </r>
  <r>
    <n v="1988"/>
    <s v="03-09-2025"/>
    <x v="1"/>
    <x v="1"/>
    <s v="C1045"/>
    <s v="P110"/>
    <n v="3"/>
    <n v="950"/>
    <n v="8"/>
    <n v="435466"/>
    <n v="8"/>
    <n v="1"/>
    <s v="Webcam"/>
    <x v="0"/>
    <n v="700"/>
    <n v="2850"/>
    <n v="228"/>
    <n v="2622"/>
    <n v="522"/>
    <s v="North-C1045-1988"/>
    <s v="Regular"/>
    <s v="Poor"/>
    <n v="3"/>
    <x v="1"/>
    <n v="0.06"/>
    <n v="34837.279999999999"/>
    <n v="37880.503260111967"/>
    <n v="900"/>
  </r>
  <r>
    <n v="1989"/>
    <s v="21-02-2025"/>
    <x v="1"/>
    <x v="5"/>
    <s v="C1043"/>
    <s v="P106"/>
    <n v="3"/>
    <n v="8000"/>
    <n v="5"/>
    <n v="458763"/>
    <n v="8"/>
    <n v="4"/>
    <s v="Printer"/>
    <x v="1"/>
    <n v="6500"/>
    <n v="24000"/>
    <n v="1200"/>
    <n v="22800"/>
    <n v="3300"/>
    <s v="North-C1043-1989"/>
    <s v="Regular"/>
    <s v="Average"/>
    <n v="1"/>
    <x v="9"/>
    <n v="0.02"/>
    <n v="146804.16"/>
    <n v="11199.745492154703"/>
    <n v="410"/>
  </r>
  <r>
    <n v="1990"/>
    <s v="27-11-2025"/>
    <x v="2"/>
    <x v="3"/>
    <s v="C1012"/>
    <s v="P104"/>
    <n v="7"/>
    <n v="12000"/>
    <n v="12"/>
    <n v="348408"/>
    <n v="10"/>
    <n v="1"/>
    <s v="Monitor"/>
    <x v="1"/>
    <n v="9000"/>
    <n v="84000"/>
    <n v="10080"/>
    <n v="73920"/>
    <n v="10920"/>
    <s v="South-C1012-1990"/>
    <s v="High Value"/>
    <s v="Good"/>
    <n v="4"/>
    <x v="5"/>
    <n v="0.08"/>
    <n v="34840.800000000003"/>
    <n v="30630.598438033183"/>
    <n v="202"/>
  </r>
  <r>
    <n v="1991"/>
    <s v="16-12-2025"/>
    <x v="0"/>
    <x v="2"/>
    <s v="C1004"/>
    <s v="P109"/>
    <n v="3"/>
    <n v="7000"/>
    <n v="2"/>
    <n v="81710"/>
    <n v="12"/>
    <n v="1"/>
    <s v="Router"/>
    <x v="1"/>
    <n v="5000"/>
    <n v="21000"/>
    <n v="420"/>
    <n v="20580"/>
    <n v="5580"/>
    <s v="West-C1004-1991"/>
    <s v="Regular"/>
    <s v="Average"/>
    <n v="4"/>
    <x v="0"/>
    <n v="0.08"/>
    <n v="9805.2000000000007"/>
    <n v="7259.8345229073002"/>
    <n v="442"/>
  </r>
  <r>
    <n v="1992"/>
    <s v="14-07-2025"/>
    <x v="3"/>
    <x v="4"/>
    <s v="C1019"/>
    <s v="P110"/>
    <n v="5"/>
    <n v="950"/>
    <n v="8"/>
    <n v="66387"/>
    <n v="12"/>
    <n v="5"/>
    <s v="Webcam"/>
    <x v="0"/>
    <n v="700"/>
    <n v="4750"/>
    <n v="380"/>
    <n v="4370"/>
    <n v="870"/>
    <s v="East-C1019-1992"/>
    <s v="Regular"/>
    <s v="Poor"/>
    <n v="3"/>
    <x v="8"/>
    <n v="0.06"/>
    <n v="39832.199999999997"/>
    <n v="1476.7421484575741"/>
    <n v="816"/>
  </r>
  <r>
    <n v="1993"/>
    <s v="09-04-2025"/>
    <x v="2"/>
    <x v="7"/>
    <s v="C1013"/>
    <s v="P106"/>
    <n v="9"/>
    <n v="8000"/>
    <n v="15"/>
    <n v="441334"/>
    <n v="8"/>
    <n v="2"/>
    <s v="Printer"/>
    <x v="1"/>
    <n v="6500"/>
    <n v="72000"/>
    <n v="10800"/>
    <n v="61200"/>
    <n v="2700"/>
    <s v="South-C1013-1993"/>
    <s v="High Value"/>
    <s v="Good"/>
    <n v="2"/>
    <x v="11"/>
    <n v="0.04"/>
    <n v="70613.440000000002"/>
    <n v="19960.341447523577"/>
    <n v="251"/>
  </r>
  <r>
    <n v="1994"/>
    <s v="07-05-2025"/>
    <x v="1"/>
    <x v="4"/>
    <s v="C1045"/>
    <s v="P103"/>
    <n v="6"/>
    <n v="1500"/>
    <n v="10"/>
    <n v="80731"/>
    <n v="11"/>
    <n v="1"/>
    <s v="Keyboard"/>
    <x v="0"/>
    <n v="1200"/>
    <n v="9000"/>
    <n v="900"/>
    <n v="8100"/>
    <n v="900"/>
    <s v="North-C1045-1994"/>
    <s v="Regular"/>
    <s v="Poor"/>
    <n v="2"/>
    <x v="4"/>
    <n v="0.04"/>
    <n v="8880.41"/>
    <n v="7135.139674107616"/>
    <n v="682"/>
  </r>
  <r>
    <n v="1995"/>
    <s v="11-11-2025"/>
    <x v="0"/>
    <x v="7"/>
    <s v="C1047"/>
    <s v="P103"/>
    <n v="6"/>
    <n v="1500"/>
    <n v="2"/>
    <n v="156069"/>
    <n v="7"/>
    <n v="5"/>
    <s v="Keyboard"/>
    <x v="0"/>
    <n v="1200"/>
    <n v="9000"/>
    <n v="180"/>
    <n v="8820"/>
    <n v="1620"/>
    <s v="West-C1047-1995"/>
    <s v="Regular"/>
    <s v="Poor"/>
    <n v="4"/>
    <x v="5"/>
    <n v="0.08"/>
    <n v="54624.15"/>
    <n v="3090.3532549938118"/>
    <n v="669"/>
  </r>
  <r>
    <n v="1996"/>
    <s v="22-01-2025"/>
    <x v="3"/>
    <x v="1"/>
    <s v="C1047"/>
    <s v="P109"/>
    <n v="5"/>
    <n v="7000"/>
    <n v="10"/>
    <n v="423610"/>
    <n v="12"/>
    <n v="2"/>
    <s v="Router"/>
    <x v="1"/>
    <n v="5000"/>
    <n v="35000"/>
    <n v="3500"/>
    <n v="31500"/>
    <n v="6500"/>
    <s v="East-C1047-1996"/>
    <s v="Regular"/>
    <s v="Average"/>
    <n v="1"/>
    <x v="2"/>
    <n v="0.02"/>
    <n v="101666.4"/>
    <n v="19940.79356849716"/>
    <n v="367"/>
  </r>
  <r>
    <n v="1997"/>
    <s v="05-09-2025"/>
    <x v="1"/>
    <x v="2"/>
    <s v="C1039"/>
    <s v="P104"/>
    <n v="10"/>
    <n v="12000"/>
    <n v="8"/>
    <n v="315370"/>
    <n v="9"/>
    <n v="1"/>
    <s v="Monitor"/>
    <x v="1"/>
    <n v="9000"/>
    <n v="120000"/>
    <n v="9600"/>
    <n v="110400"/>
    <n v="20400"/>
    <s v="North-C1039-1997"/>
    <s v="High Value"/>
    <s v="Excellent"/>
    <n v="3"/>
    <x v="1"/>
    <n v="0.06"/>
    <n v="28383.3"/>
    <n v="27579.572228930123"/>
    <n v="151"/>
  </r>
  <r>
    <n v="1998"/>
    <s v="31-12-2025"/>
    <x v="1"/>
    <x v="7"/>
    <s v="C1038"/>
    <s v="P107"/>
    <n v="5"/>
    <n v="35000"/>
    <n v="10"/>
    <n v="150409"/>
    <n v="10"/>
    <n v="2"/>
    <s v="Tablet"/>
    <x v="1"/>
    <n v="29000"/>
    <n v="175000"/>
    <n v="17500"/>
    <n v="157500"/>
    <n v="12500"/>
    <s v="North-C1038-1998"/>
    <s v="High Value"/>
    <s v="Excellent"/>
    <n v="4"/>
    <x v="0"/>
    <n v="0.08"/>
    <n v="30081.8"/>
    <n v="6940.6122254995198"/>
    <n v="126"/>
  </r>
  <r>
    <n v="1999"/>
    <s v="14-09-2025"/>
    <x v="0"/>
    <x v="1"/>
    <s v="C1050"/>
    <s v="P110"/>
    <n v="1"/>
    <n v="950"/>
    <n v="0"/>
    <n v="279789"/>
    <n v="8"/>
    <n v="2"/>
    <s v="Webcam"/>
    <x v="0"/>
    <n v="700"/>
    <n v="950"/>
    <n v="0"/>
    <n v="950"/>
    <n v="250"/>
    <s v="West-C1050-1999"/>
    <s v="Regular"/>
    <s v="Poor"/>
    <n v="3"/>
    <x v="1"/>
    <n v="0.06"/>
    <n v="44766.239999999998"/>
    <n v="12654.098649234309"/>
    <n v="967"/>
  </r>
  <r>
    <n v="2000"/>
    <s v="19-08-2025"/>
    <x v="0"/>
    <x v="5"/>
    <s v="C1031"/>
    <s v="P109"/>
    <n v="9"/>
    <n v="7000"/>
    <n v="0"/>
    <n v="460391"/>
    <n v="11"/>
    <n v="1"/>
    <s v="Router"/>
    <x v="1"/>
    <n v="5000"/>
    <n v="63000"/>
    <n v="0"/>
    <n v="63000"/>
    <n v="18000"/>
    <s v="West-C1031-2000"/>
    <s v="High Value"/>
    <s v="Good"/>
    <n v="3"/>
    <x v="7"/>
    <n v="0.06"/>
    <n v="50643.01"/>
    <n v="40690.120148419803"/>
    <n v="2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16BF3A-37CA-4961-9AF9-C1409DBD1B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28">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8" showAll="0"/>
    <pivotField showAll="0"/>
  </pivotFields>
  <rowFields count="1">
    <field x="2"/>
  </rowFields>
  <rowItems count="5">
    <i>
      <x/>
    </i>
    <i>
      <x v="1"/>
    </i>
    <i>
      <x v="2"/>
    </i>
    <i>
      <x v="3"/>
    </i>
    <i t="grand">
      <x/>
    </i>
  </rowItems>
  <colItems count="1">
    <i/>
  </colItems>
  <dataFields count="1">
    <dataField name="Sum of Net_Sales" fld="17"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12251D-7062-49FC-932B-228E77718D2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3:E26"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3">
        <item x="2"/>
        <item x="9"/>
        <item x="10"/>
        <item x="11"/>
        <item x="4"/>
        <item x="3"/>
        <item x="8"/>
        <item x="7"/>
        <item x="1"/>
        <item x="6"/>
        <item x="5"/>
        <item x="0"/>
        <item t="default"/>
      </items>
    </pivotField>
    <pivotField showAll="0"/>
    <pivotField showAll="0"/>
    <pivotField numFmtId="8" showAll="0"/>
    <pivotField showAll="0"/>
  </pivotFields>
  <rowFields count="1">
    <field x="23"/>
  </rowFields>
  <rowItems count="13">
    <i>
      <x/>
    </i>
    <i>
      <x v="1"/>
    </i>
    <i>
      <x v="2"/>
    </i>
    <i>
      <x v="3"/>
    </i>
    <i>
      <x v="4"/>
    </i>
    <i>
      <x v="5"/>
    </i>
    <i>
      <x v="6"/>
    </i>
    <i>
      <x v="7"/>
    </i>
    <i>
      <x v="8"/>
    </i>
    <i>
      <x v="9"/>
    </i>
    <i>
      <x v="10"/>
    </i>
    <i>
      <x v="11"/>
    </i>
    <i t="grand">
      <x/>
    </i>
  </rowItems>
  <colItems count="1">
    <i/>
  </colItems>
  <dataFields count="1">
    <dataField name="Sum of Net_Sales" fld="17"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1FA11D-4C6F-4EBE-8EB7-4A5EF813AA6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3:B15" firstHeaderRow="1" firstDataRow="1" firstDataCol="1"/>
  <pivotFields count="28">
    <pivotField showAll="0"/>
    <pivotField showAll="0"/>
    <pivotField showAll="0">
      <items count="5">
        <item h="1" x="3"/>
        <item x="1"/>
        <item h="1" x="2"/>
        <item h="1" x="0"/>
        <item t="default"/>
      </items>
    </pivotField>
    <pivotField axis="axisRow" showAll="0">
      <items count="9">
        <item h="1" x="5"/>
        <item h="1" x="0"/>
        <item h="1" x="7"/>
        <item x="6"/>
        <item h="1" x="2"/>
        <item h="1" x="1"/>
        <item h="1" x="4"/>
        <item h="1" x="3"/>
        <item t="default"/>
      </items>
    </pivotField>
    <pivotField showAll="0"/>
    <pivotField showAll="0"/>
    <pivotField showAll="0"/>
    <pivotField showAll="0"/>
    <pivotField showAll="0"/>
    <pivotField showAll="0"/>
    <pivotField showAll="0"/>
    <pivotField showAll="0"/>
    <pivotField showAll="0"/>
    <pivotField showAll="0">
      <items count="3">
        <item x="0"/>
        <item h="1"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numFmtId="8" showAll="0"/>
    <pivotField showAll="0"/>
  </pivotFields>
  <rowFields count="1">
    <field x="3"/>
  </rowFields>
  <rowItems count="2">
    <i>
      <x v="3"/>
    </i>
    <i t="grand">
      <x/>
    </i>
  </rowItems>
  <colItems count="1">
    <i/>
  </colItems>
  <dataFields count="1">
    <dataField name="Sum of Net_Sales" fld="17"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79ABBD-89C1-4C6B-95E5-C36674748B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6"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numFmtId="8" showAll="0"/>
    <pivotField showAll="0"/>
  </pivotFields>
  <rowFields count="1">
    <field x="13"/>
  </rowFields>
  <rowItems count="3">
    <i>
      <x/>
    </i>
    <i>
      <x v="1"/>
    </i>
    <i t="grand">
      <x/>
    </i>
  </rowItems>
  <colItems count="1">
    <i/>
  </colItems>
  <dataFields count="1">
    <dataField name="Sum of Net_Sales" fld="17"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3" count="1" selected="0">
            <x v="0"/>
          </reference>
        </references>
      </pivotArea>
    </chartFormat>
    <chartFormat chart="2" format="2">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3" count="1" selected="0">
            <x v="0"/>
          </reference>
        </references>
      </pivotArea>
    </chartFormat>
    <chartFormat chart="4"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CE8185-2F80-4BD9-AB61-C1DB46644E5D}" sourceName="Region">
  <pivotTables>
    <pivotTable tabId="5" name="PivotTable3"/>
  </pivotTables>
  <data>
    <tabular pivotCacheId="175069696">
      <items count="4">
        <i x="3"/>
        <i x="1"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969ADD8-8626-4398-822C-C4D2603E890D}" sourceName="Salesperson">
  <pivotTables>
    <pivotTable tabId="5" name="PivotTable3"/>
  </pivotTables>
  <data>
    <tabular pivotCacheId="175069696">
      <items count="8">
        <i x="5"/>
        <i x="0"/>
        <i x="7"/>
        <i x="6" s="1"/>
        <i x="2"/>
        <i x="1"/>
        <i x="4"/>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1B981E7-B24D-4142-84B4-0DE64ABE54DE}" sourceName="Category">
  <pivotTables>
    <pivotTable tabId="5" name="PivotTable3"/>
  </pivotTables>
  <data>
    <tabular pivotCacheId="175069696">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5FEBE11-4A83-4742-8F3C-67A335132A18}" cache="Slicer_Region" caption="Region" rowHeight="234950"/>
  <slicer name="Salesperson" xr10:uid="{50605934-10B8-4A89-AAED-7AE83963748D}" cache="Slicer_Salesperson" caption="Salesperson" rowHeight="234950"/>
  <slicer name="Category" xr10:uid="{5C1E9905-FB7C-494D-97A1-49BEB65C17B3}"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3EDF0-5690-4814-A7C6-556308A0D85E}">
  <dimension ref="A3:E26"/>
  <sheetViews>
    <sheetView workbookViewId="0">
      <selection activeCell="J8" sqref="J8"/>
    </sheetView>
  </sheetViews>
  <sheetFormatPr defaultRowHeight="14.4" x14ac:dyDescent="0.3"/>
  <cols>
    <col min="1" max="1" width="12.5546875" bestFit="1" customWidth="1"/>
    <col min="2" max="2" width="15.77734375" bestFit="1" customWidth="1"/>
    <col min="4" max="4" width="12.5546875" bestFit="1" customWidth="1"/>
    <col min="5" max="5" width="15.77734375" bestFit="1" customWidth="1"/>
  </cols>
  <sheetData>
    <row r="3" spans="1:5" x14ac:dyDescent="0.3">
      <c r="A3" s="2" t="s">
        <v>453</v>
      </c>
      <c r="B3" t="s">
        <v>455</v>
      </c>
      <c r="D3" s="2" t="s">
        <v>453</v>
      </c>
      <c r="E3" t="s">
        <v>455</v>
      </c>
    </row>
    <row r="4" spans="1:5" x14ac:dyDescent="0.3">
      <c r="A4" s="3" t="s">
        <v>62</v>
      </c>
      <c r="B4">
        <v>16062919.5</v>
      </c>
      <c r="D4" s="3" t="s">
        <v>428</v>
      </c>
      <c r="E4">
        <v>4151277.5</v>
      </c>
    </row>
    <row r="5" spans="1:5" x14ac:dyDescent="0.3">
      <c r="A5" s="3" t="s">
        <v>18</v>
      </c>
      <c r="B5">
        <v>16825210</v>
      </c>
      <c r="D5" s="3" t="s">
        <v>426</v>
      </c>
      <c r="E5">
        <v>56948930</v>
      </c>
    </row>
    <row r="6" spans="1:5" x14ac:dyDescent="0.3">
      <c r="A6" s="3" t="s">
        <v>30</v>
      </c>
      <c r="B6">
        <v>13353837</v>
      </c>
      <c r="D6" s="3" t="s">
        <v>454</v>
      </c>
      <c r="E6">
        <v>61100207.5</v>
      </c>
    </row>
    <row r="7" spans="1:5" x14ac:dyDescent="0.3">
      <c r="A7" s="3" t="s">
        <v>13</v>
      </c>
      <c r="B7">
        <v>14858241</v>
      </c>
    </row>
    <row r="8" spans="1:5" x14ac:dyDescent="0.3">
      <c r="A8" s="3" t="s">
        <v>454</v>
      </c>
      <c r="B8">
        <v>61100207.5</v>
      </c>
    </row>
    <row r="13" spans="1:5" x14ac:dyDescent="0.3">
      <c r="A13" s="2" t="s">
        <v>453</v>
      </c>
      <c r="B13" t="s">
        <v>455</v>
      </c>
      <c r="D13" s="2" t="s">
        <v>453</v>
      </c>
      <c r="E13" t="s">
        <v>455</v>
      </c>
    </row>
    <row r="14" spans="1:5" x14ac:dyDescent="0.3">
      <c r="A14" s="3" t="s">
        <v>59</v>
      </c>
      <c r="B14" s="14">
        <v>165045</v>
      </c>
      <c r="D14" s="3" t="s">
        <v>457</v>
      </c>
      <c r="E14">
        <v>4285684.5</v>
      </c>
    </row>
    <row r="15" spans="1:5" x14ac:dyDescent="0.3">
      <c r="A15" s="3" t="s">
        <v>454</v>
      </c>
      <c r="B15" s="14">
        <v>165045</v>
      </c>
      <c r="D15" s="3" t="s">
        <v>458</v>
      </c>
      <c r="E15">
        <v>4403843</v>
      </c>
    </row>
    <row r="16" spans="1:5" x14ac:dyDescent="0.3">
      <c r="D16" s="3" t="s">
        <v>459</v>
      </c>
      <c r="E16">
        <v>3705954</v>
      </c>
    </row>
    <row r="17" spans="4:5" x14ac:dyDescent="0.3">
      <c r="D17" s="3" t="s">
        <v>460</v>
      </c>
      <c r="E17">
        <v>5093387</v>
      </c>
    </row>
    <row r="18" spans="4:5" x14ac:dyDescent="0.3">
      <c r="D18" s="3" t="s">
        <v>461</v>
      </c>
      <c r="E18">
        <v>6426422.5</v>
      </c>
    </row>
    <row r="19" spans="4:5" x14ac:dyDescent="0.3">
      <c r="D19" s="3" t="s">
        <v>462</v>
      </c>
      <c r="E19">
        <v>5075197</v>
      </c>
    </row>
    <row r="20" spans="4:5" x14ac:dyDescent="0.3">
      <c r="D20" s="3" t="s">
        <v>463</v>
      </c>
      <c r="E20">
        <v>5800485.5</v>
      </c>
    </row>
    <row r="21" spans="4:5" x14ac:dyDescent="0.3">
      <c r="D21" s="3" t="s">
        <v>464</v>
      </c>
      <c r="E21">
        <v>4816859</v>
      </c>
    </row>
    <row r="22" spans="4:5" x14ac:dyDescent="0.3">
      <c r="D22" s="3" t="s">
        <v>465</v>
      </c>
      <c r="E22">
        <v>3419264.5</v>
      </c>
    </row>
    <row r="23" spans="4:5" x14ac:dyDescent="0.3">
      <c r="D23" s="3" t="s">
        <v>466</v>
      </c>
      <c r="E23">
        <v>6858686</v>
      </c>
    </row>
    <row r="24" spans="4:5" x14ac:dyDescent="0.3">
      <c r="D24" s="3" t="s">
        <v>467</v>
      </c>
      <c r="E24">
        <v>4889731.5</v>
      </c>
    </row>
    <row r="25" spans="4:5" x14ac:dyDescent="0.3">
      <c r="D25" s="3" t="s">
        <v>468</v>
      </c>
      <c r="E25">
        <v>6324693</v>
      </c>
    </row>
    <row r="26" spans="4:5" x14ac:dyDescent="0.3">
      <c r="D26" s="3" t="s">
        <v>454</v>
      </c>
      <c r="E26">
        <v>61100207.5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D2AB1-F03E-47F3-BDC1-CD306BF35359}">
  <dimension ref="B1:P8"/>
  <sheetViews>
    <sheetView showGridLines="0" tabSelected="1" workbookViewId="0">
      <selection activeCell="Q5" sqref="Q5"/>
    </sheetView>
  </sheetViews>
  <sheetFormatPr defaultRowHeight="14.4" x14ac:dyDescent="0.3"/>
  <cols>
    <col min="2" max="2" width="16.44140625" customWidth="1"/>
    <col min="4" max="4" width="15.44140625" customWidth="1"/>
    <col min="6" max="6" width="17.21875" customWidth="1"/>
  </cols>
  <sheetData>
    <row r="1" spans="2:16" x14ac:dyDescent="0.3">
      <c r="E1" s="15" t="s">
        <v>475</v>
      </c>
      <c r="F1" s="16"/>
      <c r="G1" s="16"/>
      <c r="H1" s="16"/>
      <c r="I1" s="16"/>
      <c r="J1" s="16"/>
      <c r="K1" s="16"/>
      <c r="L1" s="16"/>
      <c r="M1" s="16"/>
      <c r="N1" s="16"/>
      <c r="O1" s="16"/>
      <c r="P1" s="16"/>
    </row>
    <row r="2" spans="2:16" x14ac:dyDescent="0.3">
      <c r="E2" s="16"/>
      <c r="F2" s="16"/>
      <c r="G2" s="16"/>
      <c r="H2" s="16"/>
      <c r="I2" s="16"/>
      <c r="J2" s="16"/>
      <c r="K2" s="16"/>
      <c r="L2" s="16"/>
      <c r="M2" s="16"/>
      <c r="N2" s="16"/>
      <c r="O2" s="16"/>
      <c r="P2" s="16"/>
    </row>
    <row r="3" spans="2:16" ht="15" thickBot="1" x14ac:dyDescent="0.35"/>
    <row r="4" spans="2:16" ht="15.6" x14ac:dyDescent="0.3">
      <c r="B4" s="5" t="s">
        <v>469</v>
      </c>
      <c r="C4" s="4"/>
      <c r="D4" s="9" t="s">
        <v>470</v>
      </c>
      <c r="F4" s="8" t="s">
        <v>471</v>
      </c>
    </row>
    <row r="5" spans="2:16" ht="15" thickBot="1" x14ac:dyDescent="0.35">
      <c r="B5" s="6">
        <f>SUM(Sales_Data!R2,Sales_Data!R2:R1001)</f>
        <v>61117707.5</v>
      </c>
      <c r="C5" s="4"/>
      <c r="D5" s="6">
        <f>SUM(Sales_Data!S2,Sales_Data!S2:S1001)</f>
        <v>7851157.5</v>
      </c>
      <c r="F5" s="7">
        <f>SUM(Sales_Data!Z2,Sales_Data!Z2:Z1001)</f>
        <v>77890075.569999874</v>
      </c>
    </row>
    <row r="6" spans="2:16" ht="15" thickBot="1" x14ac:dyDescent="0.35">
      <c r="B6" s="4"/>
      <c r="C6" s="4"/>
      <c r="D6" s="4"/>
    </row>
    <row r="7" spans="2:16" ht="15.6" x14ac:dyDescent="0.3">
      <c r="B7" s="9" t="s">
        <v>472</v>
      </c>
      <c r="C7" s="4"/>
      <c r="D7" s="9" t="s">
        <v>473</v>
      </c>
      <c r="F7" s="12" t="s">
        <v>474</v>
      </c>
    </row>
    <row r="8" spans="2:16" ht="15" thickBot="1" x14ac:dyDescent="0.35">
      <c r="B8" s="10">
        <f>AVERAGE(Sales_Data!AA2,Sales_Data!AA2:AA1001)</f>
        <v>12127.923415468098</v>
      </c>
      <c r="D8" s="11" t="s">
        <v>18</v>
      </c>
      <c r="F8" s="13" t="s">
        <v>14</v>
      </c>
    </row>
  </sheetData>
  <mergeCells count="1">
    <mergeCell ref="E1:P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1"/>
  <sheetViews>
    <sheetView topLeftCell="N975" workbookViewId="0">
      <selection activeCell="Z2" sqref="Z2"/>
    </sheetView>
  </sheetViews>
  <sheetFormatPr defaultRowHeight="14.4" x14ac:dyDescent="0.3"/>
  <cols>
    <col min="2" max="2" width="17.77734375" customWidth="1"/>
    <col min="6" max="6" width="16.109375" customWidth="1"/>
    <col min="8" max="8" width="12.6640625" customWidth="1"/>
    <col min="9" max="9" width="14.21875" customWidth="1"/>
    <col min="12" max="12" width="11.5546875" customWidth="1"/>
    <col min="13" max="13" width="13.33203125" bestFit="1" customWidth="1"/>
    <col min="14" max="14" width="11.21875" customWidth="1"/>
    <col min="15" max="15" width="12.33203125" customWidth="1"/>
    <col min="16" max="16" width="13.33203125" customWidth="1"/>
    <col min="17" max="17" width="17.33203125" customWidth="1"/>
    <col min="20" max="20" width="15.33203125" customWidth="1"/>
    <col min="21" max="21" width="10.5546875" customWidth="1"/>
    <col min="22" max="22" width="11.77734375" customWidth="1"/>
    <col min="25" max="25" width="13.21875" customWidth="1"/>
    <col min="26" max="26" width="14.33203125" customWidth="1"/>
    <col min="27" max="27" width="13" customWidth="1"/>
    <col min="28" max="28" width="12.5546875" bestFit="1" customWidth="1"/>
    <col min="29" max="29" width="15.77734375" bestFit="1" customWidth="1"/>
  </cols>
  <sheetData>
    <row r="1" spans="1:28" x14ac:dyDescent="0.3">
      <c r="A1" t="s">
        <v>0</v>
      </c>
      <c r="B1" t="s">
        <v>1</v>
      </c>
      <c r="C1" t="s">
        <v>2</v>
      </c>
      <c r="D1" t="s">
        <v>3</v>
      </c>
      <c r="E1" t="s">
        <v>4</v>
      </c>
      <c r="F1" t="s">
        <v>5</v>
      </c>
      <c r="G1" t="s">
        <v>6</v>
      </c>
      <c r="H1" t="s">
        <v>7</v>
      </c>
      <c r="I1" t="s">
        <v>8</v>
      </c>
      <c r="J1" t="s">
        <v>9</v>
      </c>
      <c r="K1" t="s">
        <v>10</v>
      </c>
      <c r="L1" t="s">
        <v>11</v>
      </c>
      <c r="M1" t="s">
        <v>422</v>
      </c>
      <c r="N1" t="s">
        <v>423</v>
      </c>
      <c r="O1" t="s">
        <v>424</v>
      </c>
      <c r="P1" t="s">
        <v>443</v>
      </c>
      <c r="Q1" t="s">
        <v>444</v>
      </c>
      <c r="R1" t="s">
        <v>445</v>
      </c>
      <c r="S1" t="s">
        <v>446</v>
      </c>
      <c r="T1" t="s">
        <v>447</v>
      </c>
      <c r="U1" t="s">
        <v>448</v>
      </c>
      <c r="V1" t="s">
        <v>449</v>
      </c>
      <c r="W1" t="s">
        <v>437</v>
      </c>
      <c r="X1" t="s">
        <v>456</v>
      </c>
      <c r="Y1" t="s">
        <v>442</v>
      </c>
      <c r="Z1" t="s">
        <v>450</v>
      </c>
      <c r="AA1" t="s">
        <v>451</v>
      </c>
      <c r="AB1" t="s">
        <v>452</v>
      </c>
    </row>
    <row r="2" spans="1:28" x14ac:dyDescent="0.3">
      <c r="A2">
        <v>1001</v>
      </c>
      <c r="B2" t="s">
        <v>12</v>
      </c>
      <c r="C2" t="s">
        <v>13</v>
      </c>
      <c r="D2" t="s">
        <v>14</v>
      </c>
      <c r="E2" t="s">
        <v>15</v>
      </c>
      <c r="F2" t="s">
        <v>16</v>
      </c>
      <c r="G2">
        <v>7</v>
      </c>
      <c r="H2">
        <v>2500</v>
      </c>
      <c r="I2">
        <v>0</v>
      </c>
      <c r="J2">
        <v>61652</v>
      </c>
      <c r="K2">
        <v>10</v>
      </c>
      <c r="L2">
        <v>3</v>
      </c>
      <c r="M2" t="str">
        <f>VLOOKUP(Sales_Data!F2,Product_Master!$A$2:$D$11,2)</f>
        <v>Speaker</v>
      </c>
      <c r="N2" t="str">
        <f>VLOOKUP(F2,Product_Master!$A$2:$C$11,3)</f>
        <v>Accessories</v>
      </c>
      <c r="O2">
        <f>VLOOKUP(F2,Product_Master!$A$2:$D$11,4,FALSE)</f>
        <v>1800</v>
      </c>
      <c r="P2">
        <f>H2*G2</f>
        <v>17500</v>
      </c>
      <c r="Q2">
        <f>P2*(I2/100)</f>
        <v>0</v>
      </c>
      <c r="R2">
        <f>P2-Q2</f>
        <v>17500</v>
      </c>
      <c r="S2">
        <f>R2-(G2*O2)</f>
        <v>4900</v>
      </c>
      <c r="T2" t="str">
        <f>_xlfn.CONCAT(Sales_Data!C2,"-",Sales_Data!E2,"-",Sales_Data!A2)</f>
        <v>West-C1016-1001</v>
      </c>
      <c r="U2" t="str">
        <f>IF(R2&gt;=50000,"High Value","Regular")</f>
        <v>Regular</v>
      </c>
      <c r="V2" t="str" cm="1">
        <f t="array" ref="V2">_xlfn.IFS(R2&gt;=100000,"Excellent",R2&gt;=50000,"Good",R2&gt;=20000,"Average",TRUE,"Poor")</f>
        <v>Poor</v>
      </c>
      <c r="W2">
        <f>ROUNDUP(MONTH(B2)/3,0)</f>
        <v>4</v>
      </c>
      <c r="X2" t="str">
        <f>TEXT(B2,"mmmm")</f>
        <v>December</v>
      </c>
      <c r="Y2">
        <f>HLOOKUP("Q"&amp;W2,Bonus_HLookup!$A$1:$E$2,2,FALSE)</f>
        <v>0.08</v>
      </c>
      <c r="Z2">
        <f>(J2*K2*L2)/100</f>
        <v>18495.599999999999</v>
      </c>
      <c r="AA2" s="1">
        <f>PMT(K2/1200,L2*12,-J2)</f>
        <v>1989.3366248744685</v>
      </c>
      <c r="AB2">
        <f>RANK(R2,$R$2:$R$1001)</f>
        <v>494</v>
      </c>
    </row>
    <row r="3" spans="1:28" x14ac:dyDescent="0.3">
      <c r="A3">
        <v>1002</v>
      </c>
      <c r="B3" t="s">
        <v>17</v>
      </c>
      <c r="C3" t="s">
        <v>18</v>
      </c>
      <c r="D3" t="s">
        <v>19</v>
      </c>
      <c r="E3" t="s">
        <v>20</v>
      </c>
      <c r="F3" t="s">
        <v>21</v>
      </c>
      <c r="G3">
        <v>8</v>
      </c>
      <c r="H3">
        <v>12000</v>
      </c>
      <c r="I3">
        <v>5</v>
      </c>
      <c r="J3">
        <v>191001</v>
      </c>
      <c r="K3">
        <v>8</v>
      </c>
      <c r="L3">
        <v>3</v>
      </c>
      <c r="M3" t="str">
        <f>VLOOKUP(Sales_Data!F3,Product_Master!$A$2:$D$11,2)</f>
        <v>Monitor</v>
      </c>
      <c r="N3" t="str">
        <f>VLOOKUP(F3,Product_Master!$A$2:$C$11,3)</f>
        <v>Electronics</v>
      </c>
      <c r="O3">
        <f>VLOOKUP(F3,Product_Master!$A$2:$D$11,4,FALSE)</f>
        <v>9000</v>
      </c>
      <c r="P3">
        <f t="shared" ref="P3:P66" si="0">H3*G3</f>
        <v>96000</v>
      </c>
      <c r="Q3">
        <f t="shared" ref="Q3:Q66" si="1">P3*(I3/100)</f>
        <v>4800</v>
      </c>
      <c r="R3">
        <f t="shared" ref="R3:R66" si="2">P3-Q3</f>
        <v>91200</v>
      </c>
      <c r="S3">
        <f t="shared" ref="S3:S66" si="3">R3-(G3*O3)</f>
        <v>19200</v>
      </c>
      <c r="T3" t="str">
        <f>_xlfn.CONCAT(Sales_Data!C3,"-",Sales_Data!E3,"-",Sales_Data!A3)</f>
        <v>North-C1003-1002</v>
      </c>
      <c r="U3" t="str">
        <f t="shared" ref="U3:U66" si="4">IF(R3&gt;=50000,"High Value","Regular")</f>
        <v>High Value</v>
      </c>
      <c r="V3" t="str" cm="1">
        <f t="array" ref="V3">_xlfn.IFS(R3&gt;=100000,"Excellent",R3&gt;=50000,"Good",R3&gt;=20000,"Average",TRUE,"Poor")</f>
        <v>Good</v>
      </c>
      <c r="W3">
        <f t="shared" ref="W3:W66" si="5">ROUNDUP(MONTH(B3)/3,0)</f>
        <v>3</v>
      </c>
      <c r="X3" t="str">
        <f t="shared" ref="X3:X66" si="6">TEXT(B3,"mmmm")</f>
        <v>September</v>
      </c>
      <c r="Y3">
        <f>HLOOKUP("Q"&amp;W3,Bonus_HLookup!$A$1:$E$2,2,FALSE)</f>
        <v>0.06</v>
      </c>
      <c r="Z3">
        <f t="shared" ref="Z3:Z66" si="7">(J3*K3*L3)/100</f>
        <v>45840.24</v>
      </c>
      <c r="AA3" s="1">
        <f t="shared" ref="AA3:AA66" si="8">PMT(K3/1200,L3*12,-J3)</f>
        <v>5985.277139498754</v>
      </c>
      <c r="AB3">
        <f t="shared" ref="AB3:AB66" si="9">RANK(R3,$R$2:$R$1001)</f>
        <v>184</v>
      </c>
    </row>
    <row r="4" spans="1:28" x14ac:dyDescent="0.3">
      <c r="A4">
        <v>1003</v>
      </c>
      <c r="B4" t="s">
        <v>22</v>
      </c>
      <c r="C4" t="s">
        <v>18</v>
      </c>
      <c r="D4" t="s">
        <v>23</v>
      </c>
      <c r="E4" t="s">
        <v>24</v>
      </c>
      <c r="F4" t="s">
        <v>25</v>
      </c>
      <c r="G4">
        <v>2</v>
      </c>
      <c r="H4">
        <v>1500</v>
      </c>
      <c r="I4">
        <v>2</v>
      </c>
      <c r="J4">
        <v>104983</v>
      </c>
      <c r="K4">
        <v>12</v>
      </c>
      <c r="L4">
        <v>5</v>
      </c>
      <c r="M4" t="str">
        <f>VLOOKUP(Sales_Data!F4,Product_Master!$A$2:$D$11,2)</f>
        <v>Keyboard</v>
      </c>
      <c r="N4" t="str">
        <f>VLOOKUP(F4,Product_Master!$A$2:$C$11,3)</f>
        <v>Accessories</v>
      </c>
      <c r="O4">
        <f>VLOOKUP(F4,Product_Master!$A$2:$D$11,4,FALSE)</f>
        <v>1200</v>
      </c>
      <c r="P4">
        <f t="shared" si="0"/>
        <v>3000</v>
      </c>
      <c r="Q4">
        <f t="shared" si="1"/>
        <v>60</v>
      </c>
      <c r="R4">
        <f t="shared" si="2"/>
        <v>2940</v>
      </c>
      <c r="S4">
        <f t="shared" si="3"/>
        <v>540</v>
      </c>
      <c r="T4" t="str">
        <f>_xlfn.CONCAT(Sales_Data!C4,"-",Sales_Data!E4,"-",Sales_Data!A4)</f>
        <v>North-C1029-1003</v>
      </c>
      <c r="U4" t="str">
        <f t="shared" si="4"/>
        <v>Regular</v>
      </c>
      <c r="V4" t="str" cm="1">
        <f t="array" ref="V4">_xlfn.IFS(R4&gt;=100000,"Excellent",R4&gt;=50000,"Good",R4&gt;=20000,"Average",TRUE,"Poor")</f>
        <v>Poor</v>
      </c>
      <c r="W4">
        <f t="shared" si="5"/>
        <v>1</v>
      </c>
      <c r="X4" t="str">
        <f t="shared" si="6"/>
        <v>January</v>
      </c>
      <c r="Y4">
        <f>HLOOKUP("Q"&amp;W4,Bonus_HLookup!$A$1:$E$2,2,FALSE)</f>
        <v>0.02</v>
      </c>
      <c r="Z4">
        <f t="shared" si="7"/>
        <v>62989.8</v>
      </c>
      <c r="AA4" s="1">
        <f t="shared" si="8"/>
        <v>2335.2888513040425</v>
      </c>
      <c r="AB4">
        <f t="shared" si="9"/>
        <v>883</v>
      </c>
    </row>
    <row r="5" spans="1:28" x14ac:dyDescent="0.3">
      <c r="A5">
        <v>1004</v>
      </c>
      <c r="B5" t="s">
        <v>26</v>
      </c>
      <c r="C5" t="s">
        <v>18</v>
      </c>
      <c r="D5" t="s">
        <v>19</v>
      </c>
      <c r="E5" t="s">
        <v>27</v>
      </c>
      <c r="F5" t="s">
        <v>28</v>
      </c>
      <c r="G5">
        <v>8</v>
      </c>
      <c r="H5">
        <v>950</v>
      </c>
      <c r="I5">
        <v>8</v>
      </c>
      <c r="J5">
        <v>342031</v>
      </c>
      <c r="K5">
        <v>11</v>
      </c>
      <c r="L5">
        <v>1</v>
      </c>
      <c r="M5" t="str">
        <f>VLOOKUP(Sales_Data!F5,Product_Master!$A$2:$D$11,2)</f>
        <v>Webcam</v>
      </c>
      <c r="N5" t="str">
        <f>VLOOKUP(F5,Product_Master!$A$2:$C$11,3)</f>
        <v>Accessories</v>
      </c>
      <c r="O5">
        <f>VLOOKUP(F5,Product_Master!$A$2:$D$11,4,FALSE)</f>
        <v>700</v>
      </c>
      <c r="P5">
        <f t="shared" si="0"/>
        <v>7600</v>
      </c>
      <c r="Q5">
        <f t="shared" si="1"/>
        <v>608</v>
      </c>
      <c r="R5">
        <f t="shared" si="2"/>
        <v>6992</v>
      </c>
      <c r="S5">
        <f t="shared" si="3"/>
        <v>1392</v>
      </c>
      <c r="T5" t="str">
        <f>_xlfn.CONCAT(Sales_Data!C5,"-",Sales_Data!E5,"-",Sales_Data!A5)</f>
        <v>North-C1007-1004</v>
      </c>
      <c r="U5" t="str">
        <f t="shared" si="4"/>
        <v>Regular</v>
      </c>
      <c r="V5" t="str" cm="1">
        <f t="array" ref="V5">_xlfn.IFS(R5&gt;=100000,"Excellent",R5&gt;=50000,"Good",R5&gt;=20000,"Average",TRUE,"Poor")</f>
        <v>Poor</v>
      </c>
      <c r="W5">
        <f t="shared" si="5"/>
        <v>2</v>
      </c>
      <c r="X5" t="str">
        <f t="shared" si="6"/>
        <v>June</v>
      </c>
      <c r="Y5">
        <f>HLOOKUP("Q"&amp;W5,Bonus_HLookup!$A$1:$E$2,2,FALSE)</f>
        <v>0.04</v>
      </c>
      <c r="Z5">
        <f t="shared" si="7"/>
        <v>37623.410000000003</v>
      </c>
      <c r="AA5" s="1">
        <f t="shared" si="8"/>
        <v>30229.26704580275</v>
      </c>
      <c r="AB5">
        <f t="shared" si="9"/>
        <v>722</v>
      </c>
    </row>
    <row r="6" spans="1:28" x14ac:dyDescent="0.3">
      <c r="A6">
        <v>1005</v>
      </c>
      <c r="B6" t="s">
        <v>29</v>
      </c>
      <c r="C6" t="s">
        <v>30</v>
      </c>
      <c r="D6" t="s">
        <v>23</v>
      </c>
      <c r="E6" t="s">
        <v>31</v>
      </c>
      <c r="F6" t="s">
        <v>21</v>
      </c>
      <c r="G6">
        <v>5</v>
      </c>
      <c r="H6">
        <v>12000</v>
      </c>
      <c r="I6">
        <v>8</v>
      </c>
      <c r="J6">
        <v>285916</v>
      </c>
      <c r="K6">
        <v>7</v>
      </c>
      <c r="L6">
        <v>2</v>
      </c>
      <c r="M6" t="str">
        <f>VLOOKUP(Sales_Data!F6,Product_Master!$A$2:$D$11,2)</f>
        <v>Monitor</v>
      </c>
      <c r="N6" t="str">
        <f>VLOOKUP(F6,Product_Master!$A$2:$C$11,3)</f>
        <v>Electronics</v>
      </c>
      <c r="O6">
        <f>VLOOKUP(F6,Product_Master!$A$2:$D$11,4,FALSE)</f>
        <v>9000</v>
      </c>
      <c r="P6">
        <f t="shared" si="0"/>
        <v>60000</v>
      </c>
      <c r="Q6">
        <f t="shared" si="1"/>
        <v>4800</v>
      </c>
      <c r="R6">
        <f t="shared" si="2"/>
        <v>55200</v>
      </c>
      <c r="S6">
        <f t="shared" si="3"/>
        <v>10200</v>
      </c>
      <c r="T6" t="str">
        <f>_xlfn.CONCAT(Sales_Data!C6,"-",Sales_Data!E6,"-",Sales_Data!A6)</f>
        <v>South-C1025-1005</v>
      </c>
      <c r="U6" t="str">
        <f t="shared" si="4"/>
        <v>High Value</v>
      </c>
      <c r="V6" t="str" cm="1">
        <f t="array" ref="V6">_xlfn.IFS(R6&gt;=100000,"Excellent",R6&gt;=50000,"Good",R6&gt;=20000,"Average",TRUE,"Poor")</f>
        <v>Good</v>
      </c>
      <c r="W6">
        <f t="shared" si="5"/>
        <v>2</v>
      </c>
      <c r="X6" t="str">
        <f t="shared" si="6"/>
        <v>May</v>
      </c>
      <c r="Y6">
        <f>HLOOKUP("Q"&amp;W6,Bonus_HLookup!$A$1:$E$2,2,FALSE)</f>
        <v>0.04</v>
      </c>
      <c r="Z6">
        <f t="shared" si="7"/>
        <v>40028.239999999998</v>
      </c>
      <c r="AA6" s="1">
        <f t="shared" si="8"/>
        <v>12801.196726854925</v>
      </c>
      <c r="AB6">
        <f t="shared" si="9"/>
        <v>268</v>
      </c>
    </row>
    <row r="7" spans="1:28" x14ac:dyDescent="0.3">
      <c r="A7">
        <v>1006</v>
      </c>
      <c r="B7" t="s">
        <v>32</v>
      </c>
      <c r="C7" t="s">
        <v>13</v>
      </c>
      <c r="D7" t="s">
        <v>33</v>
      </c>
      <c r="E7" t="s">
        <v>34</v>
      </c>
      <c r="F7" t="s">
        <v>25</v>
      </c>
      <c r="G7">
        <v>10</v>
      </c>
      <c r="H7">
        <v>1500</v>
      </c>
      <c r="I7">
        <v>2</v>
      </c>
      <c r="J7">
        <v>285509</v>
      </c>
      <c r="K7">
        <v>10</v>
      </c>
      <c r="L7">
        <v>3</v>
      </c>
      <c r="M7" t="str">
        <f>VLOOKUP(Sales_Data!F7,Product_Master!$A$2:$D$11,2)</f>
        <v>Keyboard</v>
      </c>
      <c r="N7" t="str">
        <f>VLOOKUP(F7,Product_Master!$A$2:$C$11,3)</f>
        <v>Accessories</v>
      </c>
      <c r="O7">
        <f>VLOOKUP(F7,Product_Master!$A$2:$D$11,4,FALSE)</f>
        <v>1200</v>
      </c>
      <c r="P7">
        <f t="shared" si="0"/>
        <v>15000</v>
      </c>
      <c r="Q7">
        <f t="shared" si="1"/>
        <v>300</v>
      </c>
      <c r="R7">
        <f t="shared" si="2"/>
        <v>14700</v>
      </c>
      <c r="S7">
        <f t="shared" si="3"/>
        <v>2700</v>
      </c>
      <c r="T7" t="str">
        <f>_xlfn.CONCAT(Sales_Data!C7,"-",Sales_Data!E7,"-",Sales_Data!A7)</f>
        <v>West-C1036-1006</v>
      </c>
      <c r="U7" t="str">
        <f t="shared" si="4"/>
        <v>Regular</v>
      </c>
      <c r="V7" t="str" cm="1">
        <f t="array" ref="V7">_xlfn.IFS(R7&gt;=100000,"Excellent",R7&gt;=50000,"Good",R7&gt;=20000,"Average",TRUE,"Poor")</f>
        <v>Poor</v>
      </c>
      <c r="W7">
        <f t="shared" si="5"/>
        <v>4</v>
      </c>
      <c r="X7" t="str">
        <f t="shared" si="6"/>
        <v>November</v>
      </c>
      <c r="Y7">
        <f>HLOOKUP("Q"&amp;W7,Bonus_HLookup!$A$1:$E$2,2,FALSE)</f>
        <v>0.08</v>
      </c>
      <c r="Z7">
        <f t="shared" si="7"/>
        <v>85652.7</v>
      </c>
      <c r="AA7" s="1">
        <f t="shared" si="8"/>
        <v>9212.5723485253457</v>
      </c>
      <c r="AB7">
        <f t="shared" si="9"/>
        <v>532</v>
      </c>
    </row>
    <row r="8" spans="1:28" x14ac:dyDescent="0.3">
      <c r="A8">
        <v>1007</v>
      </c>
      <c r="B8" t="s">
        <v>35</v>
      </c>
      <c r="C8" t="s">
        <v>30</v>
      </c>
      <c r="D8" t="s">
        <v>19</v>
      </c>
      <c r="E8" t="s">
        <v>34</v>
      </c>
      <c r="F8" t="s">
        <v>36</v>
      </c>
      <c r="G8">
        <v>3</v>
      </c>
      <c r="H8">
        <v>55000</v>
      </c>
      <c r="I8">
        <v>2</v>
      </c>
      <c r="J8">
        <v>251211</v>
      </c>
      <c r="K8">
        <v>8</v>
      </c>
      <c r="L8">
        <v>2</v>
      </c>
      <c r="M8" t="str">
        <f>VLOOKUP(Sales_Data!F8,Product_Master!$A$2:$D$11,2)</f>
        <v>Laptop</v>
      </c>
      <c r="N8" t="str">
        <f>VLOOKUP(F8,Product_Master!$A$2:$C$11,3)</f>
        <v>Electronics</v>
      </c>
      <c r="O8">
        <f>VLOOKUP(F8,Product_Master!$A$2:$D$11,4,FALSE)</f>
        <v>45000</v>
      </c>
      <c r="P8">
        <f t="shared" si="0"/>
        <v>165000</v>
      </c>
      <c r="Q8">
        <f t="shared" si="1"/>
        <v>3300</v>
      </c>
      <c r="R8">
        <f t="shared" si="2"/>
        <v>161700</v>
      </c>
      <c r="S8">
        <f t="shared" si="3"/>
        <v>26700</v>
      </c>
      <c r="T8" t="str">
        <f>_xlfn.CONCAT(Sales_Data!C8,"-",Sales_Data!E8,"-",Sales_Data!A8)</f>
        <v>South-C1036-1007</v>
      </c>
      <c r="U8" t="str">
        <f t="shared" si="4"/>
        <v>High Value</v>
      </c>
      <c r="V8" t="str" cm="1">
        <f t="array" ref="V8">_xlfn.IFS(R8&gt;=100000,"Excellent",R8&gt;=50000,"Good",R8&gt;=20000,"Average",TRUE,"Poor")</f>
        <v>Excellent</v>
      </c>
      <c r="W8">
        <f t="shared" si="5"/>
        <v>3</v>
      </c>
      <c r="X8" t="str">
        <f t="shared" si="6"/>
        <v>September</v>
      </c>
      <c r="Y8">
        <f>HLOOKUP("Q"&amp;W8,Bonus_HLookup!$A$1:$E$2,2,FALSE)</f>
        <v>0.06</v>
      </c>
      <c r="Z8">
        <f t="shared" si="7"/>
        <v>40193.760000000002</v>
      </c>
      <c r="AA8" s="1">
        <f t="shared" si="8"/>
        <v>11361.593113999477</v>
      </c>
      <c r="AB8">
        <f t="shared" si="9"/>
        <v>124</v>
      </c>
    </row>
    <row r="9" spans="1:28" x14ac:dyDescent="0.3">
      <c r="A9">
        <v>1008</v>
      </c>
      <c r="B9" t="s">
        <v>37</v>
      </c>
      <c r="C9" t="s">
        <v>18</v>
      </c>
      <c r="D9" t="s">
        <v>19</v>
      </c>
      <c r="E9" t="s">
        <v>38</v>
      </c>
      <c r="F9" t="s">
        <v>39</v>
      </c>
      <c r="G9">
        <v>6</v>
      </c>
      <c r="H9">
        <v>7000</v>
      </c>
      <c r="I9">
        <v>2</v>
      </c>
      <c r="J9">
        <v>469345</v>
      </c>
      <c r="K9">
        <v>12</v>
      </c>
      <c r="L9">
        <v>3</v>
      </c>
      <c r="M9" t="str">
        <f>VLOOKUP(Sales_Data!F9,Product_Master!$A$2:$D$11,2)</f>
        <v>Router</v>
      </c>
      <c r="N9" t="str">
        <f>VLOOKUP(F9,Product_Master!$A$2:$C$11,3)</f>
        <v>Electronics</v>
      </c>
      <c r="O9">
        <f>VLOOKUP(F9,Product_Master!$A$2:$D$11,4,FALSE)</f>
        <v>5000</v>
      </c>
      <c r="P9">
        <f t="shared" si="0"/>
        <v>42000</v>
      </c>
      <c r="Q9">
        <f t="shared" si="1"/>
        <v>840</v>
      </c>
      <c r="R9">
        <f t="shared" si="2"/>
        <v>41160</v>
      </c>
      <c r="S9">
        <f t="shared" si="3"/>
        <v>11160</v>
      </c>
      <c r="T9" t="str">
        <f>_xlfn.CONCAT(Sales_Data!C9,"-",Sales_Data!E9,"-",Sales_Data!A9)</f>
        <v>North-C1009-1008</v>
      </c>
      <c r="U9" t="str">
        <f t="shared" si="4"/>
        <v>Regular</v>
      </c>
      <c r="V9" t="str" cm="1">
        <f t="array" ref="V9">_xlfn.IFS(R9&gt;=100000,"Excellent",R9&gt;=50000,"Good",R9&gt;=20000,"Average",TRUE,"Poor")</f>
        <v>Average</v>
      </c>
      <c r="W9">
        <f t="shared" si="5"/>
        <v>4</v>
      </c>
      <c r="X9" t="str">
        <f t="shared" si="6"/>
        <v>November</v>
      </c>
      <c r="Y9">
        <f>HLOOKUP("Q"&amp;W9,Bonus_HLookup!$A$1:$E$2,2,FALSE)</f>
        <v>0.08</v>
      </c>
      <c r="Z9">
        <f t="shared" si="7"/>
        <v>168964.2</v>
      </c>
      <c r="AA9" s="1">
        <f t="shared" si="8"/>
        <v>15588.970239112643</v>
      </c>
      <c r="AB9">
        <f t="shared" si="9"/>
        <v>331</v>
      </c>
    </row>
    <row r="10" spans="1:28" x14ac:dyDescent="0.3">
      <c r="A10">
        <v>1009</v>
      </c>
      <c r="B10" t="s">
        <v>40</v>
      </c>
      <c r="C10" t="s">
        <v>30</v>
      </c>
      <c r="D10" t="s">
        <v>19</v>
      </c>
      <c r="E10" t="s">
        <v>41</v>
      </c>
      <c r="F10" t="s">
        <v>42</v>
      </c>
      <c r="G10">
        <v>10</v>
      </c>
      <c r="H10">
        <v>8000</v>
      </c>
      <c r="I10">
        <v>2</v>
      </c>
      <c r="J10">
        <v>465202</v>
      </c>
      <c r="K10">
        <v>7</v>
      </c>
      <c r="L10">
        <v>5</v>
      </c>
      <c r="M10" t="str">
        <f>VLOOKUP(Sales_Data!F10,Product_Master!$A$2:$D$11,2)</f>
        <v>Printer</v>
      </c>
      <c r="N10" t="str">
        <f>VLOOKUP(F10,Product_Master!$A$2:$C$11,3)</f>
        <v>Electronics</v>
      </c>
      <c r="O10">
        <f>VLOOKUP(F10,Product_Master!$A$2:$D$11,4,FALSE)</f>
        <v>6500</v>
      </c>
      <c r="P10">
        <f t="shared" si="0"/>
        <v>80000</v>
      </c>
      <c r="Q10">
        <f t="shared" si="1"/>
        <v>1600</v>
      </c>
      <c r="R10">
        <f t="shared" si="2"/>
        <v>78400</v>
      </c>
      <c r="S10">
        <f t="shared" si="3"/>
        <v>13400</v>
      </c>
      <c r="T10" t="str">
        <f>_xlfn.CONCAT(Sales_Data!C10,"-",Sales_Data!E10,"-",Sales_Data!A10)</f>
        <v>South-C1023-1009</v>
      </c>
      <c r="U10" t="str">
        <f t="shared" si="4"/>
        <v>High Value</v>
      </c>
      <c r="V10" t="str" cm="1">
        <f t="array" ref="V10">_xlfn.IFS(R10&gt;=100000,"Excellent",R10&gt;=50000,"Good",R10&gt;=20000,"Average",TRUE,"Poor")</f>
        <v>Good</v>
      </c>
      <c r="W10">
        <f t="shared" si="5"/>
        <v>4</v>
      </c>
      <c r="X10" t="str">
        <f t="shared" si="6"/>
        <v>December</v>
      </c>
      <c r="Y10">
        <f>HLOOKUP("Q"&amp;W10,Bonus_HLookup!$A$1:$E$2,2,FALSE)</f>
        <v>0.08</v>
      </c>
      <c r="Z10">
        <f t="shared" si="7"/>
        <v>162820.70000000001</v>
      </c>
      <c r="AA10" s="1">
        <f t="shared" si="8"/>
        <v>9211.5571633676846</v>
      </c>
      <c r="AB10">
        <f t="shared" si="9"/>
        <v>197</v>
      </c>
    </row>
    <row r="11" spans="1:28" x14ac:dyDescent="0.3">
      <c r="A11">
        <v>1010</v>
      </c>
      <c r="B11" t="s">
        <v>43</v>
      </c>
      <c r="C11" t="s">
        <v>18</v>
      </c>
      <c r="D11" t="s">
        <v>19</v>
      </c>
      <c r="E11" t="s">
        <v>44</v>
      </c>
      <c r="F11" t="s">
        <v>42</v>
      </c>
      <c r="G11">
        <v>1</v>
      </c>
      <c r="H11">
        <v>8000</v>
      </c>
      <c r="I11">
        <v>12</v>
      </c>
      <c r="J11">
        <v>294026</v>
      </c>
      <c r="K11">
        <v>12</v>
      </c>
      <c r="L11">
        <v>1</v>
      </c>
      <c r="M11" t="str">
        <f>VLOOKUP(Sales_Data!F11,Product_Master!$A$2:$D$11,2)</f>
        <v>Printer</v>
      </c>
      <c r="N11" t="str">
        <f>VLOOKUP(F11,Product_Master!$A$2:$C$11,3)</f>
        <v>Electronics</v>
      </c>
      <c r="O11">
        <f>VLOOKUP(F11,Product_Master!$A$2:$D$11,4,FALSE)</f>
        <v>6500</v>
      </c>
      <c r="P11">
        <f t="shared" si="0"/>
        <v>8000</v>
      </c>
      <c r="Q11">
        <f t="shared" si="1"/>
        <v>960</v>
      </c>
      <c r="R11">
        <f t="shared" si="2"/>
        <v>7040</v>
      </c>
      <c r="S11">
        <f t="shared" si="3"/>
        <v>540</v>
      </c>
      <c r="T11" t="str">
        <f>_xlfn.CONCAT(Sales_Data!C11,"-",Sales_Data!E11,"-",Sales_Data!A11)</f>
        <v>North-C1028-1010</v>
      </c>
      <c r="U11" t="str">
        <f t="shared" si="4"/>
        <v>Regular</v>
      </c>
      <c r="V11" t="str" cm="1">
        <f t="array" ref="V11">_xlfn.IFS(R11&gt;=100000,"Excellent",R11&gt;=50000,"Good",R11&gt;=20000,"Average",TRUE,"Poor")</f>
        <v>Poor</v>
      </c>
      <c r="W11">
        <f t="shared" si="5"/>
        <v>4</v>
      </c>
      <c r="X11" t="str">
        <f t="shared" si="6"/>
        <v>December</v>
      </c>
      <c r="Y11">
        <f>HLOOKUP("Q"&amp;W11,Bonus_HLookup!$A$1:$E$2,2,FALSE)</f>
        <v>0.08</v>
      </c>
      <c r="Z11">
        <f t="shared" si="7"/>
        <v>35283.120000000003</v>
      </c>
      <c r="AA11" s="1">
        <f t="shared" si="8"/>
        <v>26123.853939938093</v>
      </c>
      <c r="AB11">
        <f t="shared" si="9"/>
        <v>718</v>
      </c>
    </row>
    <row r="12" spans="1:28" x14ac:dyDescent="0.3">
      <c r="A12">
        <v>1011</v>
      </c>
      <c r="B12" t="s">
        <v>45</v>
      </c>
      <c r="C12" t="s">
        <v>13</v>
      </c>
      <c r="D12" t="s">
        <v>46</v>
      </c>
      <c r="E12" t="s">
        <v>47</v>
      </c>
      <c r="F12" t="s">
        <v>21</v>
      </c>
      <c r="G12">
        <v>4</v>
      </c>
      <c r="H12">
        <v>12000</v>
      </c>
      <c r="I12">
        <v>15</v>
      </c>
      <c r="J12">
        <v>154069</v>
      </c>
      <c r="K12">
        <v>11</v>
      </c>
      <c r="L12">
        <v>2</v>
      </c>
      <c r="M12" t="str">
        <f>VLOOKUP(Sales_Data!F12,Product_Master!$A$2:$D$11,2)</f>
        <v>Monitor</v>
      </c>
      <c r="N12" t="str">
        <f>VLOOKUP(F12,Product_Master!$A$2:$C$11,3)</f>
        <v>Electronics</v>
      </c>
      <c r="O12">
        <f>VLOOKUP(F12,Product_Master!$A$2:$D$11,4,FALSE)</f>
        <v>9000</v>
      </c>
      <c r="P12">
        <f t="shared" si="0"/>
        <v>48000</v>
      </c>
      <c r="Q12">
        <f t="shared" si="1"/>
        <v>7200</v>
      </c>
      <c r="R12">
        <f t="shared" si="2"/>
        <v>40800</v>
      </c>
      <c r="S12">
        <f t="shared" si="3"/>
        <v>4800</v>
      </c>
      <c r="T12" t="str">
        <f>_xlfn.CONCAT(Sales_Data!C12,"-",Sales_Data!E12,"-",Sales_Data!A12)</f>
        <v>West-C1030-1011</v>
      </c>
      <c r="U12" t="str">
        <f t="shared" si="4"/>
        <v>Regular</v>
      </c>
      <c r="V12" t="str" cm="1">
        <f t="array" ref="V12">_xlfn.IFS(R12&gt;=100000,"Excellent",R12&gt;=50000,"Good",R12&gt;=20000,"Average",TRUE,"Poor")</f>
        <v>Average</v>
      </c>
      <c r="W12">
        <f t="shared" si="5"/>
        <v>4</v>
      </c>
      <c r="X12" t="str">
        <f t="shared" si="6"/>
        <v>October</v>
      </c>
      <c r="Y12">
        <f>HLOOKUP("Q"&amp;W12,Bonus_HLookup!$A$1:$E$2,2,FALSE)</f>
        <v>0.08</v>
      </c>
      <c r="Z12">
        <f t="shared" si="7"/>
        <v>33895.18</v>
      </c>
      <c r="AA12" s="1">
        <f t="shared" si="8"/>
        <v>7180.82302310042</v>
      </c>
      <c r="AB12">
        <f t="shared" si="9"/>
        <v>334</v>
      </c>
    </row>
    <row r="13" spans="1:28" x14ac:dyDescent="0.3">
      <c r="A13">
        <v>1012</v>
      </c>
      <c r="B13" t="s">
        <v>48</v>
      </c>
      <c r="C13" t="s">
        <v>13</v>
      </c>
      <c r="D13" t="s">
        <v>19</v>
      </c>
      <c r="E13" t="s">
        <v>34</v>
      </c>
      <c r="F13" t="s">
        <v>28</v>
      </c>
      <c r="G13">
        <v>5</v>
      </c>
      <c r="H13">
        <v>950</v>
      </c>
      <c r="I13">
        <v>0</v>
      </c>
      <c r="J13">
        <v>306780</v>
      </c>
      <c r="K13">
        <v>8</v>
      </c>
      <c r="L13">
        <v>3</v>
      </c>
      <c r="M13" t="str">
        <f>VLOOKUP(Sales_Data!F13,Product_Master!$A$2:$D$11,2)</f>
        <v>Webcam</v>
      </c>
      <c r="N13" t="str">
        <f>VLOOKUP(F13,Product_Master!$A$2:$C$11,3)</f>
        <v>Accessories</v>
      </c>
      <c r="O13">
        <f>VLOOKUP(F13,Product_Master!$A$2:$D$11,4,FALSE)</f>
        <v>700</v>
      </c>
      <c r="P13">
        <f t="shared" si="0"/>
        <v>4750</v>
      </c>
      <c r="Q13">
        <f t="shared" si="1"/>
        <v>0</v>
      </c>
      <c r="R13">
        <f t="shared" si="2"/>
        <v>4750</v>
      </c>
      <c r="S13">
        <f t="shared" si="3"/>
        <v>1250</v>
      </c>
      <c r="T13" t="str">
        <f>_xlfn.CONCAT(Sales_Data!C13,"-",Sales_Data!E13,"-",Sales_Data!A13)</f>
        <v>West-C1036-1012</v>
      </c>
      <c r="U13" t="str">
        <f t="shared" si="4"/>
        <v>Regular</v>
      </c>
      <c r="V13" t="str" cm="1">
        <f t="array" ref="V13">_xlfn.IFS(R13&gt;=100000,"Excellent",R13&gt;=50000,"Good",R13&gt;=20000,"Average",TRUE,"Poor")</f>
        <v>Poor</v>
      </c>
      <c r="W13">
        <f t="shared" si="5"/>
        <v>3</v>
      </c>
      <c r="X13" t="str">
        <f t="shared" si="6"/>
        <v>August</v>
      </c>
      <c r="Y13">
        <f>HLOOKUP("Q"&amp;W13,Bonus_HLookup!$A$1:$E$2,2,FALSE)</f>
        <v>0.06</v>
      </c>
      <c r="Z13">
        <f t="shared" si="7"/>
        <v>73627.199999999997</v>
      </c>
      <c r="AA13" s="1">
        <f t="shared" si="8"/>
        <v>9613.3701962577561</v>
      </c>
      <c r="AB13">
        <f t="shared" si="9"/>
        <v>797</v>
      </c>
    </row>
    <row r="14" spans="1:28" x14ac:dyDescent="0.3">
      <c r="A14">
        <v>1013</v>
      </c>
      <c r="B14" t="s">
        <v>49</v>
      </c>
      <c r="C14" t="s">
        <v>30</v>
      </c>
      <c r="D14" t="s">
        <v>50</v>
      </c>
      <c r="E14" t="s">
        <v>51</v>
      </c>
      <c r="F14" t="s">
        <v>52</v>
      </c>
      <c r="G14">
        <v>2</v>
      </c>
      <c r="H14">
        <v>500</v>
      </c>
      <c r="I14">
        <v>8</v>
      </c>
      <c r="J14">
        <v>366916</v>
      </c>
      <c r="K14">
        <v>7</v>
      </c>
      <c r="L14">
        <v>5</v>
      </c>
      <c r="M14" t="str">
        <f>VLOOKUP(Sales_Data!F14,Product_Master!$A$2:$D$11,2)</f>
        <v>Mouse</v>
      </c>
      <c r="N14" t="str">
        <f>VLOOKUP(F14,Product_Master!$A$2:$C$11,3)</f>
        <v>Accessories</v>
      </c>
      <c r="O14">
        <f>VLOOKUP(F14,Product_Master!$A$2:$D$11,4,FALSE)</f>
        <v>350</v>
      </c>
      <c r="P14">
        <f t="shared" si="0"/>
        <v>1000</v>
      </c>
      <c r="Q14">
        <f t="shared" si="1"/>
        <v>80</v>
      </c>
      <c r="R14">
        <f t="shared" si="2"/>
        <v>920</v>
      </c>
      <c r="S14">
        <f t="shared" si="3"/>
        <v>220</v>
      </c>
      <c r="T14" t="str">
        <f>_xlfn.CONCAT(Sales_Data!C14,"-",Sales_Data!E14,"-",Sales_Data!A14)</f>
        <v>South-C1002-1013</v>
      </c>
      <c r="U14" t="str">
        <f t="shared" si="4"/>
        <v>Regular</v>
      </c>
      <c r="V14" t="str" cm="1">
        <f t="array" ref="V14">_xlfn.IFS(R14&gt;=100000,"Excellent",R14&gt;=50000,"Good",R14&gt;=20000,"Average",TRUE,"Poor")</f>
        <v>Poor</v>
      </c>
      <c r="W14">
        <f t="shared" si="5"/>
        <v>4</v>
      </c>
      <c r="X14" t="str">
        <f t="shared" si="6"/>
        <v>November</v>
      </c>
      <c r="Y14">
        <f>HLOOKUP("Q"&amp;W14,Bonus_HLookup!$A$1:$E$2,2,FALSE)</f>
        <v>0.08</v>
      </c>
      <c r="Z14">
        <f t="shared" si="7"/>
        <v>128420.6</v>
      </c>
      <c r="AA14" s="1">
        <f t="shared" si="8"/>
        <v>7265.3765636308908</v>
      </c>
      <c r="AB14">
        <f t="shared" si="9"/>
        <v>971</v>
      </c>
    </row>
    <row r="15" spans="1:28" x14ac:dyDescent="0.3">
      <c r="A15">
        <v>1014</v>
      </c>
      <c r="B15" t="s">
        <v>53</v>
      </c>
      <c r="C15" t="s">
        <v>13</v>
      </c>
      <c r="D15" t="s">
        <v>23</v>
      </c>
      <c r="E15" t="s">
        <v>54</v>
      </c>
      <c r="F15" t="s">
        <v>36</v>
      </c>
      <c r="G15">
        <v>3</v>
      </c>
      <c r="H15">
        <v>55000</v>
      </c>
      <c r="I15">
        <v>8</v>
      </c>
      <c r="J15">
        <v>324906</v>
      </c>
      <c r="K15">
        <v>11</v>
      </c>
      <c r="L15">
        <v>2</v>
      </c>
      <c r="M15" t="str">
        <f>VLOOKUP(Sales_Data!F15,Product_Master!$A$2:$D$11,2)</f>
        <v>Laptop</v>
      </c>
      <c r="N15" t="str">
        <f>VLOOKUP(F15,Product_Master!$A$2:$C$11,3)</f>
        <v>Electronics</v>
      </c>
      <c r="O15">
        <f>VLOOKUP(F15,Product_Master!$A$2:$D$11,4,FALSE)</f>
        <v>45000</v>
      </c>
      <c r="P15">
        <f t="shared" si="0"/>
        <v>165000</v>
      </c>
      <c r="Q15">
        <f t="shared" si="1"/>
        <v>13200</v>
      </c>
      <c r="R15">
        <f t="shared" si="2"/>
        <v>151800</v>
      </c>
      <c r="S15">
        <f t="shared" si="3"/>
        <v>16800</v>
      </c>
      <c r="T15" t="str">
        <f>_xlfn.CONCAT(Sales_Data!C15,"-",Sales_Data!E15,"-",Sales_Data!A15)</f>
        <v>West-C1034-1014</v>
      </c>
      <c r="U15" t="str">
        <f t="shared" si="4"/>
        <v>High Value</v>
      </c>
      <c r="V15" t="str" cm="1">
        <f t="array" ref="V15">_xlfn.IFS(R15&gt;=100000,"Excellent",R15&gt;=50000,"Good",R15&gt;=20000,"Average",TRUE,"Poor")</f>
        <v>Excellent</v>
      </c>
      <c r="W15">
        <f t="shared" si="5"/>
        <v>3</v>
      </c>
      <c r="X15" t="str">
        <f t="shared" si="6"/>
        <v>July</v>
      </c>
      <c r="Y15">
        <f>HLOOKUP("Q"&amp;W15,Bonus_HLookup!$A$1:$E$2,2,FALSE)</f>
        <v>0.06</v>
      </c>
      <c r="Z15">
        <f t="shared" si="7"/>
        <v>71479.320000000007</v>
      </c>
      <c r="AA15" s="1">
        <f t="shared" si="8"/>
        <v>15143.166277080172</v>
      </c>
      <c r="AB15">
        <f t="shared" si="9"/>
        <v>131</v>
      </c>
    </row>
    <row r="16" spans="1:28" x14ac:dyDescent="0.3">
      <c r="A16">
        <v>1015</v>
      </c>
      <c r="B16" t="s">
        <v>55</v>
      </c>
      <c r="C16" t="s">
        <v>18</v>
      </c>
      <c r="D16" t="s">
        <v>46</v>
      </c>
      <c r="E16" t="s">
        <v>44</v>
      </c>
      <c r="F16" t="s">
        <v>39</v>
      </c>
      <c r="G16">
        <v>6</v>
      </c>
      <c r="H16">
        <v>7000</v>
      </c>
      <c r="I16">
        <v>10</v>
      </c>
      <c r="J16">
        <v>201592</v>
      </c>
      <c r="K16">
        <v>11</v>
      </c>
      <c r="L16">
        <v>1</v>
      </c>
      <c r="M16" t="str">
        <f>VLOOKUP(Sales_Data!F16,Product_Master!$A$2:$D$11,2)</f>
        <v>Router</v>
      </c>
      <c r="N16" t="str">
        <f>VLOOKUP(F16,Product_Master!$A$2:$C$11,3)</f>
        <v>Electronics</v>
      </c>
      <c r="O16">
        <f>VLOOKUP(F16,Product_Master!$A$2:$D$11,4,FALSE)</f>
        <v>5000</v>
      </c>
      <c r="P16">
        <f t="shared" si="0"/>
        <v>42000</v>
      </c>
      <c r="Q16">
        <f t="shared" si="1"/>
        <v>4200</v>
      </c>
      <c r="R16">
        <f t="shared" si="2"/>
        <v>37800</v>
      </c>
      <c r="S16">
        <f t="shared" si="3"/>
        <v>7800</v>
      </c>
      <c r="T16" t="str">
        <f>_xlfn.CONCAT(Sales_Data!C16,"-",Sales_Data!E16,"-",Sales_Data!A16)</f>
        <v>North-C1028-1015</v>
      </c>
      <c r="U16" t="str">
        <f t="shared" si="4"/>
        <v>Regular</v>
      </c>
      <c r="V16" t="str" cm="1">
        <f t="array" ref="V16">_xlfn.IFS(R16&gt;=100000,"Excellent",R16&gt;=50000,"Good",R16&gt;=20000,"Average",TRUE,"Poor")</f>
        <v>Average</v>
      </c>
      <c r="W16">
        <f t="shared" si="5"/>
        <v>1</v>
      </c>
      <c r="X16" t="str">
        <f t="shared" si="6"/>
        <v>February</v>
      </c>
      <c r="Y16">
        <f>HLOOKUP("Q"&amp;W16,Bonus_HLookup!$A$1:$E$2,2,FALSE)</f>
        <v>0.02</v>
      </c>
      <c r="Z16">
        <f t="shared" si="7"/>
        <v>22175.119999999999</v>
      </c>
      <c r="AA16" s="1">
        <f t="shared" si="8"/>
        <v>17817.035304687201</v>
      </c>
      <c r="AB16">
        <f t="shared" si="9"/>
        <v>341</v>
      </c>
    </row>
    <row r="17" spans="1:28" x14ac:dyDescent="0.3">
      <c r="A17">
        <v>1016</v>
      </c>
      <c r="B17" t="s">
        <v>56</v>
      </c>
      <c r="C17" t="s">
        <v>30</v>
      </c>
      <c r="D17" t="s">
        <v>50</v>
      </c>
      <c r="E17" t="s">
        <v>57</v>
      </c>
      <c r="F17" t="s">
        <v>21</v>
      </c>
      <c r="G17">
        <v>7</v>
      </c>
      <c r="H17">
        <v>12000</v>
      </c>
      <c r="I17">
        <v>5</v>
      </c>
      <c r="J17">
        <v>352309</v>
      </c>
      <c r="K17">
        <v>11</v>
      </c>
      <c r="L17">
        <v>4</v>
      </c>
      <c r="M17" t="str">
        <f>VLOOKUP(Sales_Data!F17,Product_Master!$A$2:$D$11,2)</f>
        <v>Monitor</v>
      </c>
      <c r="N17" t="str">
        <f>VLOOKUP(F17,Product_Master!$A$2:$C$11,3)</f>
        <v>Electronics</v>
      </c>
      <c r="O17">
        <f>VLOOKUP(F17,Product_Master!$A$2:$D$11,4,FALSE)</f>
        <v>9000</v>
      </c>
      <c r="P17">
        <f t="shared" si="0"/>
        <v>84000</v>
      </c>
      <c r="Q17">
        <f t="shared" si="1"/>
        <v>4200</v>
      </c>
      <c r="R17">
        <f t="shared" si="2"/>
        <v>79800</v>
      </c>
      <c r="S17">
        <f t="shared" si="3"/>
        <v>16800</v>
      </c>
      <c r="T17" t="str">
        <f>_xlfn.CONCAT(Sales_Data!C17,"-",Sales_Data!E17,"-",Sales_Data!A17)</f>
        <v>South-C1012-1016</v>
      </c>
      <c r="U17" t="str">
        <f t="shared" si="4"/>
        <v>High Value</v>
      </c>
      <c r="V17" t="str" cm="1">
        <f t="array" ref="V17">_xlfn.IFS(R17&gt;=100000,"Excellent",R17&gt;=50000,"Good",R17&gt;=20000,"Average",TRUE,"Poor")</f>
        <v>Good</v>
      </c>
      <c r="W17">
        <f t="shared" si="5"/>
        <v>4</v>
      </c>
      <c r="X17" t="str">
        <f t="shared" si="6"/>
        <v>November</v>
      </c>
      <c r="Y17">
        <f>HLOOKUP("Q"&amp;W17,Bonus_HLookup!$A$1:$E$2,2,FALSE)</f>
        <v>0.08</v>
      </c>
      <c r="Z17">
        <f t="shared" si="7"/>
        <v>155015.96</v>
      </c>
      <c r="AA17" s="1">
        <f t="shared" si="8"/>
        <v>9105.6102257183302</v>
      </c>
      <c r="AB17">
        <f t="shared" si="9"/>
        <v>194</v>
      </c>
    </row>
    <row r="18" spans="1:28" x14ac:dyDescent="0.3">
      <c r="A18">
        <v>1017</v>
      </c>
      <c r="B18" t="s">
        <v>58</v>
      </c>
      <c r="C18" t="s">
        <v>13</v>
      </c>
      <c r="D18" t="s">
        <v>59</v>
      </c>
      <c r="E18" t="s">
        <v>60</v>
      </c>
      <c r="F18" t="s">
        <v>42</v>
      </c>
      <c r="G18">
        <v>1</v>
      </c>
      <c r="H18">
        <v>8000</v>
      </c>
      <c r="I18">
        <v>2</v>
      </c>
      <c r="J18">
        <v>266160</v>
      </c>
      <c r="K18">
        <v>11</v>
      </c>
      <c r="L18">
        <v>2</v>
      </c>
      <c r="M18" t="str">
        <f>VLOOKUP(Sales_Data!F18,Product_Master!$A$2:$D$11,2)</f>
        <v>Printer</v>
      </c>
      <c r="N18" t="str">
        <f>VLOOKUP(F18,Product_Master!$A$2:$C$11,3)</f>
        <v>Electronics</v>
      </c>
      <c r="O18">
        <f>VLOOKUP(F18,Product_Master!$A$2:$D$11,4,FALSE)</f>
        <v>6500</v>
      </c>
      <c r="P18">
        <f t="shared" si="0"/>
        <v>8000</v>
      </c>
      <c r="Q18">
        <f t="shared" si="1"/>
        <v>160</v>
      </c>
      <c r="R18">
        <f t="shared" si="2"/>
        <v>7840</v>
      </c>
      <c r="S18">
        <f t="shared" si="3"/>
        <v>1340</v>
      </c>
      <c r="T18" t="str">
        <f>_xlfn.CONCAT(Sales_Data!C18,"-",Sales_Data!E18,"-",Sales_Data!A18)</f>
        <v>West-C1018-1017</v>
      </c>
      <c r="U18" t="str">
        <f t="shared" si="4"/>
        <v>Regular</v>
      </c>
      <c r="V18" t="str" cm="1">
        <f t="array" ref="V18">_xlfn.IFS(R18&gt;=100000,"Excellent",R18&gt;=50000,"Good",R18&gt;=20000,"Average",TRUE,"Poor")</f>
        <v>Poor</v>
      </c>
      <c r="W18">
        <f t="shared" si="5"/>
        <v>4</v>
      </c>
      <c r="X18" t="str">
        <f t="shared" si="6"/>
        <v>November</v>
      </c>
      <c r="Y18">
        <f>HLOOKUP("Q"&amp;W18,Bonus_HLookup!$A$1:$E$2,2,FALSE)</f>
        <v>0.08</v>
      </c>
      <c r="Z18">
        <f t="shared" si="7"/>
        <v>58555.199999999997</v>
      </c>
      <c r="AA18" s="1">
        <f t="shared" si="8"/>
        <v>12405.142214387111</v>
      </c>
      <c r="AB18">
        <f t="shared" si="9"/>
        <v>692</v>
      </c>
    </row>
    <row r="19" spans="1:28" x14ac:dyDescent="0.3">
      <c r="A19">
        <v>1018</v>
      </c>
      <c r="B19" t="s">
        <v>61</v>
      </c>
      <c r="C19" t="s">
        <v>62</v>
      </c>
      <c r="D19" t="s">
        <v>23</v>
      </c>
      <c r="E19" t="s">
        <v>63</v>
      </c>
      <c r="F19" t="s">
        <v>36</v>
      </c>
      <c r="G19">
        <v>4</v>
      </c>
      <c r="H19">
        <v>55000</v>
      </c>
      <c r="I19">
        <v>10</v>
      </c>
      <c r="J19">
        <v>369334</v>
      </c>
      <c r="K19">
        <v>7</v>
      </c>
      <c r="L19">
        <v>2</v>
      </c>
      <c r="M19" t="str">
        <f>VLOOKUP(Sales_Data!F19,Product_Master!$A$2:$D$11,2)</f>
        <v>Laptop</v>
      </c>
      <c r="N19" t="str">
        <f>VLOOKUP(F19,Product_Master!$A$2:$C$11,3)</f>
        <v>Electronics</v>
      </c>
      <c r="O19">
        <f>VLOOKUP(F19,Product_Master!$A$2:$D$11,4,FALSE)</f>
        <v>45000</v>
      </c>
      <c r="P19">
        <f t="shared" si="0"/>
        <v>220000</v>
      </c>
      <c r="Q19">
        <f t="shared" si="1"/>
        <v>22000</v>
      </c>
      <c r="R19">
        <f t="shared" si="2"/>
        <v>198000</v>
      </c>
      <c r="S19">
        <f t="shared" si="3"/>
        <v>18000</v>
      </c>
      <c r="T19" t="str">
        <f>_xlfn.CONCAT(Sales_Data!C19,"-",Sales_Data!E19,"-",Sales_Data!A19)</f>
        <v>East-C1035-1018</v>
      </c>
      <c r="U19" t="str">
        <f t="shared" si="4"/>
        <v>High Value</v>
      </c>
      <c r="V19" t="str" cm="1">
        <f t="array" ref="V19">_xlfn.IFS(R19&gt;=100000,"Excellent",R19&gt;=50000,"Good",R19&gt;=20000,"Average",TRUE,"Poor")</f>
        <v>Excellent</v>
      </c>
      <c r="W19">
        <f t="shared" si="5"/>
        <v>1</v>
      </c>
      <c r="X19" t="str">
        <f t="shared" si="6"/>
        <v>March</v>
      </c>
      <c r="Y19">
        <f>HLOOKUP("Q"&amp;W19,Bonus_HLookup!$A$1:$E$2,2,FALSE)</f>
        <v>0.02</v>
      </c>
      <c r="Z19">
        <f t="shared" si="7"/>
        <v>51706.76</v>
      </c>
      <c r="AA19" s="1">
        <f t="shared" si="8"/>
        <v>16536.035730481108</v>
      </c>
      <c r="AB19">
        <f t="shared" si="9"/>
        <v>110</v>
      </c>
    </row>
    <row r="20" spans="1:28" x14ac:dyDescent="0.3">
      <c r="A20">
        <v>1019</v>
      </c>
      <c r="B20" t="s">
        <v>64</v>
      </c>
      <c r="C20" t="s">
        <v>18</v>
      </c>
      <c r="D20" t="s">
        <v>14</v>
      </c>
      <c r="E20" t="s">
        <v>44</v>
      </c>
      <c r="F20" t="s">
        <v>21</v>
      </c>
      <c r="G20">
        <v>3</v>
      </c>
      <c r="H20">
        <v>12000</v>
      </c>
      <c r="I20">
        <v>0</v>
      </c>
      <c r="J20">
        <v>109042</v>
      </c>
      <c r="K20">
        <v>8</v>
      </c>
      <c r="L20">
        <v>2</v>
      </c>
      <c r="M20" t="str">
        <f>VLOOKUP(Sales_Data!F20,Product_Master!$A$2:$D$11,2)</f>
        <v>Monitor</v>
      </c>
      <c r="N20" t="str">
        <f>VLOOKUP(F20,Product_Master!$A$2:$C$11,3)</f>
        <v>Electronics</v>
      </c>
      <c r="O20">
        <f>VLOOKUP(F20,Product_Master!$A$2:$D$11,4,FALSE)</f>
        <v>9000</v>
      </c>
      <c r="P20">
        <f t="shared" si="0"/>
        <v>36000</v>
      </c>
      <c r="Q20">
        <f t="shared" si="1"/>
        <v>0</v>
      </c>
      <c r="R20">
        <f t="shared" si="2"/>
        <v>36000</v>
      </c>
      <c r="S20">
        <f t="shared" si="3"/>
        <v>9000</v>
      </c>
      <c r="T20" t="str">
        <f>_xlfn.CONCAT(Sales_Data!C20,"-",Sales_Data!E20,"-",Sales_Data!A20)</f>
        <v>North-C1028-1019</v>
      </c>
      <c r="U20" t="str">
        <f t="shared" si="4"/>
        <v>Regular</v>
      </c>
      <c r="V20" t="str" cm="1">
        <f t="array" ref="V20">_xlfn.IFS(R20&gt;=100000,"Excellent",R20&gt;=50000,"Good",R20&gt;=20000,"Average",TRUE,"Poor")</f>
        <v>Average</v>
      </c>
      <c r="W20">
        <f t="shared" si="5"/>
        <v>2</v>
      </c>
      <c r="X20" t="str">
        <f t="shared" si="6"/>
        <v>April</v>
      </c>
      <c r="Y20">
        <f>HLOOKUP("Q"&amp;W20,Bonus_HLookup!$A$1:$E$2,2,FALSE)</f>
        <v>0.04</v>
      </c>
      <c r="Z20">
        <f t="shared" si="7"/>
        <v>17446.72</v>
      </c>
      <c r="AA20" s="1">
        <f t="shared" si="8"/>
        <v>4931.674314965233</v>
      </c>
      <c r="AB20">
        <f t="shared" si="9"/>
        <v>344</v>
      </c>
    </row>
    <row r="21" spans="1:28" x14ac:dyDescent="0.3">
      <c r="A21">
        <v>1020</v>
      </c>
      <c r="B21" t="s">
        <v>65</v>
      </c>
      <c r="C21" t="s">
        <v>18</v>
      </c>
      <c r="D21" t="s">
        <v>14</v>
      </c>
      <c r="E21" t="s">
        <v>66</v>
      </c>
      <c r="F21" t="s">
        <v>42</v>
      </c>
      <c r="G21">
        <v>1</v>
      </c>
      <c r="H21">
        <v>8000</v>
      </c>
      <c r="I21">
        <v>8</v>
      </c>
      <c r="J21">
        <v>478128</v>
      </c>
      <c r="K21">
        <v>8</v>
      </c>
      <c r="L21">
        <v>1</v>
      </c>
      <c r="M21" t="str">
        <f>VLOOKUP(Sales_Data!F21,Product_Master!$A$2:$D$11,2)</f>
        <v>Printer</v>
      </c>
      <c r="N21" t="str">
        <f>VLOOKUP(F21,Product_Master!$A$2:$C$11,3)</f>
        <v>Electronics</v>
      </c>
      <c r="O21">
        <f>VLOOKUP(F21,Product_Master!$A$2:$D$11,4,FALSE)</f>
        <v>6500</v>
      </c>
      <c r="P21">
        <f t="shared" si="0"/>
        <v>8000</v>
      </c>
      <c r="Q21">
        <f t="shared" si="1"/>
        <v>640</v>
      </c>
      <c r="R21">
        <f t="shared" si="2"/>
        <v>7360</v>
      </c>
      <c r="S21">
        <f t="shared" si="3"/>
        <v>860</v>
      </c>
      <c r="T21" t="str">
        <f>_xlfn.CONCAT(Sales_Data!C21,"-",Sales_Data!E21,"-",Sales_Data!A21)</f>
        <v>North-C1010-1020</v>
      </c>
      <c r="U21" t="str">
        <f t="shared" si="4"/>
        <v>Regular</v>
      </c>
      <c r="V21" t="str" cm="1">
        <f t="array" ref="V21">_xlfn.IFS(R21&gt;=100000,"Excellent",R21&gt;=50000,"Good",R21&gt;=20000,"Average",TRUE,"Poor")</f>
        <v>Poor</v>
      </c>
      <c r="W21">
        <f t="shared" si="5"/>
        <v>4</v>
      </c>
      <c r="X21" t="str">
        <f t="shared" si="6"/>
        <v>December</v>
      </c>
      <c r="Y21">
        <f>HLOOKUP("Q"&amp;W21,Bonus_HLookup!$A$1:$E$2,2,FALSE)</f>
        <v>0.08</v>
      </c>
      <c r="Z21">
        <f t="shared" si="7"/>
        <v>38250.239999999998</v>
      </c>
      <c r="AA21" s="1">
        <f t="shared" si="8"/>
        <v>41591.603621754199</v>
      </c>
      <c r="AB21">
        <f t="shared" si="9"/>
        <v>709</v>
      </c>
    </row>
    <row r="22" spans="1:28" x14ac:dyDescent="0.3">
      <c r="A22">
        <v>1021</v>
      </c>
      <c r="B22" t="s">
        <v>67</v>
      </c>
      <c r="C22" t="s">
        <v>62</v>
      </c>
      <c r="D22" t="s">
        <v>50</v>
      </c>
      <c r="E22" t="s">
        <v>68</v>
      </c>
      <c r="F22" t="s">
        <v>69</v>
      </c>
      <c r="G22">
        <v>9</v>
      </c>
      <c r="H22">
        <v>2000</v>
      </c>
      <c r="I22">
        <v>5</v>
      </c>
      <c r="J22">
        <v>341887</v>
      </c>
      <c r="K22">
        <v>7</v>
      </c>
      <c r="L22">
        <v>1</v>
      </c>
      <c r="M22" t="str">
        <f>VLOOKUP(Sales_Data!F22,Product_Master!$A$2:$D$11,2)</f>
        <v>Headset</v>
      </c>
      <c r="N22" t="str">
        <f>VLOOKUP(F22,Product_Master!$A$2:$C$11,3)</f>
        <v>Accessories</v>
      </c>
      <c r="O22">
        <f>VLOOKUP(F22,Product_Master!$A$2:$D$11,4,FALSE)</f>
        <v>1500</v>
      </c>
      <c r="P22">
        <f t="shared" si="0"/>
        <v>18000</v>
      </c>
      <c r="Q22">
        <f t="shared" si="1"/>
        <v>900</v>
      </c>
      <c r="R22">
        <f t="shared" si="2"/>
        <v>17100</v>
      </c>
      <c r="S22">
        <f t="shared" si="3"/>
        <v>3600</v>
      </c>
      <c r="T22" t="str">
        <f>_xlfn.CONCAT(Sales_Data!C22,"-",Sales_Data!E22,"-",Sales_Data!A22)</f>
        <v>East-C1043-1021</v>
      </c>
      <c r="U22" t="str">
        <f t="shared" si="4"/>
        <v>Regular</v>
      </c>
      <c r="V22" t="str" cm="1">
        <f t="array" ref="V22">_xlfn.IFS(R22&gt;=100000,"Excellent",R22&gt;=50000,"Good",R22&gt;=20000,"Average",TRUE,"Poor")</f>
        <v>Poor</v>
      </c>
      <c r="W22">
        <f t="shared" si="5"/>
        <v>2</v>
      </c>
      <c r="X22" t="str">
        <f t="shared" si="6"/>
        <v>May</v>
      </c>
      <c r="Y22">
        <f>HLOOKUP("Q"&amp;W22,Bonus_HLookup!$A$1:$E$2,2,FALSE)</f>
        <v>0.04</v>
      </c>
      <c r="Z22">
        <f t="shared" si="7"/>
        <v>23932.09</v>
      </c>
      <c r="AA22" s="1">
        <f t="shared" si="8"/>
        <v>29582.369643254122</v>
      </c>
      <c r="AB22">
        <f t="shared" si="9"/>
        <v>501</v>
      </c>
    </row>
    <row r="23" spans="1:28" x14ac:dyDescent="0.3">
      <c r="A23">
        <v>1022</v>
      </c>
      <c r="B23" t="s">
        <v>70</v>
      </c>
      <c r="C23" t="s">
        <v>30</v>
      </c>
      <c r="D23" t="s">
        <v>50</v>
      </c>
      <c r="E23" t="s">
        <v>71</v>
      </c>
      <c r="F23" t="s">
        <v>36</v>
      </c>
      <c r="G23">
        <v>1</v>
      </c>
      <c r="H23">
        <v>55000</v>
      </c>
      <c r="I23">
        <v>2</v>
      </c>
      <c r="J23">
        <v>355252</v>
      </c>
      <c r="K23">
        <v>8</v>
      </c>
      <c r="L23">
        <v>1</v>
      </c>
      <c r="M23" t="str">
        <f>VLOOKUP(Sales_Data!F23,Product_Master!$A$2:$D$11,2)</f>
        <v>Laptop</v>
      </c>
      <c r="N23" t="str">
        <f>VLOOKUP(F23,Product_Master!$A$2:$C$11,3)</f>
        <v>Electronics</v>
      </c>
      <c r="O23">
        <f>VLOOKUP(F23,Product_Master!$A$2:$D$11,4,FALSE)</f>
        <v>45000</v>
      </c>
      <c r="P23">
        <f t="shared" si="0"/>
        <v>55000</v>
      </c>
      <c r="Q23">
        <f t="shared" si="1"/>
        <v>1100</v>
      </c>
      <c r="R23">
        <f t="shared" si="2"/>
        <v>53900</v>
      </c>
      <c r="S23">
        <f t="shared" si="3"/>
        <v>8900</v>
      </c>
      <c r="T23" t="str">
        <f>_xlfn.CONCAT(Sales_Data!C23,"-",Sales_Data!E23,"-",Sales_Data!A23)</f>
        <v>South-C1019-1022</v>
      </c>
      <c r="U23" t="str">
        <f t="shared" si="4"/>
        <v>High Value</v>
      </c>
      <c r="V23" t="str" cm="1">
        <f t="array" ref="V23">_xlfn.IFS(R23&gt;=100000,"Excellent",R23&gt;=50000,"Good",R23&gt;=20000,"Average",TRUE,"Poor")</f>
        <v>Good</v>
      </c>
      <c r="W23">
        <f t="shared" si="5"/>
        <v>1</v>
      </c>
      <c r="X23" t="str">
        <f t="shared" si="6"/>
        <v>March</v>
      </c>
      <c r="Y23">
        <f>HLOOKUP("Q"&amp;W23,Bonus_HLookup!$A$1:$E$2,2,FALSE)</f>
        <v>0.02</v>
      </c>
      <c r="Z23">
        <f t="shared" si="7"/>
        <v>28420.16</v>
      </c>
      <c r="AA23" s="1">
        <f t="shared" si="8"/>
        <v>30902.813409454004</v>
      </c>
      <c r="AB23">
        <f t="shared" si="9"/>
        <v>277</v>
      </c>
    </row>
    <row r="24" spans="1:28" x14ac:dyDescent="0.3">
      <c r="A24">
        <v>1023</v>
      </c>
      <c r="B24" t="s">
        <v>72</v>
      </c>
      <c r="C24" t="s">
        <v>62</v>
      </c>
      <c r="D24" t="s">
        <v>59</v>
      </c>
      <c r="E24" t="s">
        <v>73</v>
      </c>
      <c r="F24" t="s">
        <v>74</v>
      </c>
      <c r="G24">
        <v>5</v>
      </c>
      <c r="H24">
        <v>35000</v>
      </c>
      <c r="I24">
        <v>10</v>
      </c>
      <c r="J24">
        <v>340565</v>
      </c>
      <c r="K24">
        <v>12</v>
      </c>
      <c r="L24">
        <v>4</v>
      </c>
      <c r="M24" t="str">
        <f>VLOOKUP(Sales_Data!F24,Product_Master!$A$2:$D$11,2)</f>
        <v>Tablet</v>
      </c>
      <c r="N24" t="str">
        <f>VLOOKUP(F24,Product_Master!$A$2:$C$11,3)</f>
        <v>Electronics</v>
      </c>
      <c r="O24">
        <f>VLOOKUP(F24,Product_Master!$A$2:$D$11,4,FALSE)</f>
        <v>29000</v>
      </c>
      <c r="P24">
        <f t="shared" si="0"/>
        <v>175000</v>
      </c>
      <c r="Q24">
        <f t="shared" si="1"/>
        <v>17500</v>
      </c>
      <c r="R24">
        <f t="shared" si="2"/>
        <v>157500</v>
      </c>
      <c r="S24">
        <f t="shared" si="3"/>
        <v>12500</v>
      </c>
      <c r="T24" t="str">
        <f>_xlfn.CONCAT(Sales_Data!C24,"-",Sales_Data!E24,"-",Sales_Data!A24)</f>
        <v>East-C1014-1023</v>
      </c>
      <c r="U24" t="str">
        <f t="shared" si="4"/>
        <v>High Value</v>
      </c>
      <c r="V24" t="str" cm="1">
        <f t="array" ref="V24">_xlfn.IFS(R24&gt;=100000,"Excellent",R24&gt;=50000,"Good",R24&gt;=20000,"Average",TRUE,"Poor")</f>
        <v>Excellent</v>
      </c>
      <c r="W24">
        <f t="shared" si="5"/>
        <v>4</v>
      </c>
      <c r="X24" t="str">
        <f t="shared" si="6"/>
        <v>October</v>
      </c>
      <c r="Y24">
        <f>HLOOKUP("Q"&amp;W24,Bonus_HLookup!$A$1:$E$2,2,FALSE)</f>
        <v>0.08</v>
      </c>
      <c r="Z24">
        <f t="shared" si="7"/>
        <v>163471.20000000001</v>
      </c>
      <c r="AA24" s="1">
        <f t="shared" si="8"/>
        <v>8968.3826638744795</v>
      </c>
      <c r="AB24">
        <f t="shared" si="9"/>
        <v>126</v>
      </c>
    </row>
    <row r="25" spans="1:28" x14ac:dyDescent="0.3">
      <c r="A25">
        <v>1024</v>
      </c>
      <c r="B25" t="s">
        <v>75</v>
      </c>
      <c r="C25" t="s">
        <v>62</v>
      </c>
      <c r="D25" t="s">
        <v>14</v>
      </c>
      <c r="E25" t="s">
        <v>63</v>
      </c>
      <c r="F25" t="s">
        <v>74</v>
      </c>
      <c r="G25">
        <v>8</v>
      </c>
      <c r="H25">
        <v>35000</v>
      </c>
      <c r="I25">
        <v>10</v>
      </c>
      <c r="J25">
        <v>306409</v>
      </c>
      <c r="K25">
        <v>10</v>
      </c>
      <c r="L25">
        <v>4</v>
      </c>
      <c r="M25" t="str">
        <f>VLOOKUP(Sales_Data!F25,Product_Master!$A$2:$D$11,2)</f>
        <v>Tablet</v>
      </c>
      <c r="N25" t="str">
        <f>VLOOKUP(F25,Product_Master!$A$2:$C$11,3)</f>
        <v>Electronics</v>
      </c>
      <c r="O25">
        <f>VLOOKUP(F25,Product_Master!$A$2:$D$11,4,FALSE)</f>
        <v>29000</v>
      </c>
      <c r="P25">
        <f t="shared" si="0"/>
        <v>280000</v>
      </c>
      <c r="Q25">
        <f t="shared" si="1"/>
        <v>28000</v>
      </c>
      <c r="R25">
        <f t="shared" si="2"/>
        <v>252000</v>
      </c>
      <c r="S25">
        <f t="shared" si="3"/>
        <v>20000</v>
      </c>
      <c r="T25" t="str">
        <f>_xlfn.CONCAT(Sales_Data!C25,"-",Sales_Data!E25,"-",Sales_Data!A25)</f>
        <v>East-C1035-1024</v>
      </c>
      <c r="U25" t="str">
        <f t="shared" si="4"/>
        <v>High Value</v>
      </c>
      <c r="V25" t="str" cm="1">
        <f t="array" ref="V25">_xlfn.IFS(R25&gt;=100000,"Excellent",R25&gt;=50000,"Good",R25&gt;=20000,"Average",TRUE,"Poor")</f>
        <v>Excellent</v>
      </c>
      <c r="W25">
        <f t="shared" si="5"/>
        <v>1</v>
      </c>
      <c r="X25" t="str">
        <f t="shared" si="6"/>
        <v>February</v>
      </c>
      <c r="Y25">
        <f>HLOOKUP("Q"&amp;W25,Bonus_HLookup!$A$1:$E$2,2,FALSE)</f>
        <v>0.02</v>
      </c>
      <c r="Z25">
        <f t="shared" si="7"/>
        <v>122563.6</v>
      </c>
      <c r="AA25" s="1">
        <f t="shared" si="8"/>
        <v>7771.3238276574521</v>
      </c>
      <c r="AB25">
        <f t="shared" si="9"/>
        <v>76</v>
      </c>
    </row>
    <row r="26" spans="1:28" x14ac:dyDescent="0.3">
      <c r="A26">
        <v>1025</v>
      </c>
      <c r="B26" t="s">
        <v>76</v>
      </c>
      <c r="C26" t="s">
        <v>30</v>
      </c>
      <c r="D26" t="s">
        <v>50</v>
      </c>
      <c r="E26" t="s">
        <v>77</v>
      </c>
      <c r="F26" t="s">
        <v>69</v>
      </c>
      <c r="G26">
        <v>4</v>
      </c>
      <c r="H26">
        <v>2000</v>
      </c>
      <c r="I26">
        <v>10</v>
      </c>
      <c r="J26">
        <v>74460</v>
      </c>
      <c r="K26">
        <v>11</v>
      </c>
      <c r="L26">
        <v>1</v>
      </c>
      <c r="M26" t="str">
        <f>VLOOKUP(Sales_Data!F26,Product_Master!$A$2:$D$11,2)</f>
        <v>Headset</v>
      </c>
      <c r="N26" t="str">
        <f>VLOOKUP(F26,Product_Master!$A$2:$C$11,3)</f>
        <v>Accessories</v>
      </c>
      <c r="O26">
        <f>VLOOKUP(F26,Product_Master!$A$2:$D$11,4,FALSE)</f>
        <v>1500</v>
      </c>
      <c r="P26">
        <f t="shared" si="0"/>
        <v>8000</v>
      </c>
      <c r="Q26">
        <f t="shared" si="1"/>
        <v>800</v>
      </c>
      <c r="R26">
        <f t="shared" si="2"/>
        <v>7200</v>
      </c>
      <c r="S26">
        <f t="shared" si="3"/>
        <v>1200</v>
      </c>
      <c r="T26" t="str">
        <f>_xlfn.CONCAT(Sales_Data!C26,"-",Sales_Data!E26,"-",Sales_Data!A26)</f>
        <v>South-C1020-1025</v>
      </c>
      <c r="U26" t="str">
        <f t="shared" si="4"/>
        <v>Regular</v>
      </c>
      <c r="V26" t="str" cm="1">
        <f t="array" ref="V26">_xlfn.IFS(R26&gt;=100000,"Excellent",R26&gt;=50000,"Good",R26&gt;=20000,"Average",TRUE,"Poor")</f>
        <v>Poor</v>
      </c>
      <c r="W26">
        <f t="shared" si="5"/>
        <v>3</v>
      </c>
      <c r="X26" t="str">
        <f t="shared" si="6"/>
        <v>September</v>
      </c>
      <c r="Y26">
        <f>HLOOKUP("Q"&amp;W26,Bonus_HLookup!$A$1:$E$2,2,FALSE)</f>
        <v>0.06</v>
      </c>
      <c r="Z26">
        <f t="shared" si="7"/>
        <v>8190.6</v>
      </c>
      <c r="AA26" s="1">
        <f t="shared" si="8"/>
        <v>6580.8982935186368</v>
      </c>
      <c r="AB26">
        <f t="shared" si="9"/>
        <v>716</v>
      </c>
    </row>
    <row r="27" spans="1:28" x14ac:dyDescent="0.3">
      <c r="A27">
        <v>1026</v>
      </c>
      <c r="B27" t="s">
        <v>78</v>
      </c>
      <c r="C27" t="s">
        <v>13</v>
      </c>
      <c r="D27" t="s">
        <v>46</v>
      </c>
      <c r="E27" t="s">
        <v>31</v>
      </c>
      <c r="F27" t="s">
        <v>16</v>
      </c>
      <c r="G27">
        <v>1</v>
      </c>
      <c r="H27">
        <v>2500</v>
      </c>
      <c r="I27">
        <v>2</v>
      </c>
      <c r="J27">
        <v>268610</v>
      </c>
      <c r="K27">
        <v>12</v>
      </c>
      <c r="L27">
        <v>3</v>
      </c>
      <c r="M27" t="str">
        <f>VLOOKUP(Sales_Data!F27,Product_Master!$A$2:$D$11,2)</f>
        <v>Speaker</v>
      </c>
      <c r="N27" t="str">
        <f>VLOOKUP(F27,Product_Master!$A$2:$C$11,3)</f>
        <v>Accessories</v>
      </c>
      <c r="O27">
        <f>VLOOKUP(F27,Product_Master!$A$2:$D$11,4,FALSE)</f>
        <v>1800</v>
      </c>
      <c r="P27">
        <f t="shared" si="0"/>
        <v>2500</v>
      </c>
      <c r="Q27">
        <f t="shared" si="1"/>
        <v>50</v>
      </c>
      <c r="R27">
        <f t="shared" si="2"/>
        <v>2450</v>
      </c>
      <c r="S27">
        <f t="shared" si="3"/>
        <v>650</v>
      </c>
      <c r="T27" t="str">
        <f>_xlfn.CONCAT(Sales_Data!C27,"-",Sales_Data!E27,"-",Sales_Data!A27)</f>
        <v>West-C1025-1026</v>
      </c>
      <c r="U27" t="str">
        <f t="shared" si="4"/>
        <v>Regular</v>
      </c>
      <c r="V27" t="str" cm="1">
        <f t="array" ref="V27">_xlfn.IFS(R27&gt;=100000,"Excellent",R27&gt;=50000,"Good",R27&gt;=20000,"Average",TRUE,"Poor")</f>
        <v>Poor</v>
      </c>
      <c r="W27">
        <f t="shared" si="5"/>
        <v>2</v>
      </c>
      <c r="X27" t="str">
        <f t="shared" si="6"/>
        <v>May</v>
      </c>
      <c r="Y27">
        <f>HLOOKUP("Q"&amp;W27,Bonus_HLookup!$A$1:$E$2,2,FALSE)</f>
        <v>0.04</v>
      </c>
      <c r="Z27">
        <f t="shared" si="7"/>
        <v>96699.6</v>
      </c>
      <c r="AA27" s="1">
        <f t="shared" si="8"/>
        <v>8921.6957588299592</v>
      </c>
      <c r="AB27">
        <f t="shared" si="9"/>
        <v>908</v>
      </c>
    </row>
    <row r="28" spans="1:28" x14ac:dyDescent="0.3">
      <c r="A28">
        <v>1027</v>
      </c>
      <c r="B28" t="s">
        <v>79</v>
      </c>
      <c r="C28" t="s">
        <v>30</v>
      </c>
      <c r="D28" t="s">
        <v>19</v>
      </c>
      <c r="E28" t="s">
        <v>34</v>
      </c>
      <c r="F28" t="s">
        <v>52</v>
      </c>
      <c r="G28">
        <v>6</v>
      </c>
      <c r="H28">
        <v>500</v>
      </c>
      <c r="I28">
        <v>2</v>
      </c>
      <c r="J28">
        <v>378489</v>
      </c>
      <c r="K28">
        <v>12</v>
      </c>
      <c r="L28">
        <v>5</v>
      </c>
      <c r="M28" t="str">
        <f>VLOOKUP(Sales_Data!F28,Product_Master!$A$2:$D$11,2)</f>
        <v>Mouse</v>
      </c>
      <c r="N28" t="str">
        <f>VLOOKUP(F28,Product_Master!$A$2:$C$11,3)</f>
        <v>Accessories</v>
      </c>
      <c r="O28">
        <f>VLOOKUP(F28,Product_Master!$A$2:$D$11,4,FALSE)</f>
        <v>350</v>
      </c>
      <c r="P28">
        <f t="shared" si="0"/>
        <v>3000</v>
      </c>
      <c r="Q28">
        <f t="shared" si="1"/>
        <v>60</v>
      </c>
      <c r="R28">
        <f t="shared" si="2"/>
        <v>2940</v>
      </c>
      <c r="S28">
        <f t="shared" si="3"/>
        <v>840</v>
      </c>
      <c r="T28" t="str">
        <f>_xlfn.CONCAT(Sales_Data!C28,"-",Sales_Data!E28,"-",Sales_Data!A28)</f>
        <v>South-C1036-1027</v>
      </c>
      <c r="U28" t="str">
        <f t="shared" si="4"/>
        <v>Regular</v>
      </c>
      <c r="V28" t="str" cm="1">
        <f t="array" ref="V28">_xlfn.IFS(R28&gt;=100000,"Excellent",R28&gt;=50000,"Good",R28&gt;=20000,"Average",TRUE,"Poor")</f>
        <v>Poor</v>
      </c>
      <c r="W28">
        <f t="shared" si="5"/>
        <v>1</v>
      </c>
      <c r="X28" t="str">
        <f t="shared" si="6"/>
        <v>March</v>
      </c>
      <c r="Y28">
        <f>HLOOKUP("Q"&amp;W28,Bonus_HLookup!$A$1:$E$2,2,FALSE)</f>
        <v>0.02</v>
      </c>
      <c r="Z28">
        <f t="shared" si="7"/>
        <v>227093.4</v>
      </c>
      <c r="AA28" s="1">
        <f t="shared" si="8"/>
        <v>8419.278759810788</v>
      </c>
      <c r="AB28">
        <f t="shared" si="9"/>
        <v>883</v>
      </c>
    </row>
    <row r="29" spans="1:28" x14ac:dyDescent="0.3">
      <c r="A29">
        <v>1028</v>
      </c>
      <c r="B29" t="s">
        <v>80</v>
      </c>
      <c r="C29" t="s">
        <v>13</v>
      </c>
      <c r="D29" t="s">
        <v>59</v>
      </c>
      <c r="E29" t="s">
        <v>41</v>
      </c>
      <c r="F29" t="s">
        <v>16</v>
      </c>
      <c r="G29">
        <v>9</v>
      </c>
      <c r="H29">
        <v>2500</v>
      </c>
      <c r="I29">
        <v>10</v>
      </c>
      <c r="J29">
        <v>233620</v>
      </c>
      <c r="K29">
        <v>11</v>
      </c>
      <c r="L29">
        <v>3</v>
      </c>
      <c r="M29" t="str">
        <f>VLOOKUP(Sales_Data!F29,Product_Master!$A$2:$D$11,2)</f>
        <v>Speaker</v>
      </c>
      <c r="N29" t="str">
        <f>VLOOKUP(F29,Product_Master!$A$2:$C$11,3)</f>
        <v>Accessories</v>
      </c>
      <c r="O29">
        <f>VLOOKUP(F29,Product_Master!$A$2:$D$11,4,FALSE)</f>
        <v>1800</v>
      </c>
      <c r="P29">
        <f t="shared" si="0"/>
        <v>22500</v>
      </c>
      <c r="Q29">
        <f t="shared" si="1"/>
        <v>2250</v>
      </c>
      <c r="R29">
        <f t="shared" si="2"/>
        <v>20250</v>
      </c>
      <c r="S29">
        <f t="shared" si="3"/>
        <v>4050</v>
      </c>
      <c r="T29" t="str">
        <f>_xlfn.CONCAT(Sales_Data!C29,"-",Sales_Data!E29,"-",Sales_Data!A29)</f>
        <v>West-C1023-1028</v>
      </c>
      <c r="U29" t="str">
        <f t="shared" si="4"/>
        <v>Regular</v>
      </c>
      <c r="V29" t="str" cm="1">
        <f t="array" ref="V29">_xlfn.IFS(R29&gt;=100000,"Excellent",R29&gt;=50000,"Good",R29&gt;=20000,"Average",TRUE,"Poor")</f>
        <v>Average</v>
      </c>
      <c r="W29">
        <f t="shared" si="5"/>
        <v>1</v>
      </c>
      <c r="X29" t="str">
        <f t="shared" si="6"/>
        <v>February</v>
      </c>
      <c r="Y29">
        <f>HLOOKUP("Q"&amp;W29,Bonus_HLookup!$A$1:$E$2,2,FALSE)</f>
        <v>0.02</v>
      </c>
      <c r="Z29">
        <f t="shared" si="7"/>
        <v>77094.600000000006</v>
      </c>
      <c r="AA29" s="1">
        <f t="shared" si="8"/>
        <v>7648.4190928740163</v>
      </c>
      <c r="AB29">
        <f t="shared" si="9"/>
        <v>449</v>
      </c>
    </row>
    <row r="30" spans="1:28" x14ac:dyDescent="0.3">
      <c r="A30">
        <v>1029</v>
      </c>
      <c r="B30" t="s">
        <v>81</v>
      </c>
      <c r="C30" t="s">
        <v>18</v>
      </c>
      <c r="D30" t="s">
        <v>23</v>
      </c>
      <c r="E30" t="s">
        <v>82</v>
      </c>
      <c r="F30" t="s">
        <v>21</v>
      </c>
      <c r="G30">
        <v>10</v>
      </c>
      <c r="H30">
        <v>12000</v>
      </c>
      <c r="I30">
        <v>2</v>
      </c>
      <c r="J30">
        <v>384840</v>
      </c>
      <c r="K30">
        <v>9</v>
      </c>
      <c r="L30">
        <v>1</v>
      </c>
      <c r="M30" t="str">
        <f>VLOOKUP(Sales_Data!F30,Product_Master!$A$2:$D$11,2)</f>
        <v>Monitor</v>
      </c>
      <c r="N30" t="str">
        <f>VLOOKUP(F30,Product_Master!$A$2:$C$11,3)</f>
        <v>Electronics</v>
      </c>
      <c r="O30">
        <f>VLOOKUP(F30,Product_Master!$A$2:$D$11,4,FALSE)</f>
        <v>9000</v>
      </c>
      <c r="P30">
        <f t="shared" si="0"/>
        <v>120000</v>
      </c>
      <c r="Q30">
        <f t="shared" si="1"/>
        <v>2400</v>
      </c>
      <c r="R30">
        <f t="shared" si="2"/>
        <v>117600</v>
      </c>
      <c r="S30">
        <f t="shared" si="3"/>
        <v>27600</v>
      </c>
      <c r="T30" t="str">
        <f>_xlfn.CONCAT(Sales_Data!C30,"-",Sales_Data!E30,"-",Sales_Data!A30)</f>
        <v>North-C1045-1029</v>
      </c>
      <c r="U30" t="str">
        <f t="shared" si="4"/>
        <v>High Value</v>
      </c>
      <c r="V30" t="str" cm="1">
        <f t="array" ref="V30">_xlfn.IFS(R30&gt;=100000,"Excellent",R30&gt;=50000,"Good",R30&gt;=20000,"Average",TRUE,"Poor")</f>
        <v>Excellent</v>
      </c>
      <c r="W30">
        <f t="shared" si="5"/>
        <v>4</v>
      </c>
      <c r="X30" t="str">
        <f t="shared" si="6"/>
        <v>December</v>
      </c>
      <c r="Y30">
        <f>HLOOKUP("Q"&amp;W30,Bonus_HLookup!$A$1:$E$2,2,FALSE)</f>
        <v>0.08</v>
      </c>
      <c r="Z30">
        <f t="shared" si="7"/>
        <v>34635.599999999999</v>
      </c>
      <c r="AA30" s="1">
        <f t="shared" si="8"/>
        <v>33654.826320136563</v>
      </c>
      <c r="AB30">
        <f t="shared" si="9"/>
        <v>147</v>
      </c>
    </row>
    <row r="31" spans="1:28" x14ac:dyDescent="0.3">
      <c r="A31">
        <v>1030</v>
      </c>
      <c r="B31" t="s">
        <v>83</v>
      </c>
      <c r="C31" t="s">
        <v>62</v>
      </c>
      <c r="D31" t="s">
        <v>33</v>
      </c>
      <c r="E31" t="s">
        <v>51</v>
      </c>
      <c r="F31" t="s">
        <v>52</v>
      </c>
      <c r="G31">
        <v>5</v>
      </c>
      <c r="H31">
        <v>500</v>
      </c>
      <c r="I31">
        <v>15</v>
      </c>
      <c r="J31">
        <v>321824</v>
      </c>
      <c r="K31">
        <v>7</v>
      </c>
      <c r="L31">
        <v>2</v>
      </c>
      <c r="M31" t="str">
        <f>VLOOKUP(Sales_Data!F31,Product_Master!$A$2:$D$11,2)</f>
        <v>Mouse</v>
      </c>
      <c r="N31" t="str">
        <f>VLOOKUP(F31,Product_Master!$A$2:$C$11,3)</f>
        <v>Accessories</v>
      </c>
      <c r="O31">
        <f>VLOOKUP(F31,Product_Master!$A$2:$D$11,4,FALSE)</f>
        <v>350</v>
      </c>
      <c r="P31">
        <f t="shared" si="0"/>
        <v>2500</v>
      </c>
      <c r="Q31">
        <f t="shared" si="1"/>
        <v>375</v>
      </c>
      <c r="R31">
        <f t="shared" si="2"/>
        <v>2125</v>
      </c>
      <c r="S31">
        <f t="shared" si="3"/>
        <v>375</v>
      </c>
      <c r="T31" t="str">
        <f>_xlfn.CONCAT(Sales_Data!C31,"-",Sales_Data!E31,"-",Sales_Data!A31)</f>
        <v>East-C1002-1030</v>
      </c>
      <c r="U31" t="str">
        <f t="shared" si="4"/>
        <v>Regular</v>
      </c>
      <c r="V31" t="str" cm="1">
        <f t="array" ref="V31">_xlfn.IFS(R31&gt;=100000,"Excellent",R31&gt;=50000,"Good",R31&gt;=20000,"Average",TRUE,"Poor")</f>
        <v>Poor</v>
      </c>
      <c r="W31">
        <f t="shared" si="5"/>
        <v>1</v>
      </c>
      <c r="X31" t="str">
        <f t="shared" si="6"/>
        <v>January</v>
      </c>
      <c r="Y31">
        <f>HLOOKUP("Q"&amp;W31,Bonus_HLookup!$A$1:$E$2,2,FALSE)</f>
        <v>0.02</v>
      </c>
      <c r="Z31">
        <f t="shared" si="7"/>
        <v>45055.360000000001</v>
      </c>
      <c r="AA31" s="1">
        <f t="shared" si="8"/>
        <v>14408.890497290671</v>
      </c>
      <c r="AB31">
        <f t="shared" si="9"/>
        <v>923</v>
      </c>
    </row>
    <row r="32" spans="1:28" x14ac:dyDescent="0.3">
      <c r="A32">
        <v>1031</v>
      </c>
      <c r="B32" t="s">
        <v>84</v>
      </c>
      <c r="C32" t="s">
        <v>13</v>
      </c>
      <c r="D32" t="s">
        <v>50</v>
      </c>
      <c r="E32" t="s">
        <v>85</v>
      </c>
      <c r="F32" t="s">
        <v>39</v>
      </c>
      <c r="G32">
        <v>6</v>
      </c>
      <c r="H32">
        <v>7000</v>
      </c>
      <c r="I32">
        <v>8</v>
      </c>
      <c r="J32">
        <v>148793</v>
      </c>
      <c r="K32">
        <v>10</v>
      </c>
      <c r="L32">
        <v>3</v>
      </c>
      <c r="M32" t="str">
        <f>VLOOKUP(Sales_Data!F32,Product_Master!$A$2:$D$11,2)</f>
        <v>Router</v>
      </c>
      <c r="N32" t="str">
        <f>VLOOKUP(F32,Product_Master!$A$2:$C$11,3)</f>
        <v>Electronics</v>
      </c>
      <c r="O32">
        <f>VLOOKUP(F32,Product_Master!$A$2:$D$11,4,FALSE)</f>
        <v>5000</v>
      </c>
      <c r="P32">
        <f t="shared" si="0"/>
        <v>42000</v>
      </c>
      <c r="Q32">
        <f t="shared" si="1"/>
        <v>3360</v>
      </c>
      <c r="R32">
        <f t="shared" si="2"/>
        <v>38640</v>
      </c>
      <c r="S32">
        <f t="shared" si="3"/>
        <v>8640</v>
      </c>
      <c r="T32" t="str">
        <f>_xlfn.CONCAT(Sales_Data!C32,"-",Sales_Data!E32,"-",Sales_Data!A32)</f>
        <v>West-C1005-1031</v>
      </c>
      <c r="U32" t="str">
        <f t="shared" si="4"/>
        <v>Regular</v>
      </c>
      <c r="V32" t="str" cm="1">
        <f t="array" ref="V32">_xlfn.IFS(R32&gt;=100000,"Excellent",R32&gt;=50000,"Good",R32&gt;=20000,"Average",TRUE,"Poor")</f>
        <v>Average</v>
      </c>
      <c r="W32">
        <f t="shared" si="5"/>
        <v>3</v>
      </c>
      <c r="X32" t="str">
        <f t="shared" si="6"/>
        <v>August</v>
      </c>
      <c r="Y32">
        <f>HLOOKUP("Q"&amp;W32,Bonus_HLookup!$A$1:$E$2,2,FALSE)</f>
        <v>0.06</v>
      </c>
      <c r="Z32">
        <f t="shared" si="7"/>
        <v>44637.9</v>
      </c>
      <c r="AA32" s="1">
        <f t="shared" si="8"/>
        <v>4801.1315841326605</v>
      </c>
      <c r="AB32">
        <f t="shared" si="9"/>
        <v>338</v>
      </c>
    </row>
    <row r="33" spans="1:28" x14ac:dyDescent="0.3">
      <c r="A33">
        <v>1032</v>
      </c>
      <c r="B33" t="s">
        <v>86</v>
      </c>
      <c r="C33" t="s">
        <v>62</v>
      </c>
      <c r="D33" t="s">
        <v>59</v>
      </c>
      <c r="E33" t="s">
        <v>24</v>
      </c>
      <c r="F33" t="s">
        <v>16</v>
      </c>
      <c r="G33">
        <v>8</v>
      </c>
      <c r="H33">
        <v>2500</v>
      </c>
      <c r="I33">
        <v>5</v>
      </c>
      <c r="J33">
        <v>134960</v>
      </c>
      <c r="K33">
        <v>8</v>
      </c>
      <c r="L33">
        <v>5</v>
      </c>
      <c r="M33" t="str">
        <f>VLOOKUP(Sales_Data!F33,Product_Master!$A$2:$D$11,2)</f>
        <v>Speaker</v>
      </c>
      <c r="N33" t="str">
        <f>VLOOKUP(F33,Product_Master!$A$2:$C$11,3)</f>
        <v>Accessories</v>
      </c>
      <c r="O33">
        <f>VLOOKUP(F33,Product_Master!$A$2:$D$11,4,FALSE)</f>
        <v>1800</v>
      </c>
      <c r="P33">
        <f t="shared" si="0"/>
        <v>20000</v>
      </c>
      <c r="Q33">
        <f t="shared" si="1"/>
        <v>1000</v>
      </c>
      <c r="R33">
        <f t="shared" si="2"/>
        <v>19000</v>
      </c>
      <c r="S33">
        <f t="shared" si="3"/>
        <v>4600</v>
      </c>
      <c r="T33" t="str">
        <f>_xlfn.CONCAT(Sales_Data!C33,"-",Sales_Data!E33,"-",Sales_Data!A33)</f>
        <v>East-C1029-1032</v>
      </c>
      <c r="U33" t="str">
        <f t="shared" si="4"/>
        <v>Regular</v>
      </c>
      <c r="V33" t="str" cm="1">
        <f t="array" ref="V33">_xlfn.IFS(R33&gt;=100000,"Excellent",R33&gt;=50000,"Good",R33&gt;=20000,"Average",TRUE,"Poor")</f>
        <v>Poor</v>
      </c>
      <c r="W33">
        <f t="shared" si="5"/>
        <v>1</v>
      </c>
      <c r="X33" t="str">
        <f t="shared" si="6"/>
        <v>March</v>
      </c>
      <c r="Y33">
        <f>HLOOKUP("Q"&amp;W33,Bonus_HLookup!$A$1:$E$2,2,FALSE)</f>
        <v>0.02</v>
      </c>
      <c r="Z33">
        <f t="shared" si="7"/>
        <v>53984</v>
      </c>
      <c r="AA33" s="1">
        <f t="shared" si="8"/>
        <v>2736.5021731643101</v>
      </c>
      <c r="AB33">
        <f t="shared" si="9"/>
        <v>465</v>
      </c>
    </row>
    <row r="34" spans="1:28" x14ac:dyDescent="0.3">
      <c r="A34">
        <v>1033</v>
      </c>
      <c r="B34" t="s">
        <v>87</v>
      </c>
      <c r="C34" t="s">
        <v>30</v>
      </c>
      <c r="D34" t="s">
        <v>46</v>
      </c>
      <c r="E34" t="s">
        <v>66</v>
      </c>
      <c r="F34" t="s">
        <v>42</v>
      </c>
      <c r="G34">
        <v>5</v>
      </c>
      <c r="H34">
        <v>8000</v>
      </c>
      <c r="I34">
        <v>12</v>
      </c>
      <c r="J34">
        <v>129967</v>
      </c>
      <c r="K34">
        <v>11</v>
      </c>
      <c r="L34">
        <v>1</v>
      </c>
      <c r="M34" t="str">
        <f>VLOOKUP(Sales_Data!F34,Product_Master!$A$2:$D$11,2)</f>
        <v>Printer</v>
      </c>
      <c r="N34" t="str">
        <f>VLOOKUP(F34,Product_Master!$A$2:$C$11,3)</f>
        <v>Electronics</v>
      </c>
      <c r="O34">
        <f>VLOOKUP(F34,Product_Master!$A$2:$D$11,4,FALSE)</f>
        <v>6500</v>
      </c>
      <c r="P34">
        <f t="shared" si="0"/>
        <v>40000</v>
      </c>
      <c r="Q34">
        <f t="shared" si="1"/>
        <v>4800</v>
      </c>
      <c r="R34">
        <f t="shared" si="2"/>
        <v>35200</v>
      </c>
      <c r="S34">
        <f t="shared" si="3"/>
        <v>2700</v>
      </c>
      <c r="T34" t="str">
        <f>_xlfn.CONCAT(Sales_Data!C34,"-",Sales_Data!E34,"-",Sales_Data!A34)</f>
        <v>South-C1010-1033</v>
      </c>
      <c r="U34" t="str">
        <f t="shared" si="4"/>
        <v>Regular</v>
      </c>
      <c r="V34" t="str" cm="1">
        <f t="array" ref="V34">_xlfn.IFS(R34&gt;=100000,"Excellent",R34&gt;=50000,"Good",R34&gt;=20000,"Average",TRUE,"Poor")</f>
        <v>Average</v>
      </c>
      <c r="W34">
        <f t="shared" si="5"/>
        <v>3</v>
      </c>
      <c r="X34" t="str">
        <f t="shared" si="6"/>
        <v>September</v>
      </c>
      <c r="Y34">
        <f>HLOOKUP("Q"&amp;W34,Bonus_HLookup!$A$1:$E$2,2,FALSE)</f>
        <v>0.06</v>
      </c>
      <c r="Z34">
        <f t="shared" si="7"/>
        <v>14296.37</v>
      </c>
      <c r="AA34" s="1">
        <f t="shared" si="8"/>
        <v>11486.699013077312</v>
      </c>
      <c r="AB34">
        <f t="shared" si="9"/>
        <v>350</v>
      </c>
    </row>
    <row r="35" spans="1:28" x14ac:dyDescent="0.3">
      <c r="A35">
        <v>1034</v>
      </c>
      <c r="B35" t="s">
        <v>88</v>
      </c>
      <c r="C35" t="s">
        <v>62</v>
      </c>
      <c r="D35" t="s">
        <v>46</v>
      </c>
      <c r="E35" t="s">
        <v>89</v>
      </c>
      <c r="F35" t="s">
        <v>52</v>
      </c>
      <c r="G35">
        <v>6</v>
      </c>
      <c r="H35">
        <v>500</v>
      </c>
      <c r="I35">
        <v>0</v>
      </c>
      <c r="J35">
        <v>175210</v>
      </c>
      <c r="K35">
        <v>8</v>
      </c>
      <c r="L35">
        <v>4</v>
      </c>
      <c r="M35" t="str">
        <f>VLOOKUP(Sales_Data!F35,Product_Master!$A$2:$D$11,2)</f>
        <v>Mouse</v>
      </c>
      <c r="N35" t="str">
        <f>VLOOKUP(F35,Product_Master!$A$2:$C$11,3)</f>
        <v>Accessories</v>
      </c>
      <c r="O35">
        <f>VLOOKUP(F35,Product_Master!$A$2:$D$11,4,FALSE)</f>
        <v>350</v>
      </c>
      <c r="P35">
        <f t="shared" si="0"/>
        <v>3000</v>
      </c>
      <c r="Q35">
        <f t="shared" si="1"/>
        <v>0</v>
      </c>
      <c r="R35">
        <f t="shared" si="2"/>
        <v>3000</v>
      </c>
      <c r="S35">
        <f t="shared" si="3"/>
        <v>900</v>
      </c>
      <c r="T35" t="str">
        <f>_xlfn.CONCAT(Sales_Data!C35,"-",Sales_Data!E35,"-",Sales_Data!A35)</f>
        <v>East-C1022-1034</v>
      </c>
      <c r="U35" t="str">
        <f t="shared" si="4"/>
        <v>Regular</v>
      </c>
      <c r="V35" t="str" cm="1">
        <f t="array" ref="V35">_xlfn.IFS(R35&gt;=100000,"Excellent",R35&gt;=50000,"Good",R35&gt;=20000,"Average",TRUE,"Poor")</f>
        <v>Poor</v>
      </c>
      <c r="W35">
        <f t="shared" si="5"/>
        <v>2</v>
      </c>
      <c r="X35" t="str">
        <f t="shared" si="6"/>
        <v>May</v>
      </c>
      <c r="Y35">
        <f>HLOOKUP("Q"&amp;W35,Bonus_HLookup!$A$1:$E$2,2,FALSE)</f>
        <v>0.04</v>
      </c>
      <c r="Z35">
        <f t="shared" si="7"/>
        <v>56067.199999999997</v>
      </c>
      <c r="AA35" s="1">
        <f t="shared" si="8"/>
        <v>4277.3881234546507</v>
      </c>
      <c r="AB35">
        <f t="shared" si="9"/>
        <v>877</v>
      </c>
    </row>
    <row r="36" spans="1:28" x14ac:dyDescent="0.3">
      <c r="A36">
        <v>1035</v>
      </c>
      <c r="B36" t="s">
        <v>90</v>
      </c>
      <c r="C36" t="s">
        <v>62</v>
      </c>
      <c r="D36" t="s">
        <v>91</v>
      </c>
      <c r="E36" t="s">
        <v>51</v>
      </c>
      <c r="F36" t="s">
        <v>69</v>
      </c>
      <c r="G36">
        <v>9</v>
      </c>
      <c r="H36">
        <v>2000</v>
      </c>
      <c r="I36">
        <v>8</v>
      </c>
      <c r="J36">
        <v>237465</v>
      </c>
      <c r="K36">
        <v>10</v>
      </c>
      <c r="L36">
        <v>1</v>
      </c>
      <c r="M36" t="str">
        <f>VLOOKUP(Sales_Data!F36,Product_Master!$A$2:$D$11,2)</f>
        <v>Headset</v>
      </c>
      <c r="N36" t="str">
        <f>VLOOKUP(F36,Product_Master!$A$2:$C$11,3)</f>
        <v>Accessories</v>
      </c>
      <c r="O36">
        <f>VLOOKUP(F36,Product_Master!$A$2:$D$11,4,FALSE)</f>
        <v>1500</v>
      </c>
      <c r="P36">
        <f t="shared" si="0"/>
        <v>18000</v>
      </c>
      <c r="Q36">
        <f t="shared" si="1"/>
        <v>1440</v>
      </c>
      <c r="R36">
        <f t="shared" si="2"/>
        <v>16560</v>
      </c>
      <c r="S36">
        <f t="shared" si="3"/>
        <v>3060</v>
      </c>
      <c r="T36" t="str">
        <f>_xlfn.CONCAT(Sales_Data!C36,"-",Sales_Data!E36,"-",Sales_Data!A36)</f>
        <v>East-C1002-1035</v>
      </c>
      <c r="U36" t="str">
        <f t="shared" si="4"/>
        <v>Regular</v>
      </c>
      <c r="V36" t="str" cm="1">
        <f t="array" ref="V36">_xlfn.IFS(R36&gt;=100000,"Excellent",R36&gt;=50000,"Good",R36&gt;=20000,"Average",TRUE,"Poor")</f>
        <v>Poor</v>
      </c>
      <c r="W36">
        <f t="shared" si="5"/>
        <v>2</v>
      </c>
      <c r="X36" t="str">
        <f t="shared" si="6"/>
        <v>May</v>
      </c>
      <c r="Y36">
        <f>HLOOKUP("Q"&amp;W36,Bonus_HLookup!$A$1:$E$2,2,FALSE)</f>
        <v>0.04</v>
      </c>
      <c r="Z36">
        <f t="shared" si="7"/>
        <v>23746.5</v>
      </c>
      <c r="AA36" s="1">
        <f t="shared" si="8"/>
        <v>20876.946161074229</v>
      </c>
      <c r="AB36">
        <f t="shared" si="9"/>
        <v>508</v>
      </c>
    </row>
    <row r="37" spans="1:28" x14ac:dyDescent="0.3">
      <c r="A37">
        <v>1036</v>
      </c>
      <c r="B37" t="s">
        <v>92</v>
      </c>
      <c r="C37" t="s">
        <v>30</v>
      </c>
      <c r="D37" t="s">
        <v>50</v>
      </c>
      <c r="E37" t="s">
        <v>57</v>
      </c>
      <c r="F37" t="s">
        <v>39</v>
      </c>
      <c r="G37">
        <v>3</v>
      </c>
      <c r="H37">
        <v>7000</v>
      </c>
      <c r="I37">
        <v>2</v>
      </c>
      <c r="J37">
        <v>478324</v>
      </c>
      <c r="K37">
        <v>10</v>
      </c>
      <c r="L37">
        <v>3</v>
      </c>
      <c r="M37" t="str">
        <f>VLOOKUP(Sales_Data!F37,Product_Master!$A$2:$D$11,2)</f>
        <v>Router</v>
      </c>
      <c r="N37" t="str">
        <f>VLOOKUP(F37,Product_Master!$A$2:$C$11,3)</f>
        <v>Electronics</v>
      </c>
      <c r="O37">
        <f>VLOOKUP(F37,Product_Master!$A$2:$D$11,4,FALSE)</f>
        <v>5000</v>
      </c>
      <c r="P37">
        <f t="shared" si="0"/>
        <v>21000</v>
      </c>
      <c r="Q37">
        <f t="shared" si="1"/>
        <v>420</v>
      </c>
      <c r="R37">
        <f t="shared" si="2"/>
        <v>20580</v>
      </c>
      <c r="S37">
        <f t="shared" si="3"/>
        <v>5580</v>
      </c>
      <c r="T37" t="str">
        <f>_xlfn.CONCAT(Sales_Data!C37,"-",Sales_Data!E37,"-",Sales_Data!A37)</f>
        <v>South-C1012-1036</v>
      </c>
      <c r="U37" t="str">
        <f t="shared" si="4"/>
        <v>Regular</v>
      </c>
      <c r="V37" t="str" cm="1">
        <f t="array" ref="V37">_xlfn.IFS(R37&gt;=100000,"Excellent",R37&gt;=50000,"Good",R37&gt;=20000,"Average",TRUE,"Poor")</f>
        <v>Average</v>
      </c>
      <c r="W37">
        <f t="shared" si="5"/>
        <v>2</v>
      </c>
      <c r="X37" t="str">
        <f t="shared" si="6"/>
        <v>May</v>
      </c>
      <c r="Y37">
        <f>HLOOKUP("Q"&amp;W37,Bonus_HLookup!$A$1:$E$2,2,FALSE)</f>
        <v>0.04</v>
      </c>
      <c r="Z37">
        <f t="shared" si="7"/>
        <v>143497.20000000001</v>
      </c>
      <c r="AA37" s="1">
        <f t="shared" si="8"/>
        <v>15434.170047305121</v>
      </c>
      <c r="AB37">
        <f t="shared" si="9"/>
        <v>442</v>
      </c>
    </row>
    <row r="38" spans="1:28" x14ac:dyDescent="0.3">
      <c r="A38">
        <v>1037</v>
      </c>
      <c r="B38" t="s">
        <v>93</v>
      </c>
      <c r="C38" t="s">
        <v>62</v>
      </c>
      <c r="D38" t="s">
        <v>23</v>
      </c>
      <c r="E38" t="s">
        <v>94</v>
      </c>
      <c r="F38" t="s">
        <v>52</v>
      </c>
      <c r="G38">
        <v>8</v>
      </c>
      <c r="H38">
        <v>500</v>
      </c>
      <c r="I38">
        <v>2</v>
      </c>
      <c r="J38">
        <v>321699</v>
      </c>
      <c r="K38">
        <v>9</v>
      </c>
      <c r="L38">
        <v>5</v>
      </c>
      <c r="M38" t="str">
        <f>VLOOKUP(Sales_Data!F38,Product_Master!$A$2:$D$11,2)</f>
        <v>Mouse</v>
      </c>
      <c r="N38" t="str">
        <f>VLOOKUP(F38,Product_Master!$A$2:$C$11,3)</f>
        <v>Accessories</v>
      </c>
      <c r="O38">
        <f>VLOOKUP(F38,Product_Master!$A$2:$D$11,4,FALSE)</f>
        <v>350</v>
      </c>
      <c r="P38">
        <f t="shared" si="0"/>
        <v>4000</v>
      </c>
      <c r="Q38">
        <f t="shared" si="1"/>
        <v>80</v>
      </c>
      <c r="R38">
        <f t="shared" si="2"/>
        <v>3920</v>
      </c>
      <c r="S38">
        <f t="shared" si="3"/>
        <v>1120</v>
      </c>
      <c r="T38" t="str">
        <f>_xlfn.CONCAT(Sales_Data!C38,"-",Sales_Data!E38,"-",Sales_Data!A38)</f>
        <v>East-C1027-1037</v>
      </c>
      <c r="U38" t="str">
        <f t="shared" si="4"/>
        <v>Regular</v>
      </c>
      <c r="V38" t="str" cm="1">
        <f t="array" ref="V38">_xlfn.IFS(R38&gt;=100000,"Excellent",R38&gt;=50000,"Good",R38&gt;=20000,"Average",TRUE,"Poor")</f>
        <v>Poor</v>
      </c>
      <c r="W38">
        <f t="shared" si="5"/>
        <v>4</v>
      </c>
      <c r="X38" t="str">
        <f t="shared" si="6"/>
        <v>November</v>
      </c>
      <c r="Y38">
        <f>HLOOKUP("Q"&amp;W38,Bonus_HLookup!$A$1:$E$2,2,FALSE)</f>
        <v>0.08</v>
      </c>
      <c r="Z38">
        <f t="shared" si="7"/>
        <v>144764.54999999999</v>
      </c>
      <c r="AA38" s="1">
        <f t="shared" si="8"/>
        <v>6677.942117962858</v>
      </c>
      <c r="AB38">
        <f t="shared" si="9"/>
        <v>846</v>
      </c>
    </row>
    <row r="39" spans="1:28" x14ac:dyDescent="0.3">
      <c r="A39">
        <v>1038</v>
      </c>
      <c r="B39" t="s">
        <v>95</v>
      </c>
      <c r="C39" t="s">
        <v>18</v>
      </c>
      <c r="D39" t="s">
        <v>50</v>
      </c>
      <c r="E39" t="s">
        <v>15</v>
      </c>
      <c r="F39" t="s">
        <v>28</v>
      </c>
      <c r="G39">
        <v>1</v>
      </c>
      <c r="H39">
        <v>950</v>
      </c>
      <c r="I39">
        <v>15</v>
      </c>
      <c r="J39">
        <v>79743</v>
      </c>
      <c r="K39">
        <v>12</v>
      </c>
      <c r="L39">
        <v>5</v>
      </c>
      <c r="M39" t="str">
        <f>VLOOKUP(Sales_Data!F39,Product_Master!$A$2:$D$11,2)</f>
        <v>Webcam</v>
      </c>
      <c r="N39" t="str">
        <f>VLOOKUP(F39,Product_Master!$A$2:$C$11,3)</f>
        <v>Accessories</v>
      </c>
      <c r="O39">
        <f>VLOOKUP(F39,Product_Master!$A$2:$D$11,4,FALSE)</f>
        <v>700</v>
      </c>
      <c r="P39">
        <f t="shared" si="0"/>
        <v>950</v>
      </c>
      <c r="Q39">
        <f t="shared" si="1"/>
        <v>142.5</v>
      </c>
      <c r="R39">
        <f t="shared" si="2"/>
        <v>807.5</v>
      </c>
      <c r="S39">
        <f t="shared" si="3"/>
        <v>107.5</v>
      </c>
      <c r="T39" t="str">
        <f>_xlfn.CONCAT(Sales_Data!C39,"-",Sales_Data!E39,"-",Sales_Data!A39)</f>
        <v>North-C1016-1038</v>
      </c>
      <c r="U39" t="str">
        <f t="shared" si="4"/>
        <v>Regular</v>
      </c>
      <c r="V39" t="str" cm="1">
        <f t="array" ref="V39">_xlfn.IFS(R39&gt;=100000,"Excellent",R39&gt;=50000,"Good",R39&gt;=20000,"Average",TRUE,"Poor")</f>
        <v>Poor</v>
      </c>
      <c r="W39">
        <f t="shared" si="5"/>
        <v>1</v>
      </c>
      <c r="X39" t="str">
        <f t="shared" si="6"/>
        <v>March</v>
      </c>
      <c r="Y39">
        <f>HLOOKUP("Q"&amp;W39,Bonus_HLookup!$A$1:$E$2,2,FALSE)</f>
        <v>0.02</v>
      </c>
      <c r="Z39">
        <f t="shared" si="7"/>
        <v>47845.8</v>
      </c>
      <c r="AA39" s="1">
        <f t="shared" si="8"/>
        <v>1773.8389917371221</v>
      </c>
      <c r="AB39">
        <f t="shared" si="9"/>
        <v>991</v>
      </c>
    </row>
    <row r="40" spans="1:28" x14ac:dyDescent="0.3">
      <c r="A40">
        <v>1039</v>
      </c>
      <c r="B40" t="s">
        <v>96</v>
      </c>
      <c r="C40" t="s">
        <v>18</v>
      </c>
      <c r="D40" t="s">
        <v>19</v>
      </c>
      <c r="E40" t="s">
        <v>73</v>
      </c>
      <c r="F40" t="s">
        <v>25</v>
      </c>
      <c r="G40">
        <v>6</v>
      </c>
      <c r="H40">
        <v>1500</v>
      </c>
      <c r="I40">
        <v>2</v>
      </c>
      <c r="J40">
        <v>398253</v>
      </c>
      <c r="K40">
        <v>7</v>
      </c>
      <c r="L40">
        <v>5</v>
      </c>
      <c r="M40" t="str">
        <f>VLOOKUP(Sales_Data!F40,Product_Master!$A$2:$D$11,2)</f>
        <v>Keyboard</v>
      </c>
      <c r="N40" t="str">
        <f>VLOOKUP(F40,Product_Master!$A$2:$C$11,3)</f>
        <v>Accessories</v>
      </c>
      <c r="O40">
        <f>VLOOKUP(F40,Product_Master!$A$2:$D$11,4,FALSE)</f>
        <v>1200</v>
      </c>
      <c r="P40">
        <f t="shared" si="0"/>
        <v>9000</v>
      </c>
      <c r="Q40">
        <f t="shared" si="1"/>
        <v>180</v>
      </c>
      <c r="R40">
        <f t="shared" si="2"/>
        <v>8820</v>
      </c>
      <c r="S40">
        <f t="shared" si="3"/>
        <v>1620</v>
      </c>
      <c r="T40" t="str">
        <f>_xlfn.CONCAT(Sales_Data!C40,"-",Sales_Data!E40,"-",Sales_Data!A40)</f>
        <v>North-C1014-1039</v>
      </c>
      <c r="U40" t="str">
        <f t="shared" si="4"/>
        <v>Regular</v>
      </c>
      <c r="V40" t="str" cm="1">
        <f t="array" ref="V40">_xlfn.IFS(R40&gt;=100000,"Excellent",R40&gt;=50000,"Good",R40&gt;=20000,"Average",TRUE,"Poor")</f>
        <v>Poor</v>
      </c>
      <c r="W40">
        <f t="shared" si="5"/>
        <v>2</v>
      </c>
      <c r="X40" t="str">
        <f t="shared" si="6"/>
        <v>April</v>
      </c>
      <c r="Y40">
        <f>HLOOKUP("Q"&amp;W40,Bonus_HLookup!$A$1:$E$2,2,FALSE)</f>
        <v>0.04</v>
      </c>
      <c r="Z40">
        <f t="shared" si="7"/>
        <v>139388.54999999999</v>
      </c>
      <c r="AA40" s="1">
        <f t="shared" si="8"/>
        <v>7885.8867222898234</v>
      </c>
      <c r="AB40">
        <f t="shared" si="9"/>
        <v>669</v>
      </c>
    </row>
    <row r="41" spans="1:28" x14ac:dyDescent="0.3">
      <c r="A41">
        <v>1040</v>
      </c>
      <c r="B41" t="s">
        <v>97</v>
      </c>
      <c r="C41" t="s">
        <v>30</v>
      </c>
      <c r="D41" t="s">
        <v>19</v>
      </c>
      <c r="E41" t="s">
        <v>71</v>
      </c>
      <c r="F41" t="s">
        <v>28</v>
      </c>
      <c r="G41">
        <v>1</v>
      </c>
      <c r="H41">
        <v>950</v>
      </c>
      <c r="I41">
        <v>15</v>
      </c>
      <c r="J41">
        <v>355591</v>
      </c>
      <c r="K41">
        <v>8</v>
      </c>
      <c r="L41">
        <v>1</v>
      </c>
      <c r="M41" t="str">
        <f>VLOOKUP(Sales_Data!F41,Product_Master!$A$2:$D$11,2)</f>
        <v>Webcam</v>
      </c>
      <c r="N41" t="str">
        <f>VLOOKUP(F41,Product_Master!$A$2:$C$11,3)</f>
        <v>Accessories</v>
      </c>
      <c r="O41">
        <f>VLOOKUP(F41,Product_Master!$A$2:$D$11,4,FALSE)</f>
        <v>700</v>
      </c>
      <c r="P41">
        <f t="shared" si="0"/>
        <v>950</v>
      </c>
      <c r="Q41">
        <f t="shared" si="1"/>
        <v>142.5</v>
      </c>
      <c r="R41">
        <f t="shared" si="2"/>
        <v>807.5</v>
      </c>
      <c r="S41">
        <f t="shared" si="3"/>
        <v>107.5</v>
      </c>
      <c r="T41" t="str">
        <f>_xlfn.CONCAT(Sales_Data!C41,"-",Sales_Data!E41,"-",Sales_Data!A41)</f>
        <v>South-C1019-1040</v>
      </c>
      <c r="U41" t="str">
        <f t="shared" si="4"/>
        <v>Regular</v>
      </c>
      <c r="V41" t="str" cm="1">
        <f t="array" ref="V41">_xlfn.IFS(R41&gt;=100000,"Excellent",R41&gt;=50000,"Good",R41&gt;=20000,"Average",TRUE,"Poor")</f>
        <v>Poor</v>
      </c>
      <c r="W41">
        <f t="shared" si="5"/>
        <v>3</v>
      </c>
      <c r="X41" t="str">
        <f t="shared" si="6"/>
        <v>July</v>
      </c>
      <c r="Y41">
        <f>HLOOKUP("Q"&amp;W41,Bonus_HLookup!$A$1:$E$2,2,FALSE)</f>
        <v>0.06</v>
      </c>
      <c r="Z41">
        <f t="shared" si="7"/>
        <v>28447.279999999999</v>
      </c>
      <c r="AA41" s="1">
        <f t="shared" si="8"/>
        <v>30932.302486913963</v>
      </c>
      <c r="AB41">
        <f t="shared" si="9"/>
        <v>991</v>
      </c>
    </row>
    <row r="42" spans="1:28" x14ac:dyDescent="0.3">
      <c r="A42">
        <v>1041</v>
      </c>
      <c r="B42" t="s">
        <v>61</v>
      </c>
      <c r="C42" t="s">
        <v>30</v>
      </c>
      <c r="D42" t="s">
        <v>23</v>
      </c>
      <c r="E42" t="s">
        <v>82</v>
      </c>
      <c r="F42" t="s">
        <v>69</v>
      </c>
      <c r="G42">
        <v>4</v>
      </c>
      <c r="H42">
        <v>2000</v>
      </c>
      <c r="I42">
        <v>15</v>
      </c>
      <c r="J42">
        <v>441609</v>
      </c>
      <c r="K42">
        <v>11</v>
      </c>
      <c r="L42">
        <v>2</v>
      </c>
      <c r="M42" t="str">
        <f>VLOOKUP(Sales_Data!F42,Product_Master!$A$2:$D$11,2)</f>
        <v>Headset</v>
      </c>
      <c r="N42" t="str">
        <f>VLOOKUP(F42,Product_Master!$A$2:$C$11,3)</f>
        <v>Accessories</v>
      </c>
      <c r="O42">
        <f>VLOOKUP(F42,Product_Master!$A$2:$D$11,4,FALSE)</f>
        <v>1500</v>
      </c>
      <c r="P42">
        <f t="shared" si="0"/>
        <v>8000</v>
      </c>
      <c r="Q42">
        <f t="shared" si="1"/>
        <v>1200</v>
      </c>
      <c r="R42">
        <f t="shared" si="2"/>
        <v>6800</v>
      </c>
      <c r="S42">
        <f t="shared" si="3"/>
        <v>800</v>
      </c>
      <c r="T42" t="str">
        <f>_xlfn.CONCAT(Sales_Data!C42,"-",Sales_Data!E42,"-",Sales_Data!A42)</f>
        <v>South-C1045-1041</v>
      </c>
      <c r="U42" t="str">
        <f t="shared" si="4"/>
        <v>Regular</v>
      </c>
      <c r="V42" t="str" cm="1">
        <f t="array" ref="V42">_xlfn.IFS(R42&gt;=100000,"Excellent",R42&gt;=50000,"Good",R42&gt;=20000,"Average",TRUE,"Poor")</f>
        <v>Poor</v>
      </c>
      <c r="W42">
        <f t="shared" si="5"/>
        <v>1</v>
      </c>
      <c r="X42" t="str">
        <f t="shared" si="6"/>
        <v>March</v>
      </c>
      <c r="Y42">
        <f>HLOOKUP("Q"&amp;W42,Bonus_HLookup!$A$1:$E$2,2,FALSE)</f>
        <v>0.02</v>
      </c>
      <c r="Z42">
        <f t="shared" si="7"/>
        <v>97153.98</v>
      </c>
      <c r="AA42" s="1">
        <f t="shared" si="8"/>
        <v>20582.440818129235</v>
      </c>
      <c r="AB42">
        <f t="shared" si="9"/>
        <v>729</v>
      </c>
    </row>
    <row r="43" spans="1:28" x14ac:dyDescent="0.3">
      <c r="A43">
        <v>1042</v>
      </c>
      <c r="B43" t="s">
        <v>98</v>
      </c>
      <c r="C43" t="s">
        <v>30</v>
      </c>
      <c r="D43" t="s">
        <v>91</v>
      </c>
      <c r="E43" t="s">
        <v>99</v>
      </c>
      <c r="F43" t="s">
        <v>52</v>
      </c>
      <c r="G43">
        <v>4</v>
      </c>
      <c r="H43">
        <v>500</v>
      </c>
      <c r="I43">
        <v>8</v>
      </c>
      <c r="J43">
        <v>461032</v>
      </c>
      <c r="K43">
        <v>11</v>
      </c>
      <c r="L43">
        <v>4</v>
      </c>
      <c r="M43" t="str">
        <f>VLOOKUP(Sales_Data!F43,Product_Master!$A$2:$D$11,2)</f>
        <v>Mouse</v>
      </c>
      <c r="N43" t="str">
        <f>VLOOKUP(F43,Product_Master!$A$2:$C$11,3)</f>
        <v>Accessories</v>
      </c>
      <c r="O43">
        <f>VLOOKUP(F43,Product_Master!$A$2:$D$11,4,FALSE)</f>
        <v>350</v>
      </c>
      <c r="P43">
        <f t="shared" si="0"/>
        <v>2000</v>
      </c>
      <c r="Q43">
        <f t="shared" si="1"/>
        <v>160</v>
      </c>
      <c r="R43">
        <f t="shared" si="2"/>
        <v>1840</v>
      </c>
      <c r="S43">
        <f t="shared" si="3"/>
        <v>440</v>
      </c>
      <c r="T43" t="str">
        <f>_xlfn.CONCAT(Sales_Data!C43,"-",Sales_Data!E43,"-",Sales_Data!A43)</f>
        <v>South-C1050-1042</v>
      </c>
      <c r="U43" t="str">
        <f t="shared" si="4"/>
        <v>Regular</v>
      </c>
      <c r="V43" t="str" cm="1">
        <f t="array" ref="V43">_xlfn.IFS(R43&gt;=100000,"Excellent",R43&gt;=50000,"Good",R43&gt;=20000,"Average",TRUE,"Poor")</f>
        <v>Poor</v>
      </c>
      <c r="W43">
        <f t="shared" si="5"/>
        <v>4</v>
      </c>
      <c r="X43" t="str">
        <f t="shared" si="6"/>
        <v>December</v>
      </c>
      <c r="Y43">
        <f>HLOOKUP("Q"&amp;W43,Bonus_HLookup!$A$1:$E$2,2,FALSE)</f>
        <v>0.08</v>
      </c>
      <c r="Z43">
        <f t="shared" si="7"/>
        <v>202854.08</v>
      </c>
      <c r="AA43" s="1">
        <f t="shared" si="8"/>
        <v>11915.612980603313</v>
      </c>
      <c r="AB43">
        <f t="shared" si="9"/>
        <v>937</v>
      </c>
    </row>
    <row r="44" spans="1:28" x14ac:dyDescent="0.3">
      <c r="A44">
        <v>1043</v>
      </c>
      <c r="B44" t="s">
        <v>100</v>
      </c>
      <c r="C44" t="s">
        <v>18</v>
      </c>
      <c r="D44" t="s">
        <v>46</v>
      </c>
      <c r="E44" t="s">
        <v>71</v>
      </c>
      <c r="F44" t="s">
        <v>69</v>
      </c>
      <c r="G44">
        <v>10</v>
      </c>
      <c r="H44">
        <v>2000</v>
      </c>
      <c r="I44">
        <v>0</v>
      </c>
      <c r="J44">
        <v>81417</v>
      </c>
      <c r="K44">
        <v>9</v>
      </c>
      <c r="L44">
        <v>1</v>
      </c>
      <c r="M44" t="str">
        <f>VLOOKUP(Sales_Data!F44,Product_Master!$A$2:$D$11,2)</f>
        <v>Headset</v>
      </c>
      <c r="N44" t="str">
        <f>VLOOKUP(F44,Product_Master!$A$2:$C$11,3)</f>
        <v>Accessories</v>
      </c>
      <c r="O44">
        <f>VLOOKUP(F44,Product_Master!$A$2:$D$11,4,FALSE)</f>
        <v>1500</v>
      </c>
      <c r="P44">
        <f t="shared" si="0"/>
        <v>20000</v>
      </c>
      <c r="Q44">
        <f t="shared" si="1"/>
        <v>0</v>
      </c>
      <c r="R44">
        <f t="shared" si="2"/>
        <v>20000</v>
      </c>
      <c r="S44">
        <f t="shared" si="3"/>
        <v>5000</v>
      </c>
      <c r="T44" t="str">
        <f>_xlfn.CONCAT(Sales_Data!C44,"-",Sales_Data!E44,"-",Sales_Data!A44)</f>
        <v>North-C1019-1043</v>
      </c>
      <c r="U44" t="str">
        <f t="shared" si="4"/>
        <v>Regular</v>
      </c>
      <c r="V44" t="str" cm="1">
        <f t="array" ref="V44">_xlfn.IFS(R44&gt;=100000,"Excellent",R44&gt;=50000,"Good",R44&gt;=20000,"Average",TRUE,"Poor")</f>
        <v>Average</v>
      </c>
      <c r="W44">
        <f t="shared" si="5"/>
        <v>2</v>
      </c>
      <c r="X44" t="str">
        <f t="shared" si="6"/>
        <v>April</v>
      </c>
      <c r="Y44">
        <f>HLOOKUP("Q"&amp;W44,Bonus_HLookup!$A$1:$E$2,2,FALSE)</f>
        <v>0.04</v>
      </c>
      <c r="Z44">
        <f t="shared" si="7"/>
        <v>7327.53</v>
      </c>
      <c r="AA44" s="1">
        <f t="shared" si="8"/>
        <v>7120.0368841766931</v>
      </c>
      <c r="AB44">
        <f t="shared" si="9"/>
        <v>453</v>
      </c>
    </row>
    <row r="45" spans="1:28" x14ac:dyDescent="0.3">
      <c r="A45">
        <v>1044</v>
      </c>
      <c r="B45" t="s">
        <v>101</v>
      </c>
      <c r="C45" t="s">
        <v>13</v>
      </c>
      <c r="D45" t="s">
        <v>46</v>
      </c>
      <c r="E45" t="s">
        <v>102</v>
      </c>
      <c r="F45" t="s">
        <v>21</v>
      </c>
      <c r="G45">
        <v>3</v>
      </c>
      <c r="H45">
        <v>12000</v>
      </c>
      <c r="I45">
        <v>5</v>
      </c>
      <c r="J45">
        <v>118777</v>
      </c>
      <c r="K45">
        <v>8</v>
      </c>
      <c r="L45">
        <v>1</v>
      </c>
      <c r="M45" t="str">
        <f>VLOOKUP(Sales_Data!F45,Product_Master!$A$2:$D$11,2)</f>
        <v>Monitor</v>
      </c>
      <c r="N45" t="str">
        <f>VLOOKUP(F45,Product_Master!$A$2:$C$11,3)</f>
        <v>Electronics</v>
      </c>
      <c r="O45">
        <f>VLOOKUP(F45,Product_Master!$A$2:$D$11,4,FALSE)</f>
        <v>9000</v>
      </c>
      <c r="P45">
        <f t="shared" si="0"/>
        <v>36000</v>
      </c>
      <c r="Q45">
        <f t="shared" si="1"/>
        <v>1800</v>
      </c>
      <c r="R45">
        <f t="shared" si="2"/>
        <v>34200</v>
      </c>
      <c r="S45">
        <f t="shared" si="3"/>
        <v>7200</v>
      </c>
      <c r="T45" t="str">
        <f>_xlfn.CONCAT(Sales_Data!C45,"-",Sales_Data!E45,"-",Sales_Data!A45)</f>
        <v>West-C1049-1044</v>
      </c>
      <c r="U45" t="str">
        <f t="shared" si="4"/>
        <v>Regular</v>
      </c>
      <c r="V45" t="str" cm="1">
        <f t="array" ref="V45">_xlfn.IFS(R45&gt;=100000,"Excellent",R45&gt;=50000,"Good",R45&gt;=20000,"Average",TRUE,"Poor")</f>
        <v>Average</v>
      </c>
      <c r="W45">
        <f t="shared" si="5"/>
        <v>4</v>
      </c>
      <c r="X45" t="str">
        <f t="shared" si="6"/>
        <v>October</v>
      </c>
      <c r="Y45">
        <f>HLOOKUP("Q"&amp;W45,Bonus_HLookup!$A$1:$E$2,2,FALSE)</f>
        <v>0.08</v>
      </c>
      <c r="Z45">
        <f t="shared" si="7"/>
        <v>9502.16</v>
      </c>
      <c r="AA45" s="1">
        <f t="shared" si="8"/>
        <v>10332.224641479057</v>
      </c>
      <c r="AB45">
        <f t="shared" si="9"/>
        <v>355</v>
      </c>
    </row>
    <row r="46" spans="1:28" x14ac:dyDescent="0.3">
      <c r="A46">
        <v>1045</v>
      </c>
      <c r="B46" t="s">
        <v>103</v>
      </c>
      <c r="C46" t="s">
        <v>13</v>
      </c>
      <c r="D46" t="s">
        <v>50</v>
      </c>
      <c r="E46" t="s">
        <v>44</v>
      </c>
      <c r="F46" t="s">
        <v>21</v>
      </c>
      <c r="G46">
        <v>10</v>
      </c>
      <c r="H46">
        <v>12000</v>
      </c>
      <c r="I46">
        <v>10</v>
      </c>
      <c r="J46">
        <v>469890</v>
      </c>
      <c r="K46">
        <v>11</v>
      </c>
      <c r="L46">
        <v>2</v>
      </c>
      <c r="M46" t="str">
        <f>VLOOKUP(Sales_Data!F46,Product_Master!$A$2:$D$11,2)</f>
        <v>Monitor</v>
      </c>
      <c r="N46" t="str">
        <f>VLOOKUP(F46,Product_Master!$A$2:$C$11,3)</f>
        <v>Electronics</v>
      </c>
      <c r="O46">
        <f>VLOOKUP(F46,Product_Master!$A$2:$D$11,4,FALSE)</f>
        <v>9000</v>
      </c>
      <c r="P46">
        <f t="shared" si="0"/>
        <v>120000</v>
      </c>
      <c r="Q46">
        <f t="shared" si="1"/>
        <v>12000</v>
      </c>
      <c r="R46">
        <f t="shared" si="2"/>
        <v>108000</v>
      </c>
      <c r="S46">
        <f t="shared" si="3"/>
        <v>18000</v>
      </c>
      <c r="T46" t="str">
        <f>_xlfn.CONCAT(Sales_Data!C46,"-",Sales_Data!E46,"-",Sales_Data!A46)</f>
        <v>West-C1028-1045</v>
      </c>
      <c r="U46" t="str">
        <f t="shared" si="4"/>
        <v>High Value</v>
      </c>
      <c r="V46" t="str" cm="1">
        <f t="array" ref="V46">_xlfn.IFS(R46&gt;=100000,"Excellent",R46&gt;=50000,"Good",R46&gt;=20000,"Average",TRUE,"Poor")</f>
        <v>Excellent</v>
      </c>
      <c r="W46">
        <f t="shared" si="5"/>
        <v>3</v>
      </c>
      <c r="X46" t="str">
        <f t="shared" si="6"/>
        <v>September</v>
      </c>
      <c r="Y46">
        <f>HLOOKUP("Q"&amp;W46,Bonus_HLookup!$A$1:$E$2,2,FALSE)</f>
        <v>0.06</v>
      </c>
      <c r="Z46">
        <f t="shared" si="7"/>
        <v>103375.8</v>
      </c>
      <c r="AA46" s="1">
        <f t="shared" si="8"/>
        <v>21900.557090165159</v>
      </c>
      <c r="AB46">
        <f t="shared" si="9"/>
        <v>154</v>
      </c>
    </row>
    <row r="47" spans="1:28" x14ac:dyDescent="0.3">
      <c r="A47">
        <v>1046</v>
      </c>
      <c r="B47" t="s">
        <v>104</v>
      </c>
      <c r="C47" t="s">
        <v>62</v>
      </c>
      <c r="D47" t="s">
        <v>33</v>
      </c>
      <c r="E47" t="s">
        <v>85</v>
      </c>
      <c r="F47" t="s">
        <v>42</v>
      </c>
      <c r="G47">
        <v>7</v>
      </c>
      <c r="H47">
        <v>8000</v>
      </c>
      <c r="I47">
        <v>8</v>
      </c>
      <c r="J47">
        <v>201840</v>
      </c>
      <c r="K47">
        <v>8</v>
      </c>
      <c r="L47">
        <v>1</v>
      </c>
      <c r="M47" t="str">
        <f>VLOOKUP(Sales_Data!F47,Product_Master!$A$2:$D$11,2)</f>
        <v>Printer</v>
      </c>
      <c r="N47" t="str">
        <f>VLOOKUP(F47,Product_Master!$A$2:$C$11,3)</f>
        <v>Electronics</v>
      </c>
      <c r="O47">
        <f>VLOOKUP(F47,Product_Master!$A$2:$D$11,4,FALSE)</f>
        <v>6500</v>
      </c>
      <c r="P47">
        <f t="shared" si="0"/>
        <v>56000</v>
      </c>
      <c r="Q47">
        <f t="shared" si="1"/>
        <v>4480</v>
      </c>
      <c r="R47">
        <f t="shared" si="2"/>
        <v>51520</v>
      </c>
      <c r="S47">
        <f t="shared" si="3"/>
        <v>6020</v>
      </c>
      <c r="T47" t="str">
        <f>_xlfn.CONCAT(Sales_Data!C47,"-",Sales_Data!E47,"-",Sales_Data!A47)</f>
        <v>East-C1005-1046</v>
      </c>
      <c r="U47" t="str">
        <f t="shared" si="4"/>
        <v>High Value</v>
      </c>
      <c r="V47" t="str" cm="1">
        <f t="array" ref="V47">_xlfn.IFS(R47&gt;=100000,"Excellent",R47&gt;=50000,"Good",R47&gt;=20000,"Average",TRUE,"Poor")</f>
        <v>Good</v>
      </c>
      <c r="W47">
        <f t="shared" si="5"/>
        <v>1</v>
      </c>
      <c r="X47" t="str">
        <f t="shared" si="6"/>
        <v>February</v>
      </c>
      <c r="Y47">
        <f>HLOOKUP("Q"&amp;W47,Bonus_HLookup!$A$1:$E$2,2,FALSE)</f>
        <v>0.02</v>
      </c>
      <c r="Z47">
        <f t="shared" si="7"/>
        <v>16147.2</v>
      </c>
      <c r="AA47" s="1">
        <f t="shared" si="8"/>
        <v>17557.744526601389</v>
      </c>
      <c r="AB47">
        <f t="shared" si="9"/>
        <v>287</v>
      </c>
    </row>
    <row r="48" spans="1:28" x14ac:dyDescent="0.3">
      <c r="A48">
        <v>1047</v>
      </c>
      <c r="B48" t="s">
        <v>105</v>
      </c>
      <c r="C48" t="s">
        <v>62</v>
      </c>
      <c r="D48" t="s">
        <v>91</v>
      </c>
      <c r="E48" t="s">
        <v>106</v>
      </c>
      <c r="F48" t="s">
        <v>28</v>
      </c>
      <c r="G48">
        <v>3</v>
      </c>
      <c r="H48">
        <v>950</v>
      </c>
      <c r="I48">
        <v>10</v>
      </c>
      <c r="J48">
        <v>196549</v>
      </c>
      <c r="K48">
        <v>10</v>
      </c>
      <c r="L48">
        <v>5</v>
      </c>
      <c r="M48" t="str">
        <f>VLOOKUP(Sales_Data!F48,Product_Master!$A$2:$D$11,2)</f>
        <v>Webcam</v>
      </c>
      <c r="N48" t="str">
        <f>VLOOKUP(F48,Product_Master!$A$2:$C$11,3)</f>
        <v>Accessories</v>
      </c>
      <c r="O48">
        <f>VLOOKUP(F48,Product_Master!$A$2:$D$11,4,FALSE)</f>
        <v>700</v>
      </c>
      <c r="P48">
        <f t="shared" si="0"/>
        <v>2850</v>
      </c>
      <c r="Q48">
        <f t="shared" si="1"/>
        <v>285</v>
      </c>
      <c r="R48">
        <f t="shared" si="2"/>
        <v>2565</v>
      </c>
      <c r="S48">
        <f t="shared" si="3"/>
        <v>465</v>
      </c>
      <c r="T48" t="str">
        <f>_xlfn.CONCAT(Sales_Data!C48,"-",Sales_Data!E48,"-",Sales_Data!A48)</f>
        <v>East-C1004-1047</v>
      </c>
      <c r="U48" t="str">
        <f t="shared" si="4"/>
        <v>Regular</v>
      </c>
      <c r="V48" t="str" cm="1">
        <f t="array" ref="V48">_xlfn.IFS(R48&gt;=100000,"Excellent",R48&gt;=50000,"Good",R48&gt;=20000,"Average",TRUE,"Poor")</f>
        <v>Poor</v>
      </c>
      <c r="W48">
        <f t="shared" si="5"/>
        <v>2</v>
      </c>
      <c r="X48" t="str">
        <f t="shared" si="6"/>
        <v>May</v>
      </c>
      <c r="Y48">
        <f>HLOOKUP("Q"&amp;W48,Bonus_HLookup!$A$1:$E$2,2,FALSE)</f>
        <v>0.04</v>
      </c>
      <c r="Z48">
        <f t="shared" si="7"/>
        <v>98274.5</v>
      </c>
      <c r="AA48" s="1">
        <f t="shared" si="8"/>
        <v>4176.0853909550688</v>
      </c>
      <c r="AB48">
        <f t="shared" si="9"/>
        <v>901</v>
      </c>
    </row>
    <row r="49" spans="1:28" x14ac:dyDescent="0.3">
      <c r="A49">
        <v>1048</v>
      </c>
      <c r="B49" t="s">
        <v>107</v>
      </c>
      <c r="C49" t="s">
        <v>62</v>
      </c>
      <c r="D49" t="s">
        <v>14</v>
      </c>
      <c r="E49" t="s">
        <v>108</v>
      </c>
      <c r="F49" t="s">
        <v>28</v>
      </c>
      <c r="G49">
        <v>4</v>
      </c>
      <c r="H49">
        <v>950</v>
      </c>
      <c r="I49">
        <v>15</v>
      </c>
      <c r="J49">
        <v>142418</v>
      </c>
      <c r="K49">
        <v>12</v>
      </c>
      <c r="L49">
        <v>4</v>
      </c>
      <c r="M49" t="str">
        <f>VLOOKUP(Sales_Data!F49,Product_Master!$A$2:$D$11,2)</f>
        <v>Webcam</v>
      </c>
      <c r="N49" t="str">
        <f>VLOOKUP(F49,Product_Master!$A$2:$C$11,3)</f>
        <v>Accessories</v>
      </c>
      <c r="O49">
        <f>VLOOKUP(F49,Product_Master!$A$2:$D$11,4,FALSE)</f>
        <v>700</v>
      </c>
      <c r="P49">
        <f t="shared" si="0"/>
        <v>3800</v>
      </c>
      <c r="Q49">
        <f t="shared" si="1"/>
        <v>570</v>
      </c>
      <c r="R49">
        <f t="shared" si="2"/>
        <v>3230</v>
      </c>
      <c r="S49">
        <f t="shared" si="3"/>
        <v>430</v>
      </c>
      <c r="T49" t="str">
        <f>_xlfn.CONCAT(Sales_Data!C49,"-",Sales_Data!E49,"-",Sales_Data!A49)</f>
        <v>East-C1031-1048</v>
      </c>
      <c r="U49" t="str">
        <f t="shared" si="4"/>
        <v>Regular</v>
      </c>
      <c r="V49" t="str" cm="1">
        <f t="array" ref="V49">_xlfn.IFS(R49&gt;=100000,"Excellent",R49&gt;=50000,"Good",R49&gt;=20000,"Average",TRUE,"Poor")</f>
        <v>Poor</v>
      </c>
      <c r="W49">
        <f t="shared" si="5"/>
        <v>3</v>
      </c>
      <c r="X49" t="str">
        <f t="shared" si="6"/>
        <v>July</v>
      </c>
      <c r="Y49">
        <f>HLOOKUP("Q"&amp;W49,Bonus_HLookup!$A$1:$E$2,2,FALSE)</f>
        <v>0.06</v>
      </c>
      <c r="Z49">
        <f t="shared" si="7"/>
        <v>68360.639999999999</v>
      </c>
      <c r="AA49" s="1">
        <f t="shared" si="8"/>
        <v>3750.4121745442885</v>
      </c>
      <c r="AB49">
        <f t="shared" si="9"/>
        <v>871</v>
      </c>
    </row>
    <row r="50" spans="1:28" x14ac:dyDescent="0.3">
      <c r="A50">
        <v>1049</v>
      </c>
      <c r="B50" t="s">
        <v>109</v>
      </c>
      <c r="C50" t="s">
        <v>62</v>
      </c>
      <c r="D50" t="s">
        <v>33</v>
      </c>
      <c r="E50" t="s">
        <v>15</v>
      </c>
      <c r="F50" t="s">
        <v>69</v>
      </c>
      <c r="G50">
        <v>5</v>
      </c>
      <c r="H50">
        <v>2000</v>
      </c>
      <c r="I50">
        <v>5</v>
      </c>
      <c r="J50">
        <v>264092</v>
      </c>
      <c r="K50">
        <v>8</v>
      </c>
      <c r="L50">
        <v>3</v>
      </c>
      <c r="M50" t="str">
        <f>VLOOKUP(Sales_Data!F50,Product_Master!$A$2:$D$11,2)</f>
        <v>Headset</v>
      </c>
      <c r="N50" t="str">
        <f>VLOOKUP(F50,Product_Master!$A$2:$C$11,3)</f>
        <v>Accessories</v>
      </c>
      <c r="O50">
        <f>VLOOKUP(F50,Product_Master!$A$2:$D$11,4,FALSE)</f>
        <v>1500</v>
      </c>
      <c r="P50">
        <f t="shared" si="0"/>
        <v>10000</v>
      </c>
      <c r="Q50">
        <f t="shared" si="1"/>
        <v>500</v>
      </c>
      <c r="R50">
        <f t="shared" si="2"/>
        <v>9500</v>
      </c>
      <c r="S50">
        <f t="shared" si="3"/>
        <v>2000</v>
      </c>
      <c r="T50" t="str">
        <f>_xlfn.CONCAT(Sales_Data!C50,"-",Sales_Data!E50,"-",Sales_Data!A50)</f>
        <v>East-C1016-1049</v>
      </c>
      <c r="U50" t="str">
        <f t="shared" si="4"/>
        <v>Regular</v>
      </c>
      <c r="V50" t="str" cm="1">
        <f t="array" ref="V50">_xlfn.IFS(R50&gt;=100000,"Excellent",R50&gt;=50000,"Good",R50&gt;=20000,"Average",TRUE,"Poor")</f>
        <v>Poor</v>
      </c>
      <c r="W50">
        <f t="shared" si="5"/>
        <v>2</v>
      </c>
      <c r="X50" t="str">
        <f t="shared" si="6"/>
        <v>May</v>
      </c>
      <c r="Y50">
        <f>HLOOKUP("Q"&amp;W50,Bonus_HLookup!$A$1:$E$2,2,FALSE)</f>
        <v>0.04</v>
      </c>
      <c r="Z50">
        <f t="shared" si="7"/>
        <v>63382.080000000002</v>
      </c>
      <c r="AA50" s="1">
        <f t="shared" si="8"/>
        <v>8275.6834274401954</v>
      </c>
      <c r="AB50">
        <f t="shared" si="9"/>
        <v>651</v>
      </c>
    </row>
    <row r="51" spans="1:28" x14ac:dyDescent="0.3">
      <c r="A51">
        <v>1050</v>
      </c>
      <c r="B51" t="s">
        <v>110</v>
      </c>
      <c r="C51" t="s">
        <v>30</v>
      </c>
      <c r="D51" t="s">
        <v>14</v>
      </c>
      <c r="E51" t="s">
        <v>44</v>
      </c>
      <c r="F51" t="s">
        <v>42</v>
      </c>
      <c r="G51">
        <v>6</v>
      </c>
      <c r="H51">
        <v>8000</v>
      </c>
      <c r="I51">
        <v>2</v>
      </c>
      <c r="J51">
        <v>232335</v>
      </c>
      <c r="K51">
        <v>7</v>
      </c>
      <c r="L51">
        <v>2</v>
      </c>
      <c r="M51" t="str">
        <f>VLOOKUP(Sales_Data!F51,Product_Master!$A$2:$D$11,2)</f>
        <v>Printer</v>
      </c>
      <c r="N51" t="str">
        <f>VLOOKUP(F51,Product_Master!$A$2:$C$11,3)</f>
        <v>Electronics</v>
      </c>
      <c r="O51">
        <f>VLOOKUP(F51,Product_Master!$A$2:$D$11,4,FALSE)</f>
        <v>6500</v>
      </c>
      <c r="P51">
        <f t="shared" si="0"/>
        <v>48000</v>
      </c>
      <c r="Q51">
        <f t="shared" si="1"/>
        <v>960</v>
      </c>
      <c r="R51">
        <f t="shared" si="2"/>
        <v>47040</v>
      </c>
      <c r="S51">
        <f t="shared" si="3"/>
        <v>8040</v>
      </c>
      <c r="T51" t="str">
        <f>_xlfn.CONCAT(Sales_Data!C51,"-",Sales_Data!E51,"-",Sales_Data!A51)</f>
        <v>South-C1028-1050</v>
      </c>
      <c r="U51" t="str">
        <f t="shared" si="4"/>
        <v>Regular</v>
      </c>
      <c r="V51" t="str" cm="1">
        <f t="array" ref="V51">_xlfn.IFS(R51&gt;=100000,"Excellent",R51&gt;=50000,"Good",R51&gt;=20000,"Average",TRUE,"Poor")</f>
        <v>Average</v>
      </c>
      <c r="W51">
        <f t="shared" si="5"/>
        <v>2</v>
      </c>
      <c r="X51" t="str">
        <f t="shared" si="6"/>
        <v>June</v>
      </c>
      <c r="Y51">
        <f>HLOOKUP("Q"&amp;W51,Bonus_HLookup!$A$1:$E$2,2,FALSE)</f>
        <v>0.04</v>
      </c>
      <c r="Z51">
        <f t="shared" si="7"/>
        <v>32526.9</v>
      </c>
      <c r="AA51" s="1">
        <f t="shared" si="8"/>
        <v>10402.237165929289</v>
      </c>
      <c r="AB51">
        <f t="shared" si="9"/>
        <v>310</v>
      </c>
    </row>
    <row r="52" spans="1:28" x14ac:dyDescent="0.3">
      <c r="A52">
        <v>1051</v>
      </c>
      <c r="B52" t="s">
        <v>111</v>
      </c>
      <c r="C52" t="s">
        <v>62</v>
      </c>
      <c r="D52" t="s">
        <v>91</v>
      </c>
      <c r="E52" t="s">
        <v>112</v>
      </c>
      <c r="F52" t="s">
        <v>25</v>
      </c>
      <c r="G52">
        <v>7</v>
      </c>
      <c r="H52">
        <v>1500</v>
      </c>
      <c r="I52">
        <v>15</v>
      </c>
      <c r="J52">
        <v>369836</v>
      </c>
      <c r="K52">
        <v>7</v>
      </c>
      <c r="L52">
        <v>5</v>
      </c>
      <c r="M52" t="str">
        <f>VLOOKUP(Sales_Data!F52,Product_Master!$A$2:$D$11,2)</f>
        <v>Keyboard</v>
      </c>
      <c r="N52" t="str">
        <f>VLOOKUP(F52,Product_Master!$A$2:$C$11,3)</f>
        <v>Accessories</v>
      </c>
      <c r="O52">
        <f>VLOOKUP(F52,Product_Master!$A$2:$D$11,4,FALSE)</f>
        <v>1200</v>
      </c>
      <c r="P52">
        <f t="shared" si="0"/>
        <v>10500</v>
      </c>
      <c r="Q52">
        <f t="shared" si="1"/>
        <v>1575</v>
      </c>
      <c r="R52">
        <f t="shared" si="2"/>
        <v>8925</v>
      </c>
      <c r="S52">
        <f t="shared" si="3"/>
        <v>525</v>
      </c>
      <c r="T52" t="str">
        <f>_xlfn.CONCAT(Sales_Data!C52,"-",Sales_Data!E52,"-",Sales_Data!A52)</f>
        <v>East-C1048-1051</v>
      </c>
      <c r="U52" t="str">
        <f t="shared" si="4"/>
        <v>Regular</v>
      </c>
      <c r="V52" t="str" cm="1">
        <f t="array" ref="V52">_xlfn.IFS(R52&gt;=100000,"Excellent",R52&gt;=50000,"Good",R52&gt;=20000,"Average",TRUE,"Poor")</f>
        <v>Poor</v>
      </c>
      <c r="W52">
        <f t="shared" si="5"/>
        <v>4</v>
      </c>
      <c r="X52" t="str">
        <f t="shared" si="6"/>
        <v>December</v>
      </c>
      <c r="Y52">
        <f>HLOOKUP("Q"&amp;W52,Bonus_HLookup!$A$1:$E$2,2,FALSE)</f>
        <v>0.08</v>
      </c>
      <c r="Z52">
        <f t="shared" si="7"/>
        <v>129442.6</v>
      </c>
      <c r="AA52" s="1">
        <f t="shared" si="8"/>
        <v>7323.1960633687104</v>
      </c>
      <c r="AB52">
        <f t="shared" si="9"/>
        <v>668</v>
      </c>
    </row>
    <row r="53" spans="1:28" x14ac:dyDescent="0.3">
      <c r="A53">
        <v>1052</v>
      </c>
      <c r="B53" t="s">
        <v>113</v>
      </c>
      <c r="C53" t="s">
        <v>30</v>
      </c>
      <c r="D53" t="s">
        <v>59</v>
      </c>
      <c r="E53" t="s">
        <v>54</v>
      </c>
      <c r="F53" t="s">
        <v>25</v>
      </c>
      <c r="G53">
        <v>6</v>
      </c>
      <c r="H53">
        <v>1500</v>
      </c>
      <c r="I53">
        <v>5</v>
      </c>
      <c r="J53">
        <v>479666</v>
      </c>
      <c r="K53">
        <v>9</v>
      </c>
      <c r="L53">
        <v>5</v>
      </c>
      <c r="M53" t="str">
        <f>VLOOKUP(Sales_Data!F53,Product_Master!$A$2:$D$11,2)</f>
        <v>Keyboard</v>
      </c>
      <c r="N53" t="str">
        <f>VLOOKUP(F53,Product_Master!$A$2:$C$11,3)</f>
        <v>Accessories</v>
      </c>
      <c r="O53">
        <f>VLOOKUP(F53,Product_Master!$A$2:$D$11,4,FALSE)</f>
        <v>1200</v>
      </c>
      <c r="P53">
        <f t="shared" si="0"/>
        <v>9000</v>
      </c>
      <c r="Q53">
        <f t="shared" si="1"/>
        <v>450</v>
      </c>
      <c r="R53">
        <f t="shared" si="2"/>
        <v>8550</v>
      </c>
      <c r="S53">
        <f t="shared" si="3"/>
        <v>1350</v>
      </c>
      <c r="T53" t="str">
        <f>_xlfn.CONCAT(Sales_Data!C53,"-",Sales_Data!E53,"-",Sales_Data!A53)</f>
        <v>South-C1034-1052</v>
      </c>
      <c r="U53" t="str">
        <f t="shared" si="4"/>
        <v>Regular</v>
      </c>
      <c r="V53" t="str" cm="1">
        <f t="array" ref="V53">_xlfn.IFS(R53&gt;=100000,"Excellent",R53&gt;=50000,"Good",R53&gt;=20000,"Average",TRUE,"Poor")</f>
        <v>Poor</v>
      </c>
      <c r="W53">
        <f t="shared" si="5"/>
        <v>4</v>
      </c>
      <c r="X53" t="str">
        <f t="shared" si="6"/>
        <v>October</v>
      </c>
      <c r="Y53">
        <f>HLOOKUP("Q"&amp;W53,Bonus_HLookup!$A$1:$E$2,2,FALSE)</f>
        <v>0.08</v>
      </c>
      <c r="Z53">
        <f t="shared" si="7"/>
        <v>215849.7</v>
      </c>
      <c r="AA53" s="1">
        <f t="shared" si="8"/>
        <v>9957.0772180043223</v>
      </c>
      <c r="AB53">
        <f t="shared" si="9"/>
        <v>675</v>
      </c>
    </row>
    <row r="54" spans="1:28" x14ac:dyDescent="0.3">
      <c r="A54">
        <v>1053</v>
      </c>
      <c r="B54" t="s">
        <v>114</v>
      </c>
      <c r="C54" t="s">
        <v>62</v>
      </c>
      <c r="D54" t="s">
        <v>23</v>
      </c>
      <c r="E54" t="s">
        <v>115</v>
      </c>
      <c r="F54" t="s">
        <v>21</v>
      </c>
      <c r="G54">
        <v>1</v>
      </c>
      <c r="H54">
        <v>12000</v>
      </c>
      <c r="I54">
        <v>15</v>
      </c>
      <c r="J54">
        <v>91852</v>
      </c>
      <c r="K54">
        <v>9</v>
      </c>
      <c r="L54">
        <v>1</v>
      </c>
      <c r="M54" t="str">
        <f>VLOOKUP(Sales_Data!F54,Product_Master!$A$2:$D$11,2)</f>
        <v>Monitor</v>
      </c>
      <c r="N54" t="str">
        <f>VLOOKUP(F54,Product_Master!$A$2:$C$11,3)</f>
        <v>Electronics</v>
      </c>
      <c r="O54">
        <f>VLOOKUP(F54,Product_Master!$A$2:$D$11,4,FALSE)</f>
        <v>9000</v>
      </c>
      <c r="P54">
        <f t="shared" si="0"/>
        <v>12000</v>
      </c>
      <c r="Q54">
        <f t="shared" si="1"/>
        <v>1800</v>
      </c>
      <c r="R54">
        <f t="shared" si="2"/>
        <v>10200</v>
      </c>
      <c r="S54">
        <f t="shared" si="3"/>
        <v>1200</v>
      </c>
      <c r="T54" t="str">
        <f>_xlfn.CONCAT(Sales_Data!C54,"-",Sales_Data!E54,"-",Sales_Data!A54)</f>
        <v>East-C1026-1053</v>
      </c>
      <c r="U54" t="str">
        <f t="shared" si="4"/>
        <v>Regular</v>
      </c>
      <c r="V54" t="str" cm="1">
        <f t="array" ref="V54">_xlfn.IFS(R54&gt;=100000,"Excellent",R54&gt;=50000,"Good",R54&gt;=20000,"Average",TRUE,"Poor")</f>
        <v>Poor</v>
      </c>
      <c r="W54">
        <f t="shared" si="5"/>
        <v>4</v>
      </c>
      <c r="X54" t="str">
        <f t="shared" si="6"/>
        <v>November</v>
      </c>
      <c r="Y54">
        <f>HLOOKUP("Q"&amp;W54,Bonus_HLookup!$A$1:$E$2,2,FALSE)</f>
        <v>0.08</v>
      </c>
      <c r="Z54">
        <f t="shared" si="7"/>
        <v>8266.68</v>
      </c>
      <c r="AA54" s="1">
        <f t="shared" si="8"/>
        <v>8032.5930442708232</v>
      </c>
      <c r="AB54">
        <f t="shared" si="9"/>
        <v>630</v>
      </c>
    </row>
    <row r="55" spans="1:28" x14ac:dyDescent="0.3">
      <c r="A55">
        <v>1054</v>
      </c>
      <c r="B55" t="s">
        <v>116</v>
      </c>
      <c r="C55" t="s">
        <v>30</v>
      </c>
      <c r="D55" t="s">
        <v>91</v>
      </c>
      <c r="E55" t="s">
        <v>108</v>
      </c>
      <c r="F55" t="s">
        <v>52</v>
      </c>
      <c r="G55">
        <v>8</v>
      </c>
      <c r="H55">
        <v>500</v>
      </c>
      <c r="I55">
        <v>15</v>
      </c>
      <c r="J55">
        <v>145417</v>
      </c>
      <c r="K55">
        <v>7</v>
      </c>
      <c r="L55">
        <v>5</v>
      </c>
      <c r="M55" t="str">
        <f>VLOOKUP(Sales_Data!F55,Product_Master!$A$2:$D$11,2)</f>
        <v>Mouse</v>
      </c>
      <c r="N55" t="str">
        <f>VLOOKUP(F55,Product_Master!$A$2:$C$11,3)</f>
        <v>Accessories</v>
      </c>
      <c r="O55">
        <f>VLOOKUP(F55,Product_Master!$A$2:$D$11,4,FALSE)</f>
        <v>350</v>
      </c>
      <c r="P55">
        <f t="shared" si="0"/>
        <v>4000</v>
      </c>
      <c r="Q55">
        <f t="shared" si="1"/>
        <v>600</v>
      </c>
      <c r="R55">
        <f t="shared" si="2"/>
        <v>3400</v>
      </c>
      <c r="S55">
        <f t="shared" si="3"/>
        <v>600</v>
      </c>
      <c r="T55" t="str">
        <f>_xlfn.CONCAT(Sales_Data!C55,"-",Sales_Data!E55,"-",Sales_Data!A55)</f>
        <v>South-C1031-1054</v>
      </c>
      <c r="U55" t="str">
        <f t="shared" si="4"/>
        <v>Regular</v>
      </c>
      <c r="V55" t="str" cm="1">
        <f t="array" ref="V55">_xlfn.IFS(R55&gt;=100000,"Excellent",R55&gt;=50000,"Good",R55&gt;=20000,"Average",TRUE,"Poor")</f>
        <v>Poor</v>
      </c>
      <c r="W55">
        <f t="shared" si="5"/>
        <v>2</v>
      </c>
      <c r="X55" t="str">
        <f t="shared" si="6"/>
        <v>May</v>
      </c>
      <c r="Y55">
        <f>HLOOKUP("Q"&amp;W55,Bonus_HLookup!$A$1:$E$2,2,FALSE)</f>
        <v>0.04</v>
      </c>
      <c r="Z55">
        <f t="shared" si="7"/>
        <v>50895.95</v>
      </c>
      <c r="AA55" s="1">
        <f t="shared" si="8"/>
        <v>2879.4308881420084</v>
      </c>
      <c r="AB55">
        <f t="shared" si="9"/>
        <v>868</v>
      </c>
    </row>
    <row r="56" spans="1:28" x14ac:dyDescent="0.3">
      <c r="A56">
        <v>1055</v>
      </c>
      <c r="B56" t="s">
        <v>117</v>
      </c>
      <c r="C56" t="s">
        <v>30</v>
      </c>
      <c r="D56" t="s">
        <v>59</v>
      </c>
      <c r="E56" t="s">
        <v>27</v>
      </c>
      <c r="F56" t="s">
        <v>16</v>
      </c>
      <c r="G56">
        <v>3</v>
      </c>
      <c r="H56">
        <v>2500</v>
      </c>
      <c r="I56">
        <v>0</v>
      </c>
      <c r="J56">
        <v>388246</v>
      </c>
      <c r="K56">
        <v>9</v>
      </c>
      <c r="L56">
        <v>1</v>
      </c>
      <c r="M56" t="str">
        <f>VLOOKUP(Sales_Data!F56,Product_Master!$A$2:$D$11,2)</f>
        <v>Speaker</v>
      </c>
      <c r="N56" t="str">
        <f>VLOOKUP(F56,Product_Master!$A$2:$C$11,3)</f>
        <v>Accessories</v>
      </c>
      <c r="O56">
        <f>VLOOKUP(F56,Product_Master!$A$2:$D$11,4,FALSE)</f>
        <v>1800</v>
      </c>
      <c r="P56">
        <f t="shared" si="0"/>
        <v>7500</v>
      </c>
      <c r="Q56">
        <f t="shared" si="1"/>
        <v>0</v>
      </c>
      <c r="R56">
        <f t="shared" si="2"/>
        <v>7500</v>
      </c>
      <c r="S56">
        <f t="shared" si="3"/>
        <v>2100</v>
      </c>
      <c r="T56" t="str">
        <f>_xlfn.CONCAT(Sales_Data!C56,"-",Sales_Data!E56,"-",Sales_Data!A56)</f>
        <v>South-C1007-1055</v>
      </c>
      <c r="U56" t="str">
        <f t="shared" si="4"/>
        <v>Regular</v>
      </c>
      <c r="V56" t="str" cm="1">
        <f t="array" ref="V56">_xlfn.IFS(R56&gt;=100000,"Excellent",R56&gt;=50000,"Good",R56&gt;=20000,"Average",TRUE,"Poor")</f>
        <v>Poor</v>
      </c>
      <c r="W56">
        <f t="shared" si="5"/>
        <v>3</v>
      </c>
      <c r="X56" t="str">
        <f t="shared" si="6"/>
        <v>August</v>
      </c>
      <c r="Y56">
        <f>HLOOKUP("Q"&amp;W56,Bonus_HLookup!$A$1:$E$2,2,FALSE)</f>
        <v>0.06</v>
      </c>
      <c r="Z56">
        <f t="shared" si="7"/>
        <v>34942.14</v>
      </c>
      <c r="AA56" s="1">
        <f t="shared" si="8"/>
        <v>33952.686050014912</v>
      </c>
      <c r="AB56">
        <f t="shared" si="9"/>
        <v>705</v>
      </c>
    </row>
    <row r="57" spans="1:28" x14ac:dyDescent="0.3">
      <c r="A57">
        <v>1056</v>
      </c>
      <c r="B57" t="s">
        <v>22</v>
      </c>
      <c r="C57" t="s">
        <v>13</v>
      </c>
      <c r="D57" t="s">
        <v>33</v>
      </c>
      <c r="E57" t="s">
        <v>47</v>
      </c>
      <c r="F57" t="s">
        <v>28</v>
      </c>
      <c r="G57">
        <v>10</v>
      </c>
      <c r="H57">
        <v>950</v>
      </c>
      <c r="I57">
        <v>8</v>
      </c>
      <c r="J57">
        <v>169994</v>
      </c>
      <c r="K57">
        <v>11</v>
      </c>
      <c r="L57">
        <v>4</v>
      </c>
      <c r="M57" t="str">
        <f>VLOOKUP(Sales_Data!F57,Product_Master!$A$2:$D$11,2)</f>
        <v>Webcam</v>
      </c>
      <c r="N57" t="str">
        <f>VLOOKUP(F57,Product_Master!$A$2:$C$11,3)</f>
        <v>Accessories</v>
      </c>
      <c r="O57">
        <f>VLOOKUP(F57,Product_Master!$A$2:$D$11,4,FALSE)</f>
        <v>700</v>
      </c>
      <c r="P57">
        <f t="shared" si="0"/>
        <v>9500</v>
      </c>
      <c r="Q57">
        <f t="shared" si="1"/>
        <v>760</v>
      </c>
      <c r="R57">
        <f t="shared" si="2"/>
        <v>8740</v>
      </c>
      <c r="S57">
        <f t="shared" si="3"/>
        <v>1740</v>
      </c>
      <c r="T57" t="str">
        <f>_xlfn.CONCAT(Sales_Data!C57,"-",Sales_Data!E57,"-",Sales_Data!A57)</f>
        <v>West-C1030-1056</v>
      </c>
      <c r="U57" t="str">
        <f t="shared" si="4"/>
        <v>Regular</v>
      </c>
      <c r="V57" t="str" cm="1">
        <f t="array" ref="V57">_xlfn.IFS(R57&gt;=100000,"Excellent",R57&gt;=50000,"Good",R57&gt;=20000,"Average",TRUE,"Poor")</f>
        <v>Poor</v>
      </c>
      <c r="W57">
        <f t="shared" si="5"/>
        <v>1</v>
      </c>
      <c r="X57" t="str">
        <f t="shared" si="6"/>
        <v>January</v>
      </c>
      <c r="Y57">
        <f>HLOOKUP("Q"&amp;W57,Bonus_HLookup!$A$1:$E$2,2,FALSE)</f>
        <v>0.02</v>
      </c>
      <c r="Z57">
        <f t="shared" si="7"/>
        <v>74797.36</v>
      </c>
      <c r="AA57" s="1">
        <f t="shared" si="8"/>
        <v>4393.5837708113095</v>
      </c>
      <c r="AB57">
        <f t="shared" si="9"/>
        <v>674</v>
      </c>
    </row>
    <row r="58" spans="1:28" x14ac:dyDescent="0.3">
      <c r="A58">
        <v>1057</v>
      </c>
      <c r="B58" t="s">
        <v>118</v>
      </c>
      <c r="C58" t="s">
        <v>62</v>
      </c>
      <c r="D58" t="s">
        <v>19</v>
      </c>
      <c r="E58" t="s">
        <v>31</v>
      </c>
      <c r="F58" t="s">
        <v>74</v>
      </c>
      <c r="G58">
        <v>10</v>
      </c>
      <c r="H58">
        <v>35000</v>
      </c>
      <c r="I58">
        <v>5</v>
      </c>
      <c r="J58">
        <v>350515</v>
      </c>
      <c r="K58">
        <v>12</v>
      </c>
      <c r="L58">
        <v>5</v>
      </c>
      <c r="M58" t="str">
        <f>VLOOKUP(Sales_Data!F58,Product_Master!$A$2:$D$11,2)</f>
        <v>Tablet</v>
      </c>
      <c r="N58" t="str">
        <f>VLOOKUP(F58,Product_Master!$A$2:$C$11,3)</f>
        <v>Electronics</v>
      </c>
      <c r="O58">
        <f>VLOOKUP(F58,Product_Master!$A$2:$D$11,4,FALSE)</f>
        <v>29000</v>
      </c>
      <c r="P58">
        <f t="shared" si="0"/>
        <v>350000</v>
      </c>
      <c r="Q58">
        <f t="shared" si="1"/>
        <v>17500</v>
      </c>
      <c r="R58">
        <f t="shared" si="2"/>
        <v>332500</v>
      </c>
      <c r="S58">
        <f t="shared" si="3"/>
        <v>42500</v>
      </c>
      <c r="T58" t="str">
        <f>_xlfn.CONCAT(Sales_Data!C58,"-",Sales_Data!E58,"-",Sales_Data!A58)</f>
        <v>East-C1025-1057</v>
      </c>
      <c r="U58" t="str">
        <f t="shared" si="4"/>
        <v>High Value</v>
      </c>
      <c r="V58" t="str" cm="1">
        <f t="array" ref="V58">_xlfn.IFS(R58&gt;=100000,"Excellent",R58&gt;=50000,"Good",R58&gt;=20000,"Average",TRUE,"Poor")</f>
        <v>Excellent</v>
      </c>
      <c r="W58">
        <f t="shared" si="5"/>
        <v>1</v>
      </c>
      <c r="X58" t="str">
        <f t="shared" si="6"/>
        <v>March</v>
      </c>
      <c r="Y58">
        <f>HLOOKUP("Q"&amp;W58,Bonus_HLookup!$A$1:$E$2,2,FALSE)</f>
        <v>0.02</v>
      </c>
      <c r="Z58">
        <f t="shared" si="7"/>
        <v>210309</v>
      </c>
      <c r="AA58" s="1">
        <f t="shared" si="8"/>
        <v>7797.0125802733446</v>
      </c>
      <c r="AB58">
        <f t="shared" si="9"/>
        <v>38</v>
      </c>
    </row>
    <row r="59" spans="1:28" x14ac:dyDescent="0.3">
      <c r="A59">
        <v>1058</v>
      </c>
      <c r="B59" t="s">
        <v>119</v>
      </c>
      <c r="C59" t="s">
        <v>18</v>
      </c>
      <c r="D59" t="s">
        <v>50</v>
      </c>
      <c r="E59" t="s">
        <v>51</v>
      </c>
      <c r="F59" t="s">
        <v>69</v>
      </c>
      <c r="G59">
        <v>7</v>
      </c>
      <c r="H59">
        <v>2000</v>
      </c>
      <c r="I59">
        <v>0</v>
      </c>
      <c r="J59">
        <v>286706</v>
      </c>
      <c r="K59">
        <v>12</v>
      </c>
      <c r="L59">
        <v>4</v>
      </c>
      <c r="M59" t="str">
        <f>VLOOKUP(Sales_Data!F59,Product_Master!$A$2:$D$11,2)</f>
        <v>Headset</v>
      </c>
      <c r="N59" t="str">
        <f>VLOOKUP(F59,Product_Master!$A$2:$C$11,3)</f>
        <v>Accessories</v>
      </c>
      <c r="O59">
        <f>VLOOKUP(F59,Product_Master!$A$2:$D$11,4,FALSE)</f>
        <v>1500</v>
      </c>
      <c r="P59">
        <f t="shared" si="0"/>
        <v>14000</v>
      </c>
      <c r="Q59">
        <f t="shared" si="1"/>
        <v>0</v>
      </c>
      <c r="R59">
        <f t="shared" si="2"/>
        <v>14000</v>
      </c>
      <c r="S59">
        <f t="shared" si="3"/>
        <v>3500</v>
      </c>
      <c r="T59" t="str">
        <f>_xlfn.CONCAT(Sales_Data!C59,"-",Sales_Data!E59,"-",Sales_Data!A59)</f>
        <v>North-C1002-1058</v>
      </c>
      <c r="U59" t="str">
        <f t="shared" si="4"/>
        <v>Regular</v>
      </c>
      <c r="V59" t="str" cm="1">
        <f t="array" ref="V59">_xlfn.IFS(R59&gt;=100000,"Excellent",R59&gt;=50000,"Good",R59&gt;=20000,"Average",TRUE,"Poor")</f>
        <v>Poor</v>
      </c>
      <c r="W59">
        <f t="shared" si="5"/>
        <v>1</v>
      </c>
      <c r="X59" t="str">
        <f t="shared" si="6"/>
        <v>January</v>
      </c>
      <c r="Y59">
        <f>HLOOKUP("Q"&amp;W59,Bonus_HLookup!$A$1:$E$2,2,FALSE)</f>
        <v>0.02</v>
      </c>
      <c r="Z59">
        <f t="shared" si="7"/>
        <v>137618.88</v>
      </c>
      <c r="AA59" s="1">
        <f t="shared" si="8"/>
        <v>7550.0686213462823</v>
      </c>
      <c r="AB59">
        <f t="shared" si="9"/>
        <v>539</v>
      </c>
    </row>
    <row r="60" spans="1:28" x14ac:dyDescent="0.3">
      <c r="A60">
        <v>1059</v>
      </c>
      <c r="B60" t="s">
        <v>120</v>
      </c>
      <c r="C60" t="s">
        <v>18</v>
      </c>
      <c r="D60" t="s">
        <v>33</v>
      </c>
      <c r="E60" t="s">
        <v>15</v>
      </c>
      <c r="F60" t="s">
        <v>39</v>
      </c>
      <c r="G60">
        <v>1</v>
      </c>
      <c r="H60">
        <v>7000</v>
      </c>
      <c r="I60">
        <v>2</v>
      </c>
      <c r="J60">
        <v>246918</v>
      </c>
      <c r="K60">
        <v>7</v>
      </c>
      <c r="L60">
        <v>5</v>
      </c>
      <c r="M60" t="str">
        <f>VLOOKUP(Sales_Data!F60,Product_Master!$A$2:$D$11,2)</f>
        <v>Router</v>
      </c>
      <c r="N60" t="str">
        <f>VLOOKUP(F60,Product_Master!$A$2:$C$11,3)</f>
        <v>Electronics</v>
      </c>
      <c r="O60">
        <f>VLOOKUP(F60,Product_Master!$A$2:$D$11,4,FALSE)</f>
        <v>5000</v>
      </c>
      <c r="P60">
        <f t="shared" si="0"/>
        <v>7000</v>
      </c>
      <c r="Q60">
        <f t="shared" si="1"/>
        <v>140</v>
      </c>
      <c r="R60">
        <f t="shared" si="2"/>
        <v>6860</v>
      </c>
      <c r="S60">
        <f t="shared" si="3"/>
        <v>1860</v>
      </c>
      <c r="T60" t="str">
        <f>_xlfn.CONCAT(Sales_Data!C60,"-",Sales_Data!E60,"-",Sales_Data!A60)</f>
        <v>North-C1016-1059</v>
      </c>
      <c r="U60" t="str">
        <f t="shared" si="4"/>
        <v>Regular</v>
      </c>
      <c r="V60" t="str" cm="1">
        <f t="array" ref="V60">_xlfn.IFS(R60&gt;=100000,"Excellent",R60&gt;=50000,"Good",R60&gt;=20000,"Average",TRUE,"Poor")</f>
        <v>Poor</v>
      </c>
      <c r="W60">
        <f t="shared" si="5"/>
        <v>2</v>
      </c>
      <c r="X60" t="str">
        <f t="shared" si="6"/>
        <v>May</v>
      </c>
      <c r="Y60">
        <f>HLOOKUP("Q"&amp;W60,Bonus_HLookup!$A$1:$E$2,2,FALSE)</f>
        <v>0.04</v>
      </c>
      <c r="Z60">
        <f t="shared" si="7"/>
        <v>86421.3</v>
      </c>
      <c r="AA60" s="1">
        <f t="shared" si="8"/>
        <v>4889.272341186027</v>
      </c>
      <c r="AB60">
        <f t="shared" si="9"/>
        <v>727</v>
      </c>
    </row>
    <row r="61" spans="1:28" x14ac:dyDescent="0.3">
      <c r="A61">
        <v>1060</v>
      </c>
      <c r="B61" t="s">
        <v>121</v>
      </c>
      <c r="C61" t="s">
        <v>18</v>
      </c>
      <c r="D61" t="s">
        <v>23</v>
      </c>
      <c r="E61" t="s">
        <v>122</v>
      </c>
      <c r="F61" t="s">
        <v>39</v>
      </c>
      <c r="G61">
        <v>6</v>
      </c>
      <c r="H61">
        <v>7000</v>
      </c>
      <c r="I61">
        <v>5</v>
      </c>
      <c r="J61">
        <v>323659</v>
      </c>
      <c r="K61">
        <v>10</v>
      </c>
      <c r="L61">
        <v>3</v>
      </c>
      <c r="M61" t="str">
        <f>VLOOKUP(Sales_Data!F61,Product_Master!$A$2:$D$11,2)</f>
        <v>Router</v>
      </c>
      <c r="N61" t="str">
        <f>VLOOKUP(F61,Product_Master!$A$2:$C$11,3)</f>
        <v>Electronics</v>
      </c>
      <c r="O61">
        <f>VLOOKUP(F61,Product_Master!$A$2:$D$11,4,FALSE)</f>
        <v>5000</v>
      </c>
      <c r="P61">
        <f t="shared" si="0"/>
        <v>42000</v>
      </c>
      <c r="Q61">
        <f t="shared" si="1"/>
        <v>2100</v>
      </c>
      <c r="R61">
        <f t="shared" si="2"/>
        <v>39900</v>
      </c>
      <c r="S61">
        <f t="shared" si="3"/>
        <v>9900</v>
      </c>
      <c r="T61" t="str">
        <f>_xlfn.CONCAT(Sales_Data!C61,"-",Sales_Data!E61,"-",Sales_Data!A61)</f>
        <v>North-C1046-1060</v>
      </c>
      <c r="U61" t="str">
        <f t="shared" si="4"/>
        <v>Regular</v>
      </c>
      <c r="V61" t="str" cm="1">
        <f t="array" ref="V61">_xlfn.IFS(R61&gt;=100000,"Excellent",R61&gt;=50000,"Good",R61&gt;=20000,"Average",TRUE,"Poor")</f>
        <v>Average</v>
      </c>
      <c r="W61">
        <f t="shared" si="5"/>
        <v>4</v>
      </c>
      <c r="X61" t="str">
        <f t="shared" si="6"/>
        <v>December</v>
      </c>
      <c r="Y61">
        <f>HLOOKUP("Q"&amp;W61,Bonus_HLookup!$A$1:$E$2,2,FALSE)</f>
        <v>0.08</v>
      </c>
      <c r="Z61">
        <f t="shared" si="7"/>
        <v>97097.7</v>
      </c>
      <c r="AA61" s="1">
        <f t="shared" si="8"/>
        <v>10443.565539970246</v>
      </c>
      <c r="AB61">
        <f t="shared" si="9"/>
        <v>337</v>
      </c>
    </row>
    <row r="62" spans="1:28" x14ac:dyDescent="0.3">
      <c r="A62">
        <v>1061</v>
      </c>
      <c r="B62" t="s">
        <v>123</v>
      </c>
      <c r="C62" t="s">
        <v>13</v>
      </c>
      <c r="D62" t="s">
        <v>46</v>
      </c>
      <c r="E62" t="s">
        <v>77</v>
      </c>
      <c r="F62" t="s">
        <v>28</v>
      </c>
      <c r="G62">
        <v>9</v>
      </c>
      <c r="H62">
        <v>950</v>
      </c>
      <c r="I62">
        <v>8</v>
      </c>
      <c r="J62">
        <v>459664</v>
      </c>
      <c r="K62">
        <v>8</v>
      </c>
      <c r="L62">
        <v>1</v>
      </c>
      <c r="M62" t="str">
        <f>VLOOKUP(Sales_Data!F62,Product_Master!$A$2:$D$11,2)</f>
        <v>Webcam</v>
      </c>
      <c r="N62" t="str">
        <f>VLOOKUP(F62,Product_Master!$A$2:$C$11,3)</f>
        <v>Accessories</v>
      </c>
      <c r="O62">
        <f>VLOOKUP(F62,Product_Master!$A$2:$D$11,4,FALSE)</f>
        <v>700</v>
      </c>
      <c r="P62">
        <f t="shared" si="0"/>
        <v>8550</v>
      </c>
      <c r="Q62">
        <f t="shared" si="1"/>
        <v>684</v>
      </c>
      <c r="R62">
        <f t="shared" si="2"/>
        <v>7866</v>
      </c>
      <c r="S62">
        <f t="shared" si="3"/>
        <v>1566</v>
      </c>
      <c r="T62" t="str">
        <f>_xlfn.CONCAT(Sales_Data!C62,"-",Sales_Data!E62,"-",Sales_Data!A62)</f>
        <v>West-C1020-1061</v>
      </c>
      <c r="U62" t="str">
        <f t="shared" si="4"/>
        <v>Regular</v>
      </c>
      <c r="V62" t="str" cm="1">
        <f t="array" ref="V62">_xlfn.IFS(R62&gt;=100000,"Excellent",R62&gt;=50000,"Good",R62&gt;=20000,"Average",TRUE,"Poor")</f>
        <v>Poor</v>
      </c>
      <c r="W62">
        <f t="shared" si="5"/>
        <v>1</v>
      </c>
      <c r="X62" t="str">
        <f t="shared" si="6"/>
        <v>February</v>
      </c>
      <c r="Y62">
        <f>HLOOKUP("Q"&amp;W62,Bonus_HLookup!$A$1:$E$2,2,FALSE)</f>
        <v>0.02</v>
      </c>
      <c r="Z62">
        <f t="shared" si="7"/>
        <v>36773.120000000003</v>
      </c>
      <c r="AA62" s="1">
        <f t="shared" si="8"/>
        <v>39985.449267120988</v>
      </c>
      <c r="AB62">
        <f t="shared" si="9"/>
        <v>690</v>
      </c>
    </row>
    <row r="63" spans="1:28" x14ac:dyDescent="0.3">
      <c r="A63">
        <v>1062</v>
      </c>
      <c r="B63" t="s">
        <v>124</v>
      </c>
      <c r="C63" t="s">
        <v>62</v>
      </c>
      <c r="D63" t="s">
        <v>19</v>
      </c>
      <c r="E63" t="s">
        <v>125</v>
      </c>
      <c r="F63" t="s">
        <v>42</v>
      </c>
      <c r="G63">
        <v>4</v>
      </c>
      <c r="H63">
        <v>8000</v>
      </c>
      <c r="I63">
        <v>0</v>
      </c>
      <c r="J63">
        <v>347958</v>
      </c>
      <c r="K63">
        <v>7</v>
      </c>
      <c r="L63">
        <v>3</v>
      </c>
      <c r="M63" t="str">
        <f>VLOOKUP(Sales_Data!F63,Product_Master!$A$2:$D$11,2)</f>
        <v>Printer</v>
      </c>
      <c r="N63" t="str">
        <f>VLOOKUP(F63,Product_Master!$A$2:$C$11,3)</f>
        <v>Electronics</v>
      </c>
      <c r="O63">
        <f>VLOOKUP(F63,Product_Master!$A$2:$D$11,4,FALSE)</f>
        <v>6500</v>
      </c>
      <c r="P63">
        <f t="shared" si="0"/>
        <v>32000</v>
      </c>
      <c r="Q63">
        <f t="shared" si="1"/>
        <v>0</v>
      </c>
      <c r="R63">
        <f t="shared" si="2"/>
        <v>32000</v>
      </c>
      <c r="S63">
        <f t="shared" si="3"/>
        <v>6000</v>
      </c>
      <c r="T63" t="str">
        <f>_xlfn.CONCAT(Sales_Data!C63,"-",Sales_Data!E63,"-",Sales_Data!A63)</f>
        <v>East-C1039-1062</v>
      </c>
      <c r="U63" t="str">
        <f t="shared" si="4"/>
        <v>Regular</v>
      </c>
      <c r="V63" t="str" cm="1">
        <f t="array" ref="V63">_xlfn.IFS(R63&gt;=100000,"Excellent",R63&gt;=50000,"Good",R63&gt;=20000,"Average",TRUE,"Poor")</f>
        <v>Average</v>
      </c>
      <c r="W63">
        <f t="shared" si="5"/>
        <v>4</v>
      </c>
      <c r="X63" t="str">
        <f t="shared" si="6"/>
        <v>October</v>
      </c>
      <c r="Y63">
        <f>HLOOKUP("Q"&amp;W63,Bonus_HLookup!$A$1:$E$2,2,FALSE)</f>
        <v>0.08</v>
      </c>
      <c r="Z63">
        <f t="shared" si="7"/>
        <v>73071.179999999993</v>
      </c>
      <c r="AA63" s="1">
        <f t="shared" si="8"/>
        <v>10743.93287108109</v>
      </c>
      <c r="AB63">
        <f t="shared" si="9"/>
        <v>363</v>
      </c>
    </row>
    <row r="64" spans="1:28" x14ac:dyDescent="0.3">
      <c r="A64">
        <v>1063</v>
      </c>
      <c r="B64" t="s">
        <v>126</v>
      </c>
      <c r="C64" t="s">
        <v>13</v>
      </c>
      <c r="D64" t="s">
        <v>50</v>
      </c>
      <c r="E64" t="s">
        <v>122</v>
      </c>
      <c r="F64" t="s">
        <v>21</v>
      </c>
      <c r="G64">
        <v>5</v>
      </c>
      <c r="H64">
        <v>12000</v>
      </c>
      <c r="I64">
        <v>12</v>
      </c>
      <c r="J64">
        <v>443507</v>
      </c>
      <c r="K64">
        <v>10</v>
      </c>
      <c r="L64">
        <v>1</v>
      </c>
      <c r="M64" t="str">
        <f>VLOOKUP(Sales_Data!F64,Product_Master!$A$2:$D$11,2)</f>
        <v>Monitor</v>
      </c>
      <c r="N64" t="str">
        <f>VLOOKUP(F64,Product_Master!$A$2:$C$11,3)</f>
        <v>Electronics</v>
      </c>
      <c r="O64">
        <f>VLOOKUP(F64,Product_Master!$A$2:$D$11,4,FALSE)</f>
        <v>9000</v>
      </c>
      <c r="P64">
        <f t="shared" si="0"/>
        <v>60000</v>
      </c>
      <c r="Q64">
        <f t="shared" si="1"/>
        <v>7200</v>
      </c>
      <c r="R64">
        <f t="shared" si="2"/>
        <v>52800</v>
      </c>
      <c r="S64">
        <f t="shared" si="3"/>
        <v>7800</v>
      </c>
      <c r="T64" t="str">
        <f>_xlfn.CONCAT(Sales_Data!C64,"-",Sales_Data!E64,"-",Sales_Data!A64)</f>
        <v>West-C1046-1063</v>
      </c>
      <c r="U64" t="str">
        <f t="shared" si="4"/>
        <v>High Value</v>
      </c>
      <c r="V64" t="str" cm="1">
        <f t="array" ref="V64">_xlfn.IFS(R64&gt;=100000,"Excellent",R64&gt;=50000,"Good",R64&gt;=20000,"Average",TRUE,"Poor")</f>
        <v>Good</v>
      </c>
      <c r="W64">
        <f t="shared" si="5"/>
        <v>2</v>
      </c>
      <c r="X64" t="str">
        <f t="shared" si="6"/>
        <v>June</v>
      </c>
      <c r="Y64">
        <f>HLOOKUP("Q"&amp;W64,Bonus_HLookup!$A$1:$E$2,2,FALSE)</f>
        <v>0.04</v>
      </c>
      <c r="Z64">
        <f t="shared" si="7"/>
        <v>44350.7</v>
      </c>
      <c r="AA64" s="1">
        <f t="shared" si="8"/>
        <v>38991.311397719866</v>
      </c>
      <c r="AB64">
        <f t="shared" si="9"/>
        <v>285</v>
      </c>
    </row>
    <row r="65" spans="1:28" x14ac:dyDescent="0.3">
      <c r="A65">
        <v>1064</v>
      </c>
      <c r="B65" t="s">
        <v>127</v>
      </c>
      <c r="C65" t="s">
        <v>30</v>
      </c>
      <c r="D65" t="s">
        <v>14</v>
      </c>
      <c r="E65" t="s">
        <v>128</v>
      </c>
      <c r="F65" t="s">
        <v>28</v>
      </c>
      <c r="G65">
        <v>8</v>
      </c>
      <c r="H65">
        <v>950</v>
      </c>
      <c r="I65">
        <v>8</v>
      </c>
      <c r="J65">
        <v>190296</v>
      </c>
      <c r="K65">
        <v>7</v>
      </c>
      <c r="L65">
        <v>5</v>
      </c>
      <c r="M65" t="str">
        <f>VLOOKUP(Sales_Data!F65,Product_Master!$A$2:$D$11,2)</f>
        <v>Webcam</v>
      </c>
      <c r="N65" t="str">
        <f>VLOOKUP(F65,Product_Master!$A$2:$C$11,3)</f>
        <v>Accessories</v>
      </c>
      <c r="O65">
        <f>VLOOKUP(F65,Product_Master!$A$2:$D$11,4,FALSE)</f>
        <v>700</v>
      </c>
      <c r="P65">
        <f t="shared" si="0"/>
        <v>7600</v>
      </c>
      <c r="Q65">
        <f t="shared" si="1"/>
        <v>608</v>
      </c>
      <c r="R65">
        <f t="shared" si="2"/>
        <v>6992</v>
      </c>
      <c r="S65">
        <f t="shared" si="3"/>
        <v>1392</v>
      </c>
      <c r="T65" t="str">
        <f>_xlfn.CONCAT(Sales_Data!C65,"-",Sales_Data!E65,"-",Sales_Data!A65)</f>
        <v>South-C1013-1064</v>
      </c>
      <c r="U65" t="str">
        <f t="shared" si="4"/>
        <v>Regular</v>
      </c>
      <c r="V65" t="str" cm="1">
        <f t="array" ref="V65">_xlfn.IFS(R65&gt;=100000,"Excellent",R65&gt;=50000,"Good",R65&gt;=20000,"Average",TRUE,"Poor")</f>
        <v>Poor</v>
      </c>
      <c r="W65">
        <f t="shared" si="5"/>
        <v>3</v>
      </c>
      <c r="X65" t="str">
        <f t="shared" si="6"/>
        <v>July</v>
      </c>
      <c r="Y65">
        <f>HLOOKUP("Q"&amp;W65,Bonus_HLookup!$A$1:$E$2,2,FALSE)</f>
        <v>0.06</v>
      </c>
      <c r="Z65">
        <f t="shared" si="7"/>
        <v>66603.600000000006</v>
      </c>
      <c r="AA65" s="1">
        <f t="shared" si="8"/>
        <v>3768.0888774343553</v>
      </c>
      <c r="AB65">
        <f t="shared" si="9"/>
        <v>722</v>
      </c>
    </row>
    <row r="66" spans="1:28" x14ac:dyDescent="0.3">
      <c r="A66">
        <v>1065</v>
      </c>
      <c r="B66" t="s">
        <v>129</v>
      </c>
      <c r="C66" t="s">
        <v>30</v>
      </c>
      <c r="D66" t="s">
        <v>59</v>
      </c>
      <c r="E66" t="s">
        <v>38</v>
      </c>
      <c r="F66" t="s">
        <v>16</v>
      </c>
      <c r="G66">
        <v>8</v>
      </c>
      <c r="H66">
        <v>2500</v>
      </c>
      <c r="I66">
        <v>15</v>
      </c>
      <c r="J66">
        <v>271260</v>
      </c>
      <c r="K66">
        <v>7</v>
      </c>
      <c r="L66">
        <v>1</v>
      </c>
      <c r="M66" t="str">
        <f>VLOOKUP(Sales_Data!F66,Product_Master!$A$2:$D$11,2)</f>
        <v>Speaker</v>
      </c>
      <c r="N66" t="str">
        <f>VLOOKUP(F66,Product_Master!$A$2:$C$11,3)</f>
        <v>Accessories</v>
      </c>
      <c r="O66">
        <f>VLOOKUP(F66,Product_Master!$A$2:$D$11,4,FALSE)</f>
        <v>1800</v>
      </c>
      <c r="P66">
        <f t="shared" si="0"/>
        <v>20000</v>
      </c>
      <c r="Q66">
        <f t="shared" si="1"/>
        <v>3000</v>
      </c>
      <c r="R66">
        <f t="shared" si="2"/>
        <v>17000</v>
      </c>
      <c r="S66">
        <f t="shared" si="3"/>
        <v>2600</v>
      </c>
      <c r="T66" t="str">
        <f>_xlfn.CONCAT(Sales_Data!C66,"-",Sales_Data!E66,"-",Sales_Data!A66)</f>
        <v>South-C1009-1065</v>
      </c>
      <c r="U66" t="str">
        <f t="shared" si="4"/>
        <v>Regular</v>
      </c>
      <c r="V66" t="str" cm="1">
        <f t="array" ref="V66">_xlfn.IFS(R66&gt;=100000,"Excellent",R66&gt;=50000,"Good",R66&gt;=20000,"Average",TRUE,"Poor")</f>
        <v>Poor</v>
      </c>
      <c r="W66">
        <f t="shared" si="5"/>
        <v>1</v>
      </c>
      <c r="X66" t="str">
        <f t="shared" si="6"/>
        <v>March</v>
      </c>
      <c r="Y66">
        <f>HLOOKUP("Q"&amp;W66,Bonus_HLookup!$A$1:$E$2,2,FALSE)</f>
        <v>0.02</v>
      </c>
      <c r="Z66">
        <f t="shared" si="7"/>
        <v>18988.2</v>
      </c>
      <c r="AA66" s="1">
        <f t="shared" si="8"/>
        <v>23471.245146580928</v>
      </c>
      <c r="AB66">
        <f t="shared" si="9"/>
        <v>503</v>
      </c>
    </row>
    <row r="67" spans="1:28" x14ac:dyDescent="0.3">
      <c r="A67">
        <v>1066</v>
      </c>
      <c r="B67" t="s">
        <v>130</v>
      </c>
      <c r="C67" t="s">
        <v>13</v>
      </c>
      <c r="D67" t="s">
        <v>50</v>
      </c>
      <c r="E67" t="s">
        <v>131</v>
      </c>
      <c r="F67" t="s">
        <v>69</v>
      </c>
      <c r="G67">
        <v>7</v>
      </c>
      <c r="H67">
        <v>2000</v>
      </c>
      <c r="I67">
        <v>10</v>
      </c>
      <c r="J67">
        <v>80077</v>
      </c>
      <c r="K67">
        <v>8</v>
      </c>
      <c r="L67">
        <v>1</v>
      </c>
      <c r="M67" t="str">
        <f>VLOOKUP(Sales_Data!F67,Product_Master!$A$2:$D$11,2)</f>
        <v>Headset</v>
      </c>
      <c r="N67" t="str">
        <f>VLOOKUP(F67,Product_Master!$A$2:$C$11,3)</f>
        <v>Accessories</v>
      </c>
      <c r="O67">
        <f>VLOOKUP(F67,Product_Master!$A$2:$D$11,4,FALSE)</f>
        <v>1500</v>
      </c>
      <c r="P67">
        <f t="shared" ref="P67:P130" si="10">H67*G67</f>
        <v>14000</v>
      </c>
      <c r="Q67">
        <f t="shared" ref="Q67:Q130" si="11">P67*(I67/100)</f>
        <v>1400</v>
      </c>
      <c r="R67">
        <f t="shared" ref="R67:R130" si="12">P67-Q67</f>
        <v>12600</v>
      </c>
      <c r="S67">
        <f t="shared" ref="S67:S130" si="13">R67-(G67*O67)</f>
        <v>2100</v>
      </c>
      <c r="T67" t="str">
        <f>_xlfn.CONCAT(Sales_Data!C67,"-",Sales_Data!E67,"-",Sales_Data!A67)</f>
        <v>West-C1047-1066</v>
      </c>
      <c r="U67" t="str">
        <f t="shared" ref="U67:U130" si="14">IF(R67&gt;=50000,"High Value","Regular")</f>
        <v>Regular</v>
      </c>
      <c r="V67" t="str" cm="1">
        <f t="array" ref="V67">_xlfn.IFS(R67&gt;=100000,"Excellent",R67&gt;=50000,"Good",R67&gt;=20000,"Average",TRUE,"Poor")</f>
        <v>Poor</v>
      </c>
      <c r="W67">
        <f t="shared" ref="W67:W130" si="15">ROUNDUP(MONTH(B67)/3,0)</f>
        <v>3</v>
      </c>
      <c r="X67" t="str">
        <f t="shared" ref="X67:X130" si="16">TEXT(B67,"mmmm")</f>
        <v>July</v>
      </c>
      <c r="Y67">
        <f>HLOOKUP("Q"&amp;W67,Bonus_HLookup!$A$1:$E$2,2,FALSE)</f>
        <v>0.06</v>
      </c>
      <c r="Z67">
        <f t="shared" ref="Z67:Z130" si="17">(J67*K67*L67)/100</f>
        <v>6406.16</v>
      </c>
      <c r="AA67" s="1">
        <f t="shared" ref="AA67:AA130" si="18">PMT(K67/1200,L67*12,-J67)</f>
        <v>6965.7724358732621</v>
      </c>
      <c r="AB67">
        <f t="shared" ref="AB67:AB130" si="19">RANK(R67,$R$2:$R$1001)</f>
        <v>575</v>
      </c>
    </row>
    <row r="68" spans="1:28" x14ac:dyDescent="0.3">
      <c r="A68">
        <v>1067</v>
      </c>
      <c r="B68" t="s">
        <v>132</v>
      </c>
      <c r="C68" t="s">
        <v>30</v>
      </c>
      <c r="D68" t="s">
        <v>33</v>
      </c>
      <c r="E68" t="s">
        <v>133</v>
      </c>
      <c r="F68" t="s">
        <v>39</v>
      </c>
      <c r="G68">
        <v>2</v>
      </c>
      <c r="H68">
        <v>7000</v>
      </c>
      <c r="I68">
        <v>8</v>
      </c>
      <c r="J68">
        <v>311541</v>
      </c>
      <c r="K68">
        <v>11</v>
      </c>
      <c r="L68">
        <v>5</v>
      </c>
      <c r="M68" t="str">
        <f>VLOOKUP(Sales_Data!F68,Product_Master!$A$2:$D$11,2)</f>
        <v>Router</v>
      </c>
      <c r="N68" t="str">
        <f>VLOOKUP(F68,Product_Master!$A$2:$C$11,3)</f>
        <v>Electronics</v>
      </c>
      <c r="O68">
        <f>VLOOKUP(F68,Product_Master!$A$2:$D$11,4,FALSE)</f>
        <v>5000</v>
      </c>
      <c r="P68">
        <f t="shared" si="10"/>
        <v>14000</v>
      </c>
      <c r="Q68">
        <f t="shared" si="11"/>
        <v>1120</v>
      </c>
      <c r="R68">
        <f t="shared" si="12"/>
        <v>12880</v>
      </c>
      <c r="S68">
        <f t="shared" si="13"/>
        <v>2880</v>
      </c>
      <c r="T68" t="str">
        <f>_xlfn.CONCAT(Sales_Data!C68,"-",Sales_Data!E68,"-",Sales_Data!A68)</f>
        <v>South-C1021-1067</v>
      </c>
      <c r="U68" t="str">
        <f t="shared" si="14"/>
        <v>Regular</v>
      </c>
      <c r="V68" t="str" cm="1">
        <f t="array" ref="V68">_xlfn.IFS(R68&gt;=100000,"Excellent",R68&gt;=50000,"Good",R68&gt;=20000,"Average",TRUE,"Poor")</f>
        <v>Poor</v>
      </c>
      <c r="W68">
        <f t="shared" si="15"/>
        <v>3</v>
      </c>
      <c r="X68" t="str">
        <f t="shared" si="16"/>
        <v>September</v>
      </c>
      <c r="Y68">
        <f>HLOOKUP("Q"&amp;W68,Bonus_HLookup!$A$1:$E$2,2,FALSE)</f>
        <v>0.06</v>
      </c>
      <c r="Z68">
        <f t="shared" si="17"/>
        <v>171347.55</v>
      </c>
      <c r="AA68" s="1">
        <f t="shared" si="18"/>
        <v>6773.6562264743689</v>
      </c>
      <c r="AB68">
        <f t="shared" si="19"/>
        <v>568</v>
      </c>
    </row>
    <row r="69" spans="1:28" x14ac:dyDescent="0.3">
      <c r="A69">
        <v>1068</v>
      </c>
      <c r="B69" t="s">
        <v>134</v>
      </c>
      <c r="C69" t="s">
        <v>13</v>
      </c>
      <c r="D69" t="s">
        <v>14</v>
      </c>
      <c r="E69" t="s">
        <v>20</v>
      </c>
      <c r="F69" t="s">
        <v>25</v>
      </c>
      <c r="G69">
        <v>3</v>
      </c>
      <c r="H69">
        <v>1500</v>
      </c>
      <c r="I69">
        <v>0</v>
      </c>
      <c r="J69">
        <v>368301</v>
      </c>
      <c r="K69">
        <v>8</v>
      </c>
      <c r="L69">
        <v>1</v>
      </c>
      <c r="M69" t="str">
        <f>VLOOKUP(Sales_Data!F69,Product_Master!$A$2:$D$11,2)</f>
        <v>Keyboard</v>
      </c>
      <c r="N69" t="str">
        <f>VLOOKUP(F69,Product_Master!$A$2:$C$11,3)</f>
        <v>Accessories</v>
      </c>
      <c r="O69">
        <f>VLOOKUP(F69,Product_Master!$A$2:$D$11,4,FALSE)</f>
        <v>1200</v>
      </c>
      <c r="P69">
        <f t="shared" si="10"/>
        <v>4500</v>
      </c>
      <c r="Q69">
        <f t="shared" si="11"/>
        <v>0</v>
      </c>
      <c r="R69">
        <f t="shared" si="12"/>
        <v>4500</v>
      </c>
      <c r="S69">
        <f t="shared" si="13"/>
        <v>900</v>
      </c>
      <c r="T69" t="str">
        <f>_xlfn.CONCAT(Sales_Data!C69,"-",Sales_Data!E69,"-",Sales_Data!A69)</f>
        <v>West-C1003-1068</v>
      </c>
      <c r="U69" t="str">
        <f t="shared" si="14"/>
        <v>Regular</v>
      </c>
      <c r="V69" t="str" cm="1">
        <f t="array" ref="V69">_xlfn.IFS(R69&gt;=100000,"Excellent",R69&gt;=50000,"Good",R69&gt;=20000,"Average",TRUE,"Poor")</f>
        <v>Poor</v>
      </c>
      <c r="W69">
        <f t="shared" si="15"/>
        <v>4</v>
      </c>
      <c r="X69" t="str">
        <f t="shared" si="16"/>
        <v>October</v>
      </c>
      <c r="Y69">
        <f>HLOOKUP("Q"&amp;W69,Bonus_HLookup!$A$1:$E$2,2,FALSE)</f>
        <v>0.08</v>
      </c>
      <c r="Z69">
        <f t="shared" si="17"/>
        <v>29464.080000000002</v>
      </c>
      <c r="AA69" s="1">
        <f t="shared" si="18"/>
        <v>32037.925420589665</v>
      </c>
      <c r="AB69">
        <f t="shared" si="19"/>
        <v>805</v>
      </c>
    </row>
    <row r="70" spans="1:28" x14ac:dyDescent="0.3">
      <c r="A70">
        <v>1069</v>
      </c>
      <c r="B70" t="s">
        <v>135</v>
      </c>
      <c r="C70" t="s">
        <v>13</v>
      </c>
      <c r="D70" t="s">
        <v>14</v>
      </c>
      <c r="E70" t="s">
        <v>77</v>
      </c>
      <c r="F70" t="s">
        <v>52</v>
      </c>
      <c r="G70">
        <v>9</v>
      </c>
      <c r="H70">
        <v>500</v>
      </c>
      <c r="I70">
        <v>8</v>
      </c>
      <c r="J70">
        <v>442412</v>
      </c>
      <c r="K70">
        <v>11</v>
      </c>
      <c r="L70">
        <v>5</v>
      </c>
      <c r="M70" t="str">
        <f>VLOOKUP(Sales_Data!F70,Product_Master!$A$2:$D$11,2)</f>
        <v>Mouse</v>
      </c>
      <c r="N70" t="str">
        <f>VLOOKUP(F70,Product_Master!$A$2:$C$11,3)</f>
        <v>Accessories</v>
      </c>
      <c r="O70">
        <f>VLOOKUP(F70,Product_Master!$A$2:$D$11,4,FALSE)</f>
        <v>350</v>
      </c>
      <c r="P70">
        <f t="shared" si="10"/>
        <v>4500</v>
      </c>
      <c r="Q70">
        <f t="shared" si="11"/>
        <v>360</v>
      </c>
      <c r="R70">
        <f t="shared" si="12"/>
        <v>4140</v>
      </c>
      <c r="S70">
        <f t="shared" si="13"/>
        <v>990</v>
      </c>
      <c r="T70" t="str">
        <f>_xlfn.CONCAT(Sales_Data!C70,"-",Sales_Data!E70,"-",Sales_Data!A70)</f>
        <v>West-C1020-1069</v>
      </c>
      <c r="U70" t="str">
        <f t="shared" si="14"/>
        <v>Regular</v>
      </c>
      <c r="V70" t="str" cm="1">
        <f t="array" ref="V70">_xlfn.IFS(R70&gt;=100000,"Excellent",R70&gt;=50000,"Good",R70&gt;=20000,"Average",TRUE,"Poor")</f>
        <v>Poor</v>
      </c>
      <c r="W70">
        <f t="shared" si="15"/>
        <v>2</v>
      </c>
      <c r="X70" t="str">
        <f t="shared" si="16"/>
        <v>May</v>
      </c>
      <c r="Y70">
        <f>HLOOKUP("Q"&amp;W70,Bonus_HLookup!$A$1:$E$2,2,FALSE)</f>
        <v>0.04</v>
      </c>
      <c r="Z70">
        <f t="shared" si="17"/>
        <v>243326.6</v>
      </c>
      <c r="AA70" s="1">
        <f t="shared" si="18"/>
        <v>9619.1088764142733</v>
      </c>
      <c r="AB70">
        <f t="shared" si="19"/>
        <v>829</v>
      </c>
    </row>
    <row r="71" spans="1:28" x14ac:dyDescent="0.3">
      <c r="A71">
        <v>1070</v>
      </c>
      <c r="B71" t="s">
        <v>136</v>
      </c>
      <c r="C71" t="s">
        <v>18</v>
      </c>
      <c r="D71" t="s">
        <v>14</v>
      </c>
      <c r="E71" t="s">
        <v>89</v>
      </c>
      <c r="F71" t="s">
        <v>52</v>
      </c>
      <c r="G71">
        <v>3</v>
      </c>
      <c r="H71">
        <v>500</v>
      </c>
      <c r="I71">
        <v>8</v>
      </c>
      <c r="J71">
        <v>409835</v>
      </c>
      <c r="K71">
        <v>9</v>
      </c>
      <c r="L71">
        <v>3</v>
      </c>
      <c r="M71" t="str">
        <f>VLOOKUP(Sales_Data!F71,Product_Master!$A$2:$D$11,2)</f>
        <v>Mouse</v>
      </c>
      <c r="N71" t="str">
        <f>VLOOKUP(F71,Product_Master!$A$2:$C$11,3)</f>
        <v>Accessories</v>
      </c>
      <c r="O71">
        <f>VLOOKUP(F71,Product_Master!$A$2:$D$11,4,FALSE)</f>
        <v>350</v>
      </c>
      <c r="P71">
        <f t="shared" si="10"/>
        <v>1500</v>
      </c>
      <c r="Q71">
        <f t="shared" si="11"/>
        <v>120</v>
      </c>
      <c r="R71">
        <f t="shared" si="12"/>
        <v>1380</v>
      </c>
      <c r="S71">
        <f t="shared" si="13"/>
        <v>330</v>
      </c>
      <c r="T71" t="str">
        <f>_xlfn.CONCAT(Sales_Data!C71,"-",Sales_Data!E71,"-",Sales_Data!A71)</f>
        <v>North-C1022-1070</v>
      </c>
      <c r="U71" t="str">
        <f t="shared" si="14"/>
        <v>Regular</v>
      </c>
      <c r="V71" t="str" cm="1">
        <f t="array" ref="V71">_xlfn.IFS(R71&gt;=100000,"Excellent",R71&gt;=50000,"Good",R71&gt;=20000,"Average",TRUE,"Poor")</f>
        <v>Poor</v>
      </c>
      <c r="W71">
        <f t="shared" si="15"/>
        <v>2</v>
      </c>
      <c r="X71" t="str">
        <f t="shared" si="16"/>
        <v>May</v>
      </c>
      <c r="Y71">
        <f>HLOOKUP("Q"&amp;W71,Bonus_HLookup!$A$1:$E$2,2,FALSE)</f>
        <v>0.04</v>
      </c>
      <c r="Z71">
        <f t="shared" si="17"/>
        <v>110655.45</v>
      </c>
      <c r="AA71" s="1">
        <f t="shared" si="18"/>
        <v>13032.64343468679</v>
      </c>
      <c r="AB71">
        <f t="shared" si="19"/>
        <v>954</v>
      </c>
    </row>
    <row r="72" spans="1:28" x14ac:dyDescent="0.3">
      <c r="A72">
        <v>1071</v>
      </c>
      <c r="B72" t="s">
        <v>137</v>
      </c>
      <c r="C72" t="s">
        <v>13</v>
      </c>
      <c r="D72" t="s">
        <v>50</v>
      </c>
      <c r="E72" t="s">
        <v>125</v>
      </c>
      <c r="F72" t="s">
        <v>69</v>
      </c>
      <c r="G72">
        <v>9</v>
      </c>
      <c r="H72">
        <v>2000</v>
      </c>
      <c r="I72">
        <v>2</v>
      </c>
      <c r="J72">
        <v>98696</v>
      </c>
      <c r="K72">
        <v>7</v>
      </c>
      <c r="L72">
        <v>5</v>
      </c>
      <c r="M72" t="str">
        <f>VLOOKUP(Sales_Data!F72,Product_Master!$A$2:$D$11,2)</f>
        <v>Headset</v>
      </c>
      <c r="N72" t="str">
        <f>VLOOKUP(F72,Product_Master!$A$2:$C$11,3)</f>
        <v>Accessories</v>
      </c>
      <c r="O72">
        <f>VLOOKUP(F72,Product_Master!$A$2:$D$11,4,FALSE)</f>
        <v>1500</v>
      </c>
      <c r="P72">
        <f t="shared" si="10"/>
        <v>18000</v>
      </c>
      <c r="Q72">
        <f t="shared" si="11"/>
        <v>360</v>
      </c>
      <c r="R72">
        <f t="shared" si="12"/>
        <v>17640</v>
      </c>
      <c r="S72">
        <f t="shared" si="13"/>
        <v>4140</v>
      </c>
      <c r="T72" t="str">
        <f>_xlfn.CONCAT(Sales_Data!C72,"-",Sales_Data!E72,"-",Sales_Data!A72)</f>
        <v>West-C1039-1071</v>
      </c>
      <c r="U72" t="str">
        <f t="shared" si="14"/>
        <v>Regular</v>
      </c>
      <c r="V72" t="str" cm="1">
        <f t="array" ref="V72">_xlfn.IFS(R72&gt;=100000,"Excellent",R72&gt;=50000,"Good",R72&gt;=20000,"Average",TRUE,"Poor")</f>
        <v>Poor</v>
      </c>
      <c r="W72">
        <f t="shared" si="15"/>
        <v>1</v>
      </c>
      <c r="X72" t="str">
        <f t="shared" si="16"/>
        <v>February</v>
      </c>
      <c r="Y72">
        <f>HLOOKUP("Q"&amp;W72,Bonus_HLookup!$A$1:$E$2,2,FALSE)</f>
        <v>0.02</v>
      </c>
      <c r="Z72">
        <f t="shared" si="17"/>
        <v>34543.599999999999</v>
      </c>
      <c r="AA72" s="1">
        <f t="shared" si="18"/>
        <v>1954.2990911383376</v>
      </c>
      <c r="AB72">
        <f t="shared" si="19"/>
        <v>487</v>
      </c>
    </row>
    <row r="73" spans="1:28" x14ac:dyDescent="0.3">
      <c r="A73">
        <v>1072</v>
      </c>
      <c r="B73" t="s">
        <v>37</v>
      </c>
      <c r="C73" t="s">
        <v>13</v>
      </c>
      <c r="D73" t="s">
        <v>50</v>
      </c>
      <c r="E73" t="s">
        <v>94</v>
      </c>
      <c r="F73" t="s">
        <v>16</v>
      </c>
      <c r="G73">
        <v>2</v>
      </c>
      <c r="H73">
        <v>2500</v>
      </c>
      <c r="I73">
        <v>10</v>
      </c>
      <c r="J73">
        <v>304976</v>
      </c>
      <c r="K73">
        <v>7</v>
      </c>
      <c r="L73">
        <v>5</v>
      </c>
      <c r="M73" t="str">
        <f>VLOOKUP(Sales_Data!F73,Product_Master!$A$2:$D$11,2)</f>
        <v>Speaker</v>
      </c>
      <c r="N73" t="str">
        <f>VLOOKUP(F73,Product_Master!$A$2:$C$11,3)</f>
        <v>Accessories</v>
      </c>
      <c r="O73">
        <f>VLOOKUP(F73,Product_Master!$A$2:$D$11,4,FALSE)</f>
        <v>1800</v>
      </c>
      <c r="P73">
        <f t="shared" si="10"/>
        <v>5000</v>
      </c>
      <c r="Q73">
        <f t="shared" si="11"/>
        <v>500</v>
      </c>
      <c r="R73">
        <f t="shared" si="12"/>
        <v>4500</v>
      </c>
      <c r="S73">
        <f t="shared" si="13"/>
        <v>900</v>
      </c>
      <c r="T73" t="str">
        <f>_xlfn.CONCAT(Sales_Data!C73,"-",Sales_Data!E73,"-",Sales_Data!A73)</f>
        <v>West-C1027-1072</v>
      </c>
      <c r="U73" t="str">
        <f t="shared" si="14"/>
        <v>Regular</v>
      </c>
      <c r="V73" t="str" cm="1">
        <f t="array" ref="V73">_xlfn.IFS(R73&gt;=100000,"Excellent",R73&gt;=50000,"Good",R73&gt;=20000,"Average",TRUE,"Poor")</f>
        <v>Poor</v>
      </c>
      <c r="W73">
        <f t="shared" si="15"/>
        <v>4</v>
      </c>
      <c r="X73" t="str">
        <f t="shared" si="16"/>
        <v>November</v>
      </c>
      <c r="Y73">
        <f>HLOOKUP("Q"&amp;W73,Bonus_HLookup!$A$1:$E$2,2,FALSE)</f>
        <v>0.08</v>
      </c>
      <c r="Z73">
        <f t="shared" si="17"/>
        <v>106741.6</v>
      </c>
      <c r="AA73" s="1">
        <f t="shared" si="18"/>
        <v>6038.8903260416391</v>
      </c>
      <c r="AB73">
        <f t="shared" si="19"/>
        <v>805</v>
      </c>
    </row>
    <row r="74" spans="1:28" x14ac:dyDescent="0.3">
      <c r="A74">
        <v>1073</v>
      </c>
      <c r="B74" t="s">
        <v>138</v>
      </c>
      <c r="C74" t="s">
        <v>30</v>
      </c>
      <c r="D74" t="s">
        <v>59</v>
      </c>
      <c r="E74" t="s">
        <v>47</v>
      </c>
      <c r="F74" t="s">
        <v>69</v>
      </c>
      <c r="G74">
        <v>7</v>
      </c>
      <c r="H74">
        <v>2000</v>
      </c>
      <c r="I74">
        <v>10</v>
      </c>
      <c r="J74">
        <v>278181</v>
      </c>
      <c r="K74">
        <v>8</v>
      </c>
      <c r="L74">
        <v>3</v>
      </c>
      <c r="M74" t="str">
        <f>VLOOKUP(Sales_Data!F74,Product_Master!$A$2:$D$11,2)</f>
        <v>Headset</v>
      </c>
      <c r="N74" t="str">
        <f>VLOOKUP(F74,Product_Master!$A$2:$C$11,3)</f>
        <v>Accessories</v>
      </c>
      <c r="O74">
        <f>VLOOKUP(F74,Product_Master!$A$2:$D$11,4,FALSE)</f>
        <v>1500</v>
      </c>
      <c r="P74">
        <f t="shared" si="10"/>
        <v>14000</v>
      </c>
      <c r="Q74">
        <f t="shared" si="11"/>
        <v>1400</v>
      </c>
      <c r="R74">
        <f t="shared" si="12"/>
        <v>12600</v>
      </c>
      <c r="S74">
        <f t="shared" si="13"/>
        <v>2100</v>
      </c>
      <c r="T74" t="str">
        <f>_xlfn.CONCAT(Sales_Data!C74,"-",Sales_Data!E74,"-",Sales_Data!A74)</f>
        <v>South-C1030-1073</v>
      </c>
      <c r="U74" t="str">
        <f t="shared" si="14"/>
        <v>Regular</v>
      </c>
      <c r="V74" t="str" cm="1">
        <f t="array" ref="V74">_xlfn.IFS(R74&gt;=100000,"Excellent",R74&gt;=50000,"Good",R74&gt;=20000,"Average",TRUE,"Poor")</f>
        <v>Poor</v>
      </c>
      <c r="W74">
        <f t="shared" si="15"/>
        <v>2</v>
      </c>
      <c r="X74" t="str">
        <f t="shared" si="16"/>
        <v>May</v>
      </c>
      <c r="Y74">
        <f>HLOOKUP("Q"&amp;W74,Bonus_HLookup!$A$1:$E$2,2,FALSE)</f>
        <v>0.04</v>
      </c>
      <c r="Z74">
        <f t="shared" si="17"/>
        <v>66763.44</v>
      </c>
      <c r="AA74" s="1">
        <f t="shared" si="18"/>
        <v>8717.1814804262958</v>
      </c>
      <c r="AB74">
        <f t="shared" si="19"/>
        <v>575</v>
      </c>
    </row>
    <row r="75" spans="1:28" x14ac:dyDescent="0.3">
      <c r="A75">
        <v>1074</v>
      </c>
      <c r="B75" t="s">
        <v>139</v>
      </c>
      <c r="C75" t="s">
        <v>13</v>
      </c>
      <c r="D75" t="s">
        <v>91</v>
      </c>
      <c r="E75" t="s">
        <v>140</v>
      </c>
      <c r="F75" t="s">
        <v>39</v>
      </c>
      <c r="G75">
        <v>3</v>
      </c>
      <c r="H75">
        <v>7000</v>
      </c>
      <c r="I75">
        <v>5</v>
      </c>
      <c r="J75">
        <v>359404</v>
      </c>
      <c r="K75">
        <v>10</v>
      </c>
      <c r="L75">
        <v>3</v>
      </c>
      <c r="M75" t="str">
        <f>VLOOKUP(Sales_Data!F75,Product_Master!$A$2:$D$11,2)</f>
        <v>Router</v>
      </c>
      <c r="N75" t="str">
        <f>VLOOKUP(F75,Product_Master!$A$2:$C$11,3)</f>
        <v>Electronics</v>
      </c>
      <c r="O75">
        <f>VLOOKUP(F75,Product_Master!$A$2:$D$11,4,FALSE)</f>
        <v>5000</v>
      </c>
      <c r="P75">
        <f t="shared" si="10"/>
        <v>21000</v>
      </c>
      <c r="Q75">
        <f t="shared" si="11"/>
        <v>1050</v>
      </c>
      <c r="R75">
        <f t="shared" si="12"/>
        <v>19950</v>
      </c>
      <c r="S75">
        <f t="shared" si="13"/>
        <v>4950</v>
      </c>
      <c r="T75" t="str">
        <f>_xlfn.CONCAT(Sales_Data!C75,"-",Sales_Data!E75,"-",Sales_Data!A75)</f>
        <v>West-C1011-1074</v>
      </c>
      <c r="U75" t="str">
        <f t="shared" si="14"/>
        <v>Regular</v>
      </c>
      <c r="V75" t="str" cm="1">
        <f t="array" ref="V75">_xlfn.IFS(R75&gt;=100000,"Excellent",R75&gt;=50000,"Good",R75&gt;=20000,"Average",TRUE,"Poor")</f>
        <v>Poor</v>
      </c>
      <c r="W75">
        <f t="shared" si="15"/>
        <v>4</v>
      </c>
      <c r="X75" t="str">
        <f t="shared" si="16"/>
        <v>October</v>
      </c>
      <c r="Y75">
        <f>HLOOKUP("Q"&amp;W75,Bonus_HLookup!$A$1:$E$2,2,FALSE)</f>
        <v>0.08</v>
      </c>
      <c r="Z75">
        <f t="shared" si="17"/>
        <v>107821.2</v>
      </c>
      <c r="AA75" s="1">
        <f t="shared" si="18"/>
        <v>11596.956146213966</v>
      </c>
      <c r="AB75">
        <f t="shared" si="19"/>
        <v>458</v>
      </c>
    </row>
    <row r="76" spans="1:28" x14ac:dyDescent="0.3">
      <c r="A76">
        <v>1075</v>
      </c>
      <c r="B76" t="s">
        <v>120</v>
      </c>
      <c r="C76" t="s">
        <v>18</v>
      </c>
      <c r="D76" t="s">
        <v>59</v>
      </c>
      <c r="E76" t="s">
        <v>128</v>
      </c>
      <c r="F76" t="s">
        <v>16</v>
      </c>
      <c r="G76">
        <v>5</v>
      </c>
      <c r="H76">
        <v>2500</v>
      </c>
      <c r="I76">
        <v>2</v>
      </c>
      <c r="J76">
        <v>311821</v>
      </c>
      <c r="K76">
        <v>10</v>
      </c>
      <c r="L76">
        <v>5</v>
      </c>
      <c r="M76" t="str">
        <f>VLOOKUP(Sales_Data!F76,Product_Master!$A$2:$D$11,2)</f>
        <v>Speaker</v>
      </c>
      <c r="N76" t="str">
        <f>VLOOKUP(F76,Product_Master!$A$2:$C$11,3)</f>
        <v>Accessories</v>
      </c>
      <c r="O76">
        <f>VLOOKUP(F76,Product_Master!$A$2:$D$11,4,FALSE)</f>
        <v>1800</v>
      </c>
      <c r="P76">
        <f t="shared" si="10"/>
        <v>12500</v>
      </c>
      <c r="Q76">
        <f t="shared" si="11"/>
        <v>250</v>
      </c>
      <c r="R76">
        <f t="shared" si="12"/>
        <v>12250</v>
      </c>
      <c r="S76">
        <f t="shared" si="13"/>
        <v>3250</v>
      </c>
      <c r="T76" t="str">
        <f>_xlfn.CONCAT(Sales_Data!C76,"-",Sales_Data!E76,"-",Sales_Data!A76)</f>
        <v>North-C1013-1075</v>
      </c>
      <c r="U76" t="str">
        <f t="shared" si="14"/>
        <v>Regular</v>
      </c>
      <c r="V76" t="str" cm="1">
        <f t="array" ref="V76">_xlfn.IFS(R76&gt;=100000,"Excellent",R76&gt;=50000,"Good",R76&gt;=20000,"Average",TRUE,"Poor")</f>
        <v>Poor</v>
      </c>
      <c r="W76">
        <f t="shared" si="15"/>
        <v>2</v>
      </c>
      <c r="X76" t="str">
        <f t="shared" si="16"/>
        <v>May</v>
      </c>
      <c r="Y76">
        <f>HLOOKUP("Q"&amp;W76,Bonus_HLookup!$A$1:$E$2,2,FALSE)</f>
        <v>0.04</v>
      </c>
      <c r="Z76">
        <f t="shared" si="17"/>
        <v>155910.5</v>
      </c>
      <c r="AA76" s="1">
        <f t="shared" si="18"/>
        <v>6625.2747289123845</v>
      </c>
      <c r="AB76">
        <f t="shared" si="19"/>
        <v>587</v>
      </c>
    </row>
    <row r="77" spans="1:28" x14ac:dyDescent="0.3">
      <c r="A77">
        <v>1076</v>
      </c>
      <c r="B77" t="s">
        <v>141</v>
      </c>
      <c r="C77" t="s">
        <v>18</v>
      </c>
      <c r="D77" t="s">
        <v>91</v>
      </c>
      <c r="E77" t="s">
        <v>47</v>
      </c>
      <c r="F77" t="s">
        <v>42</v>
      </c>
      <c r="G77">
        <v>6</v>
      </c>
      <c r="H77">
        <v>8000</v>
      </c>
      <c r="I77">
        <v>0</v>
      </c>
      <c r="J77">
        <v>306304</v>
      </c>
      <c r="K77">
        <v>12</v>
      </c>
      <c r="L77">
        <v>3</v>
      </c>
      <c r="M77" t="str">
        <f>VLOOKUP(Sales_Data!F77,Product_Master!$A$2:$D$11,2)</f>
        <v>Printer</v>
      </c>
      <c r="N77" t="str">
        <f>VLOOKUP(F77,Product_Master!$A$2:$C$11,3)</f>
        <v>Electronics</v>
      </c>
      <c r="O77">
        <f>VLOOKUP(F77,Product_Master!$A$2:$D$11,4,FALSE)</f>
        <v>6500</v>
      </c>
      <c r="P77">
        <f t="shared" si="10"/>
        <v>48000</v>
      </c>
      <c r="Q77">
        <f t="shared" si="11"/>
        <v>0</v>
      </c>
      <c r="R77">
        <f t="shared" si="12"/>
        <v>48000</v>
      </c>
      <c r="S77">
        <f t="shared" si="13"/>
        <v>9000</v>
      </c>
      <c r="T77" t="str">
        <f>_xlfn.CONCAT(Sales_Data!C77,"-",Sales_Data!E77,"-",Sales_Data!A77)</f>
        <v>North-C1030-1076</v>
      </c>
      <c r="U77" t="str">
        <f t="shared" si="14"/>
        <v>Regular</v>
      </c>
      <c r="V77" t="str" cm="1">
        <f t="array" ref="V77">_xlfn.IFS(R77&gt;=100000,"Excellent",R77&gt;=50000,"Good",R77&gt;=20000,"Average",TRUE,"Poor")</f>
        <v>Average</v>
      </c>
      <c r="W77">
        <f t="shared" si="15"/>
        <v>4</v>
      </c>
      <c r="X77" t="str">
        <f t="shared" si="16"/>
        <v>November</v>
      </c>
      <c r="Y77">
        <f>HLOOKUP("Q"&amp;W77,Bonus_HLookup!$A$1:$E$2,2,FALSE)</f>
        <v>0.08</v>
      </c>
      <c r="Z77">
        <f t="shared" si="17"/>
        <v>110269.44</v>
      </c>
      <c r="AA77" s="1">
        <f t="shared" si="18"/>
        <v>10173.675952915572</v>
      </c>
      <c r="AB77">
        <f t="shared" si="19"/>
        <v>308</v>
      </c>
    </row>
    <row r="78" spans="1:28" x14ac:dyDescent="0.3">
      <c r="A78">
        <v>1077</v>
      </c>
      <c r="B78" t="s">
        <v>142</v>
      </c>
      <c r="C78" t="s">
        <v>18</v>
      </c>
      <c r="D78" t="s">
        <v>33</v>
      </c>
      <c r="E78" t="s">
        <v>68</v>
      </c>
      <c r="F78" t="s">
        <v>16</v>
      </c>
      <c r="G78">
        <v>6</v>
      </c>
      <c r="H78">
        <v>2500</v>
      </c>
      <c r="I78">
        <v>0</v>
      </c>
      <c r="J78">
        <v>69038</v>
      </c>
      <c r="K78">
        <v>8</v>
      </c>
      <c r="L78">
        <v>5</v>
      </c>
      <c r="M78" t="str">
        <f>VLOOKUP(Sales_Data!F78,Product_Master!$A$2:$D$11,2)</f>
        <v>Speaker</v>
      </c>
      <c r="N78" t="str">
        <f>VLOOKUP(F78,Product_Master!$A$2:$C$11,3)</f>
        <v>Accessories</v>
      </c>
      <c r="O78">
        <f>VLOOKUP(F78,Product_Master!$A$2:$D$11,4,FALSE)</f>
        <v>1800</v>
      </c>
      <c r="P78">
        <f t="shared" si="10"/>
        <v>15000</v>
      </c>
      <c r="Q78">
        <f t="shared" si="11"/>
        <v>0</v>
      </c>
      <c r="R78">
        <f t="shared" si="12"/>
        <v>15000</v>
      </c>
      <c r="S78">
        <f t="shared" si="13"/>
        <v>4200</v>
      </c>
      <c r="T78" t="str">
        <f>_xlfn.CONCAT(Sales_Data!C78,"-",Sales_Data!E78,"-",Sales_Data!A78)</f>
        <v>North-C1043-1077</v>
      </c>
      <c r="U78" t="str">
        <f t="shared" si="14"/>
        <v>Regular</v>
      </c>
      <c r="V78" t="str" cm="1">
        <f t="array" ref="V78">_xlfn.IFS(R78&gt;=100000,"Excellent",R78&gt;=50000,"Good",R78&gt;=20000,"Average",TRUE,"Poor")</f>
        <v>Poor</v>
      </c>
      <c r="W78">
        <f t="shared" si="15"/>
        <v>1</v>
      </c>
      <c r="X78" t="str">
        <f t="shared" si="16"/>
        <v>January</v>
      </c>
      <c r="Y78">
        <f>HLOOKUP("Q"&amp;W78,Bonus_HLookup!$A$1:$E$2,2,FALSE)</f>
        <v>0.02</v>
      </c>
      <c r="Z78">
        <f t="shared" si="17"/>
        <v>27615.200000000001</v>
      </c>
      <c r="AA78" s="1">
        <f t="shared" si="18"/>
        <v>1399.8417088835038</v>
      </c>
      <c r="AB78">
        <f t="shared" si="19"/>
        <v>526</v>
      </c>
    </row>
    <row r="79" spans="1:28" x14ac:dyDescent="0.3">
      <c r="A79">
        <v>1078</v>
      </c>
      <c r="B79" t="s">
        <v>116</v>
      </c>
      <c r="C79" t="s">
        <v>13</v>
      </c>
      <c r="D79" t="s">
        <v>50</v>
      </c>
      <c r="E79" t="s">
        <v>108</v>
      </c>
      <c r="F79" t="s">
        <v>39</v>
      </c>
      <c r="G79">
        <v>8</v>
      </c>
      <c r="H79">
        <v>7000</v>
      </c>
      <c r="I79">
        <v>12</v>
      </c>
      <c r="J79">
        <v>481086</v>
      </c>
      <c r="K79">
        <v>12</v>
      </c>
      <c r="L79">
        <v>3</v>
      </c>
      <c r="M79" t="str">
        <f>VLOOKUP(Sales_Data!F79,Product_Master!$A$2:$D$11,2)</f>
        <v>Router</v>
      </c>
      <c r="N79" t="str">
        <f>VLOOKUP(F79,Product_Master!$A$2:$C$11,3)</f>
        <v>Electronics</v>
      </c>
      <c r="O79">
        <f>VLOOKUP(F79,Product_Master!$A$2:$D$11,4,FALSE)</f>
        <v>5000</v>
      </c>
      <c r="P79">
        <f t="shared" si="10"/>
        <v>56000</v>
      </c>
      <c r="Q79">
        <f t="shared" si="11"/>
        <v>6720</v>
      </c>
      <c r="R79">
        <f t="shared" si="12"/>
        <v>49280</v>
      </c>
      <c r="S79">
        <f t="shared" si="13"/>
        <v>9280</v>
      </c>
      <c r="T79" t="str">
        <f>_xlfn.CONCAT(Sales_Data!C79,"-",Sales_Data!E79,"-",Sales_Data!A79)</f>
        <v>West-C1031-1078</v>
      </c>
      <c r="U79" t="str">
        <f t="shared" si="14"/>
        <v>Regular</v>
      </c>
      <c r="V79" t="str" cm="1">
        <f t="array" ref="V79">_xlfn.IFS(R79&gt;=100000,"Excellent",R79&gt;=50000,"Good",R79&gt;=20000,"Average",TRUE,"Poor")</f>
        <v>Average</v>
      </c>
      <c r="W79">
        <f t="shared" si="15"/>
        <v>2</v>
      </c>
      <c r="X79" t="str">
        <f t="shared" si="16"/>
        <v>May</v>
      </c>
      <c r="Y79">
        <f>HLOOKUP("Q"&amp;W79,Bonus_HLookup!$A$1:$E$2,2,FALSE)</f>
        <v>0.04</v>
      </c>
      <c r="Z79">
        <f t="shared" si="17"/>
        <v>173190.96</v>
      </c>
      <c r="AA79" s="1">
        <f t="shared" si="18"/>
        <v>15978.939450625328</v>
      </c>
      <c r="AB79">
        <f t="shared" si="19"/>
        <v>297</v>
      </c>
    </row>
    <row r="80" spans="1:28" x14ac:dyDescent="0.3">
      <c r="A80">
        <v>1079</v>
      </c>
      <c r="B80" t="s">
        <v>143</v>
      </c>
      <c r="C80" t="s">
        <v>62</v>
      </c>
      <c r="D80" t="s">
        <v>14</v>
      </c>
      <c r="E80" t="s">
        <v>89</v>
      </c>
      <c r="F80" t="s">
        <v>21</v>
      </c>
      <c r="G80">
        <v>8</v>
      </c>
      <c r="H80">
        <v>12000</v>
      </c>
      <c r="I80">
        <v>0</v>
      </c>
      <c r="J80">
        <v>145355</v>
      </c>
      <c r="K80">
        <v>7</v>
      </c>
      <c r="L80">
        <v>3</v>
      </c>
      <c r="M80" t="str">
        <f>VLOOKUP(Sales_Data!F80,Product_Master!$A$2:$D$11,2)</f>
        <v>Monitor</v>
      </c>
      <c r="N80" t="str">
        <f>VLOOKUP(F80,Product_Master!$A$2:$C$11,3)</f>
        <v>Electronics</v>
      </c>
      <c r="O80">
        <f>VLOOKUP(F80,Product_Master!$A$2:$D$11,4,FALSE)</f>
        <v>9000</v>
      </c>
      <c r="P80">
        <f t="shared" si="10"/>
        <v>96000</v>
      </c>
      <c r="Q80">
        <f t="shared" si="11"/>
        <v>0</v>
      </c>
      <c r="R80">
        <f t="shared" si="12"/>
        <v>96000</v>
      </c>
      <c r="S80">
        <f t="shared" si="13"/>
        <v>24000</v>
      </c>
      <c r="T80" t="str">
        <f>_xlfn.CONCAT(Sales_Data!C80,"-",Sales_Data!E80,"-",Sales_Data!A80)</f>
        <v>East-C1022-1079</v>
      </c>
      <c r="U80" t="str">
        <f t="shared" si="14"/>
        <v>High Value</v>
      </c>
      <c r="V80" t="str" cm="1">
        <f t="array" ref="V80">_xlfn.IFS(R80&gt;=100000,"Excellent",R80&gt;=50000,"Good",R80&gt;=20000,"Average",TRUE,"Poor")</f>
        <v>Good</v>
      </c>
      <c r="W80">
        <f t="shared" si="15"/>
        <v>1</v>
      </c>
      <c r="X80" t="str">
        <f t="shared" si="16"/>
        <v>February</v>
      </c>
      <c r="Y80">
        <f>HLOOKUP("Q"&amp;W80,Bonus_HLookup!$A$1:$E$2,2,FALSE)</f>
        <v>0.02</v>
      </c>
      <c r="Z80">
        <f t="shared" si="17"/>
        <v>30524.55</v>
      </c>
      <c r="AA80" s="1">
        <f t="shared" si="18"/>
        <v>4488.1404148661386</v>
      </c>
      <c r="AB80">
        <f t="shared" si="19"/>
        <v>172</v>
      </c>
    </row>
    <row r="81" spans="1:28" x14ac:dyDescent="0.3">
      <c r="A81">
        <v>1080</v>
      </c>
      <c r="B81" t="s">
        <v>144</v>
      </c>
      <c r="C81" t="s">
        <v>62</v>
      </c>
      <c r="D81" t="s">
        <v>50</v>
      </c>
      <c r="E81" t="s">
        <v>41</v>
      </c>
      <c r="F81" t="s">
        <v>16</v>
      </c>
      <c r="G81">
        <v>9</v>
      </c>
      <c r="H81">
        <v>2500</v>
      </c>
      <c r="I81">
        <v>8</v>
      </c>
      <c r="J81">
        <v>351135</v>
      </c>
      <c r="K81">
        <v>12</v>
      </c>
      <c r="L81">
        <v>5</v>
      </c>
      <c r="M81" t="str">
        <f>VLOOKUP(Sales_Data!F81,Product_Master!$A$2:$D$11,2)</f>
        <v>Speaker</v>
      </c>
      <c r="N81" t="str">
        <f>VLOOKUP(F81,Product_Master!$A$2:$C$11,3)</f>
        <v>Accessories</v>
      </c>
      <c r="O81">
        <f>VLOOKUP(F81,Product_Master!$A$2:$D$11,4,FALSE)</f>
        <v>1800</v>
      </c>
      <c r="P81">
        <f t="shared" si="10"/>
        <v>22500</v>
      </c>
      <c r="Q81">
        <f t="shared" si="11"/>
        <v>1800</v>
      </c>
      <c r="R81">
        <f t="shared" si="12"/>
        <v>20700</v>
      </c>
      <c r="S81">
        <f t="shared" si="13"/>
        <v>4500</v>
      </c>
      <c r="T81" t="str">
        <f>_xlfn.CONCAT(Sales_Data!C81,"-",Sales_Data!E81,"-",Sales_Data!A81)</f>
        <v>East-C1023-1080</v>
      </c>
      <c r="U81" t="str">
        <f t="shared" si="14"/>
        <v>Regular</v>
      </c>
      <c r="V81" t="str" cm="1">
        <f t="array" ref="V81">_xlfn.IFS(R81&gt;=100000,"Excellent",R81&gt;=50000,"Good",R81&gt;=20000,"Average",TRUE,"Poor")</f>
        <v>Average</v>
      </c>
      <c r="W81">
        <f t="shared" si="15"/>
        <v>2</v>
      </c>
      <c r="X81" t="str">
        <f t="shared" si="16"/>
        <v>June</v>
      </c>
      <c r="Y81">
        <f>HLOOKUP("Q"&amp;W81,Bonus_HLookup!$A$1:$E$2,2,FALSE)</f>
        <v>0.04</v>
      </c>
      <c r="Z81">
        <f t="shared" si="17"/>
        <v>210681</v>
      </c>
      <c r="AA81" s="1">
        <f t="shared" si="18"/>
        <v>7810.8041378379839</v>
      </c>
      <c r="AB81">
        <f t="shared" si="19"/>
        <v>438</v>
      </c>
    </row>
    <row r="82" spans="1:28" x14ac:dyDescent="0.3">
      <c r="A82">
        <v>1081</v>
      </c>
      <c r="B82" t="s">
        <v>72</v>
      </c>
      <c r="C82" t="s">
        <v>62</v>
      </c>
      <c r="D82" t="s">
        <v>91</v>
      </c>
      <c r="E82" t="s">
        <v>71</v>
      </c>
      <c r="F82" t="s">
        <v>21</v>
      </c>
      <c r="G82">
        <v>6</v>
      </c>
      <c r="H82">
        <v>12000</v>
      </c>
      <c r="I82">
        <v>8</v>
      </c>
      <c r="J82">
        <v>80733</v>
      </c>
      <c r="K82">
        <v>11</v>
      </c>
      <c r="L82">
        <v>3</v>
      </c>
      <c r="M82" t="str">
        <f>VLOOKUP(Sales_Data!F82,Product_Master!$A$2:$D$11,2)</f>
        <v>Monitor</v>
      </c>
      <c r="N82" t="str">
        <f>VLOOKUP(F82,Product_Master!$A$2:$C$11,3)</f>
        <v>Electronics</v>
      </c>
      <c r="O82">
        <f>VLOOKUP(F82,Product_Master!$A$2:$D$11,4,FALSE)</f>
        <v>9000</v>
      </c>
      <c r="P82">
        <f t="shared" si="10"/>
        <v>72000</v>
      </c>
      <c r="Q82">
        <f t="shared" si="11"/>
        <v>5760</v>
      </c>
      <c r="R82">
        <f t="shared" si="12"/>
        <v>66240</v>
      </c>
      <c r="S82">
        <f t="shared" si="13"/>
        <v>12240</v>
      </c>
      <c r="T82" t="str">
        <f>_xlfn.CONCAT(Sales_Data!C82,"-",Sales_Data!E82,"-",Sales_Data!A82)</f>
        <v>East-C1019-1081</v>
      </c>
      <c r="U82" t="str">
        <f t="shared" si="14"/>
        <v>High Value</v>
      </c>
      <c r="V82" t="str" cm="1">
        <f t="array" ref="V82">_xlfn.IFS(R82&gt;=100000,"Excellent",R82&gt;=50000,"Good",R82&gt;=20000,"Average",TRUE,"Poor")</f>
        <v>Good</v>
      </c>
      <c r="W82">
        <f t="shared" si="15"/>
        <v>4</v>
      </c>
      <c r="X82" t="str">
        <f t="shared" si="16"/>
        <v>October</v>
      </c>
      <c r="Y82">
        <f>HLOOKUP("Q"&amp;W82,Bonus_HLookup!$A$1:$E$2,2,FALSE)</f>
        <v>0.08</v>
      </c>
      <c r="Z82">
        <f t="shared" si="17"/>
        <v>26641.89</v>
      </c>
      <c r="AA82" s="1">
        <f t="shared" si="18"/>
        <v>2643.0948490069259</v>
      </c>
      <c r="AB82">
        <f t="shared" si="19"/>
        <v>230</v>
      </c>
    </row>
    <row r="83" spans="1:28" x14ac:dyDescent="0.3">
      <c r="A83">
        <v>1082</v>
      </c>
      <c r="B83" t="s">
        <v>145</v>
      </c>
      <c r="C83" t="s">
        <v>13</v>
      </c>
      <c r="D83" t="s">
        <v>91</v>
      </c>
      <c r="E83" t="s">
        <v>146</v>
      </c>
      <c r="F83" t="s">
        <v>52</v>
      </c>
      <c r="G83">
        <v>5</v>
      </c>
      <c r="H83">
        <v>500</v>
      </c>
      <c r="I83">
        <v>10</v>
      </c>
      <c r="J83">
        <v>94670</v>
      </c>
      <c r="K83">
        <v>11</v>
      </c>
      <c r="L83">
        <v>4</v>
      </c>
      <c r="M83" t="str">
        <f>VLOOKUP(Sales_Data!F83,Product_Master!$A$2:$D$11,2)</f>
        <v>Mouse</v>
      </c>
      <c r="N83" t="str">
        <f>VLOOKUP(F83,Product_Master!$A$2:$C$11,3)</f>
        <v>Accessories</v>
      </c>
      <c r="O83">
        <f>VLOOKUP(F83,Product_Master!$A$2:$D$11,4,FALSE)</f>
        <v>350</v>
      </c>
      <c r="P83">
        <f t="shared" si="10"/>
        <v>2500</v>
      </c>
      <c r="Q83">
        <f t="shared" si="11"/>
        <v>250</v>
      </c>
      <c r="R83">
        <f t="shared" si="12"/>
        <v>2250</v>
      </c>
      <c r="S83">
        <f t="shared" si="13"/>
        <v>500</v>
      </c>
      <c r="T83" t="str">
        <f>_xlfn.CONCAT(Sales_Data!C83,"-",Sales_Data!E83,"-",Sales_Data!A83)</f>
        <v>West-C1017-1082</v>
      </c>
      <c r="U83" t="str">
        <f t="shared" si="14"/>
        <v>Regular</v>
      </c>
      <c r="V83" t="str" cm="1">
        <f t="array" ref="V83">_xlfn.IFS(R83&gt;=100000,"Excellent",R83&gt;=50000,"Good",R83&gt;=20000,"Average",TRUE,"Poor")</f>
        <v>Poor</v>
      </c>
      <c r="W83">
        <f t="shared" si="15"/>
        <v>1</v>
      </c>
      <c r="X83" t="str">
        <f t="shared" si="16"/>
        <v>March</v>
      </c>
      <c r="Y83">
        <f>HLOOKUP("Q"&amp;W83,Bonus_HLookup!$A$1:$E$2,2,FALSE)</f>
        <v>0.02</v>
      </c>
      <c r="Z83">
        <f t="shared" si="17"/>
        <v>41654.800000000003</v>
      </c>
      <c r="AA83" s="1">
        <f t="shared" si="18"/>
        <v>2446.7956256262378</v>
      </c>
      <c r="AB83">
        <f t="shared" si="19"/>
        <v>921</v>
      </c>
    </row>
    <row r="84" spans="1:28" x14ac:dyDescent="0.3">
      <c r="A84">
        <v>1083</v>
      </c>
      <c r="B84" t="s">
        <v>147</v>
      </c>
      <c r="C84" t="s">
        <v>62</v>
      </c>
      <c r="D84" t="s">
        <v>50</v>
      </c>
      <c r="E84" t="s">
        <v>112</v>
      </c>
      <c r="F84" t="s">
        <v>21</v>
      </c>
      <c r="G84">
        <v>2</v>
      </c>
      <c r="H84">
        <v>12000</v>
      </c>
      <c r="I84">
        <v>12</v>
      </c>
      <c r="J84">
        <v>120841</v>
      </c>
      <c r="K84">
        <v>10</v>
      </c>
      <c r="L84">
        <v>2</v>
      </c>
      <c r="M84" t="str">
        <f>VLOOKUP(Sales_Data!F84,Product_Master!$A$2:$D$11,2)</f>
        <v>Monitor</v>
      </c>
      <c r="N84" t="str">
        <f>VLOOKUP(F84,Product_Master!$A$2:$C$11,3)</f>
        <v>Electronics</v>
      </c>
      <c r="O84">
        <f>VLOOKUP(F84,Product_Master!$A$2:$D$11,4,FALSE)</f>
        <v>9000</v>
      </c>
      <c r="P84">
        <f t="shared" si="10"/>
        <v>24000</v>
      </c>
      <c r="Q84">
        <f t="shared" si="11"/>
        <v>2880</v>
      </c>
      <c r="R84">
        <f t="shared" si="12"/>
        <v>21120</v>
      </c>
      <c r="S84">
        <f t="shared" si="13"/>
        <v>3120</v>
      </c>
      <c r="T84" t="str">
        <f>_xlfn.CONCAT(Sales_Data!C84,"-",Sales_Data!E84,"-",Sales_Data!A84)</f>
        <v>East-C1048-1083</v>
      </c>
      <c r="U84" t="str">
        <f t="shared" si="14"/>
        <v>Regular</v>
      </c>
      <c r="V84" t="str" cm="1">
        <f t="array" ref="V84">_xlfn.IFS(R84&gt;=100000,"Excellent",R84&gt;=50000,"Good",R84&gt;=20000,"Average",TRUE,"Poor")</f>
        <v>Average</v>
      </c>
      <c r="W84">
        <f t="shared" si="15"/>
        <v>3</v>
      </c>
      <c r="X84" t="str">
        <f t="shared" si="16"/>
        <v>August</v>
      </c>
      <c r="Y84">
        <f>HLOOKUP("Q"&amp;W84,Bonus_HLookup!$A$1:$E$2,2,FALSE)</f>
        <v>0.06</v>
      </c>
      <c r="Z84">
        <f t="shared" si="17"/>
        <v>24168.2</v>
      </c>
      <c r="AA84" s="1">
        <f t="shared" si="18"/>
        <v>5576.1990435518328</v>
      </c>
      <c r="AB84">
        <f t="shared" si="19"/>
        <v>429</v>
      </c>
    </row>
    <row r="85" spans="1:28" x14ac:dyDescent="0.3">
      <c r="A85">
        <v>1084</v>
      </c>
      <c r="B85" t="s">
        <v>148</v>
      </c>
      <c r="C85" t="s">
        <v>13</v>
      </c>
      <c r="D85" t="s">
        <v>91</v>
      </c>
      <c r="E85" t="s">
        <v>146</v>
      </c>
      <c r="F85" t="s">
        <v>16</v>
      </c>
      <c r="G85">
        <v>6</v>
      </c>
      <c r="H85">
        <v>2500</v>
      </c>
      <c r="I85">
        <v>0</v>
      </c>
      <c r="J85">
        <v>183639</v>
      </c>
      <c r="K85">
        <v>7</v>
      </c>
      <c r="L85">
        <v>4</v>
      </c>
      <c r="M85" t="str">
        <f>VLOOKUP(Sales_Data!F85,Product_Master!$A$2:$D$11,2)</f>
        <v>Speaker</v>
      </c>
      <c r="N85" t="str">
        <f>VLOOKUP(F85,Product_Master!$A$2:$C$11,3)</f>
        <v>Accessories</v>
      </c>
      <c r="O85">
        <f>VLOOKUP(F85,Product_Master!$A$2:$D$11,4,FALSE)</f>
        <v>1800</v>
      </c>
      <c r="P85">
        <f t="shared" si="10"/>
        <v>15000</v>
      </c>
      <c r="Q85">
        <f t="shared" si="11"/>
        <v>0</v>
      </c>
      <c r="R85">
        <f t="shared" si="12"/>
        <v>15000</v>
      </c>
      <c r="S85">
        <f t="shared" si="13"/>
        <v>4200</v>
      </c>
      <c r="T85" t="str">
        <f>_xlfn.CONCAT(Sales_Data!C85,"-",Sales_Data!E85,"-",Sales_Data!A85)</f>
        <v>West-C1017-1084</v>
      </c>
      <c r="U85" t="str">
        <f t="shared" si="14"/>
        <v>Regular</v>
      </c>
      <c r="V85" t="str" cm="1">
        <f t="array" ref="V85">_xlfn.IFS(R85&gt;=100000,"Excellent",R85&gt;=50000,"Good",R85&gt;=20000,"Average",TRUE,"Poor")</f>
        <v>Poor</v>
      </c>
      <c r="W85">
        <f t="shared" si="15"/>
        <v>2</v>
      </c>
      <c r="X85" t="str">
        <f t="shared" si="16"/>
        <v>May</v>
      </c>
      <c r="Y85">
        <f>HLOOKUP("Q"&amp;W85,Bonus_HLookup!$A$1:$E$2,2,FALSE)</f>
        <v>0.04</v>
      </c>
      <c r="Z85">
        <f t="shared" si="17"/>
        <v>51418.92</v>
      </c>
      <c r="AA85" s="1">
        <f t="shared" si="18"/>
        <v>4397.4644235663527</v>
      </c>
      <c r="AB85">
        <f t="shared" si="19"/>
        <v>526</v>
      </c>
    </row>
    <row r="86" spans="1:28" x14ac:dyDescent="0.3">
      <c r="A86">
        <v>1085</v>
      </c>
      <c r="B86" t="s">
        <v>72</v>
      </c>
      <c r="C86" t="s">
        <v>13</v>
      </c>
      <c r="D86" t="s">
        <v>46</v>
      </c>
      <c r="E86" t="s">
        <v>77</v>
      </c>
      <c r="F86" t="s">
        <v>39</v>
      </c>
      <c r="G86">
        <v>6</v>
      </c>
      <c r="H86">
        <v>7000</v>
      </c>
      <c r="I86">
        <v>2</v>
      </c>
      <c r="J86">
        <v>394688</v>
      </c>
      <c r="K86">
        <v>8</v>
      </c>
      <c r="L86">
        <v>3</v>
      </c>
      <c r="M86" t="str">
        <f>VLOOKUP(Sales_Data!F86,Product_Master!$A$2:$D$11,2)</f>
        <v>Router</v>
      </c>
      <c r="N86" t="str">
        <f>VLOOKUP(F86,Product_Master!$A$2:$C$11,3)</f>
        <v>Electronics</v>
      </c>
      <c r="O86">
        <f>VLOOKUP(F86,Product_Master!$A$2:$D$11,4,FALSE)</f>
        <v>5000</v>
      </c>
      <c r="P86">
        <f t="shared" si="10"/>
        <v>42000</v>
      </c>
      <c r="Q86">
        <f t="shared" si="11"/>
        <v>840</v>
      </c>
      <c r="R86">
        <f t="shared" si="12"/>
        <v>41160</v>
      </c>
      <c r="S86">
        <f t="shared" si="13"/>
        <v>11160</v>
      </c>
      <c r="T86" t="str">
        <f>_xlfn.CONCAT(Sales_Data!C86,"-",Sales_Data!E86,"-",Sales_Data!A86)</f>
        <v>West-C1020-1085</v>
      </c>
      <c r="U86" t="str">
        <f t="shared" si="14"/>
        <v>Regular</v>
      </c>
      <c r="V86" t="str" cm="1">
        <f t="array" ref="V86">_xlfn.IFS(R86&gt;=100000,"Excellent",R86&gt;=50000,"Good",R86&gt;=20000,"Average",TRUE,"Poor")</f>
        <v>Average</v>
      </c>
      <c r="W86">
        <f t="shared" si="15"/>
        <v>4</v>
      </c>
      <c r="X86" t="str">
        <f t="shared" si="16"/>
        <v>October</v>
      </c>
      <c r="Y86">
        <f>HLOOKUP("Q"&amp;W86,Bonus_HLookup!$A$1:$E$2,2,FALSE)</f>
        <v>0.08</v>
      </c>
      <c r="Z86">
        <f t="shared" si="17"/>
        <v>94725.119999999995</v>
      </c>
      <c r="AA86" s="1">
        <f t="shared" si="18"/>
        <v>12368.087411241218</v>
      </c>
      <c r="AB86">
        <f t="shared" si="19"/>
        <v>331</v>
      </c>
    </row>
    <row r="87" spans="1:28" x14ac:dyDescent="0.3">
      <c r="A87">
        <v>1086</v>
      </c>
      <c r="B87" t="s">
        <v>149</v>
      </c>
      <c r="C87" t="s">
        <v>13</v>
      </c>
      <c r="D87" t="s">
        <v>33</v>
      </c>
      <c r="E87" t="s">
        <v>15</v>
      </c>
      <c r="F87" t="s">
        <v>36</v>
      </c>
      <c r="G87">
        <v>1</v>
      </c>
      <c r="H87">
        <v>55000</v>
      </c>
      <c r="I87">
        <v>12</v>
      </c>
      <c r="J87">
        <v>68976</v>
      </c>
      <c r="K87">
        <v>7</v>
      </c>
      <c r="L87">
        <v>2</v>
      </c>
      <c r="M87" t="str">
        <f>VLOOKUP(Sales_Data!F87,Product_Master!$A$2:$D$11,2)</f>
        <v>Laptop</v>
      </c>
      <c r="N87" t="str">
        <f>VLOOKUP(F87,Product_Master!$A$2:$C$11,3)</f>
        <v>Electronics</v>
      </c>
      <c r="O87">
        <f>VLOOKUP(F87,Product_Master!$A$2:$D$11,4,FALSE)</f>
        <v>45000</v>
      </c>
      <c r="P87">
        <f t="shared" si="10"/>
        <v>55000</v>
      </c>
      <c r="Q87">
        <f t="shared" si="11"/>
        <v>6600</v>
      </c>
      <c r="R87">
        <f t="shared" si="12"/>
        <v>48400</v>
      </c>
      <c r="S87">
        <f t="shared" si="13"/>
        <v>3400</v>
      </c>
      <c r="T87" t="str">
        <f>_xlfn.CONCAT(Sales_Data!C87,"-",Sales_Data!E87,"-",Sales_Data!A87)</f>
        <v>West-C1016-1086</v>
      </c>
      <c r="U87" t="str">
        <f t="shared" si="14"/>
        <v>Regular</v>
      </c>
      <c r="V87" t="str" cm="1">
        <f t="array" ref="V87">_xlfn.IFS(R87&gt;=100000,"Excellent",R87&gt;=50000,"Good",R87&gt;=20000,"Average",TRUE,"Poor")</f>
        <v>Average</v>
      </c>
      <c r="W87">
        <f t="shared" si="15"/>
        <v>2</v>
      </c>
      <c r="X87" t="str">
        <f t="shared" si="16"/>
        <v>June</v>
      </c>
      <c r="Y87">
        <f>HLOOKUP("Q"&amp;W87,Bonus_HLookup!$A$1:$E$2,2,FALSE)</f>
        <v>0.04</v>
      </c>
      <c r="Z87">
        <f t="shared" si="17"/>
        <v>9656.64</v>
      </c>
      <c r="AA87" s="1">
        <f t="shared" si="18"/>
        <v>3088.2334162185584</v>
      </c>
      <c r="AB87">
        <f t="shared" si="19"/>
        <v>305</v>
      </c>
    </row>
    <row r="88" spans="1:28" x14ac:dyDescent="0.3">
      <c r="A88">
        <v>1087</v>
      </c>
      <c r="B88" t="s">
        <v>150</v>
      </c>
      <c r="C88" t="s">
        <v>13</v>
      </c>
      <c r="D88" t="s">
        <v>59</v>
      </c>
      <c r="E88" t="s">
        <v>151</v>
      </c>
      <c r="F88" t="s">
        <v>39</v>
      </c>
      <c r="G88">
        <v>3</v>
      </c>
      <c r="H88">
        <v>7000</v>
      </c>
      <c r="I88">
        <v>2</v>
      </c>
      <c r="J88">
        <v>398173</v>
      </c>
      <c r="K88">
        <v>12</v>
      </c>
      <c r="L88">
        <v>5</v>
      </c>
      <c r="M88" t="str">
        <f>VLOOKUP(Sales_Data!F88,Product_Master!$A$2:$D$11,2)</f>
        <v>Router</v>
      </c>
      <c r="N88" t="str">
        <f>VLOOKUP(F88,Product_Master!$A$2:$C$11,3)</f>
        <v>Electronics</v>
      </c>
      <c r="O88">
        <f>VLOOKUP(F88,Product_Master!$A$2:$D$11,4,FALSE)</f>
        <v>5000</v>
      </c>
      <c r="P88">
        <f t="shared" si="10"/>
        <v>21000</v>
      </c>
      <c r="Q88">
        <f t="shared" si="11"/>
        <v>420</v>
      </c>
      <c r="R88">
        <f t="shared" si="12"/>
        <v>20580</v>
      </c>
      <c r="S88">
        <f t="shared" si="13"/>
        <v>5580</v>
      </c>
      <c r="T88" t="str">
        <f>_xlfn.CONCAT(Sales_Data!C88,"-",Sales_Data!E88,"-",Sales_Data!A88)</f>
        <v>West-C1001-1087</v>
      </c>
      <c r="U88" t="str">
        <f t="shared" si="14"/>
        <v>Regular</v>
      </c>
      <c r="V88" t="str" cm="1">
        <f t="array" ref="V88">_xlfn.IFS(R88&gt;=100000,"Excellent",R88&gt;=50000,"Good",R88&gt;=20000,"Average",TRUE,"Poor")</f>
        <v>Average</v>
      </c>
      <c r="W88">
        <f t="shared" si="15"/>
        <v>3</v>
      </c>
      <c r="X88" t="str">
        <f t="shared" si="16"/>
        <v>July</v>
      </c>
      <c r="Y88">
        <f>HLOOKUP("Q"&amp;W88,Bonus_HLookup!$A$1:$E$2,2,FALSE)</f>
        <v>0.06</v>
      </c>
      <c r="Z88">
        <f t="shared" si="17"/>
        <v>238903.8</v>
      </c>
      <c r="AA88" s="1">
        <f t="shared" si="18"/>
        <v>8857.1384680403935</v>
      </c>
      <c r="AB88">
        <f t="shared" si="19"/>
        <v>442</v>
      </c>
    </row>
    <row r="89" spans="1:28" x14ac:dyDescent="0.3">
      <c r="A89">
        <v>1088</v>
      </c>
      <c r="B89" t="s">
        <v>93</v>
      </c>
      <c r="C89" t="s">
        <v>18</v>
      </c>
      <c r="D89" t="s">
        <v>19</v>
      </c>
      <c r="E89" t="s">
        <v>51</v>
      </c>
      <c r="F89" t="s">
        <v>52</v>
      </c>
      <c r="G89">
        <v>9</v>
      </c>
      <c r="H89">
        <v>500</v>
      </c>
      <c r="I89">
        <v>5</v>
      </c>
      <c r="J89">
        <v>391281</v>
      </c>
      <c r="K89">
        <v>8</v>
      </c>
      <c r="L89">
        <v>4</v>
      </c>
      <c r="M89" t="str">
        <f>VLOOKUP(Sales_Data!F89,Product_Master!$A$2:$D$11,2)</f>
        <v>Mouse</v>
      </c>
      <c r="N89" t="str">
        <f>VLOOKUP(F89,Product_Master!$A$2:$C$11,3)</f>
        <v>Accessories</v>
      </c>
      <c r="O89">
        <f>VLOOKUP(F89,Product_Master!$A$2:$D$11,4,FALSE)</f>
        <v>350</v>
      </c>
      <c r="P89">
        <f t="shared" si="10"/>
        <v>4500</v>
      </c>
      <c r="Q89">
        <f t="shared" si="11"/>
        <v>225</v>
      </c>
      <c r="R89">
        <f t="shared" si="12"/>
        <v>4275</v>
      </c>
      <c r="S89">
        <f t="shared" si="13"/>
        <v>1125</v>
      </c>
      <c r="T89" t="str">
        <f>_xlfn.CONCAT(Sales_Data!C89,"-",Sales_Data!E89,"-",Sales_Data!A89)</f>
        <v>North-C1002-1088</v>
      </c>
      <c r="U89" t="str">
        <f t="shared" si="14"/>
        <v>Regular</v>
      </c>
      <c r="V89" t="str" cm="1">
        <f t="array" ref="V89">_xlfn.IFS(R89&gt;=100000,"Excellent",R89&gt;=50000,"Good",R89&gt;=20000,"Average",TRUE,"Poor")</f>
        <v>Poor</v>
      </c>
      <c r="W89">
        <f t="shared" si="15"/>
        <v>4</v>
      </c>
      <c r="X89" t="str">
        <f t="shared" si="16"/>
        <v>November</v>
      </c>
      <c r="Y89">
        <f>HLOOKUP("Q"&amp;W89,Bonus_HLookup!$A$1:$E$2,2,FALSE)</f>
        <v>0.08</v>
      </c>
      <c r="Z89">
        <f t="shared" si="17"/>
        <v>125209.92</v>
      </c>
      <c r="AA89" s="1">
        <f t="shared" si="18"/>
        <v>9552.312666705433</v>
      </c>
      <c r="AB89">
        <f t="shared" si="19"/>
        <v>819</v>
      </c>
    </row>
    <row r="90" spans="1:28" x14ac:dyDescent="0.3">
      <c r="A90">
        <v>1089</v>
      </c>
      <c r="B90" t="s">
        <v>152</v>
      </c>
      <c r="C90" t="s">
        <v>30</v>
      </c>
      <c r="D90" t="s">
        <v>23</v>
      </c>
      <c r="E90" t="s">
        <v>15</v>
      </c>
      <c r="F90" t="s">
        <v>25</v>
      </c>
      <c r="G90">
        <v>8</v>
      </c>
      <c r="H90">
        <v>1500</v>
      </c>
      <c r="I90">
        <v>15</v>
      </c>
      <c r="J90">
        <v>226953</v>
      </c>
      <c r="K90">
        <v>11</v>
      </c>
      <c r="L90">
        <v>3</v>
      </c>
      <c r="M90" t="str">
        <f>VLOOKUP(Sales_Data!F90,Product_Master!$A$2:$D$11,2)</f>
        <v>Keyboard</v>
      </c>
      <c r="N90" t="str">
        <f>VLOOKUP(F90,Product_Master!$A$2:$C$11,3)</f>
        <v>Accessories</v>
      </c>
      <c r="O90">
        <f>VLOOKUP(F90,Product_Master!$A$2:$D$11,4,FALSE)</f>
        <v>1200</v>
      </c>
      <c r="P90">
        <f t="shared" si="10"/>
        <v>12000</v>
      </c>
      <c r="Q90">
        <f t="shared" si="11"/>
        <v>1800</v>
      </c>
      <c r="R90">
        <f t="shared" si="12"/>
        <v>10200</v>
      </c>
      <c r="S90">
        <f t="shared" si="13"/>
        <v>600</v>
      </c>
      <c r="T90" t="str">
        <f>_xlfn.CONCAT(Sales_Data!C90,"-",Sales_Data!E90,"-",Sales_Data!A90)</f>
        <v>South-C1016-1089</v>
      </c>
      <c r="U90" t="str">
        <f t="shared" si="14"/>
        <v>Regular</v>
      </c>
      <c r="V90" t="str" cm="1">
        <f t="array" ref="V90">_xlfn.IFS(R90&gt;=100000,"Excellent",R90&gt;=50000,"Good",R90&gt;=20000,"Average",TRUE,"Poor")</f>
        <v>Poor</v>
      </c>
      <c r="W90">
        <f t="shared" si="15"/>
        <v>4</v>
      </c>
      <c r="X90" t="str">
        <f t="shared" si="16"/>
        <v>October</v>
      </c>
      <c r="Y90">
        <f>HLOOKUP("Q"&amp;W90,Bonus_HLookup!$A$1:$E$2,2,FALSE)</f>
        <v>0.08</v>
      </c>
      <c r="Z90">
        <f t="shared" si="17"/>
        <v>74894.490000000005</v>
      </c>
      <c r="AA90" s="1">
        <f t="shared" si="18"/>
        <v>7430.1500658549639</v>
      </c>
      <c r="AB90">
        <f t="shared" si="19"/>
        <v>630</v>
      </c>
    </row>
    <row r="91" spans="1:28" x14ac:dyDescent="0.3">
      <c r="A91">
        <v>1090</v>
      </c>
      <c r="B91" t="s">
        <v>153</v>
      </c>
      <c r="C91" t="s">
        <v>30</v>
      </c>
      <c r="D91" t="s">
        <v>14</v>
      </c>
      <c r="E91" t="s">
        <v>108</v>
      </c>
      <c r="F91" t="s">
        <v>42</v>
      </c>
      <c r="G91">
        <v>7</v>
      </c>
      <c r="H91">
        <v>8000</v>
      </c>
      <c r="I91">
        <v>2</v>
      </c>
      <c r="J91">
        <v>248319</v>
      </c>
      <c r="K91">
        <v>12</v>
      </c>
      <c r="L91">
        <v>4</v>
      </c>
      <c r="M91" t="str">
        <f>VLOOKUP(Sales_Data!F91,Product_Master!$A$2:$D$11,2)</f>
        <v>Printer</v>
      </c>
      <c r="N91" t="str">
        <f>VLOOKUP(F91,Product_Master!$A$2:$C$11,3)</f>
        <v>Electronics</v>
      </c>
      <c r="O91">
        <f>VLOOKUP(F91,Product_Master!$A$2:$D$11,4,FALSE)</f>
        <v>6500</v>
      </c>
      <c r="P91">
        <f t="shared" si="10"/>
        <v>56000</v>
      </c>
      <c r="Q91">
        <f t="shared" si="11"/>
        <v>1120</v>
      </c>
      <c r="R91">
        <f t="shared" si="12"/>
        <v>54880</v>
      </c>
      <c r="S91">
        <f t="shared" si="13"/>
        <v>9380</v>
      </c>
      <c r="T91" t="str">
        <f>_xlfn.CONCAT(Sales_Data!C91,"-",Sales_Data!E91,"-",Sales_Data!A91)</f>
        <v>South-C1031-1090</v>
      </c>
      <c r="U91" t="str">
        <f t="shared" si="14"/>
        <v>High Value</v>
      </c>
      <c r="V91" t="str" cm="1">
        <f t="array" ref="V91">_xlfn.IFS(R91&gt;=100000,"Excellent",R91&gt;=50000,"Good",R91&gt;=20000,"Average",TRUE,"Poor")</f>
        <v>Good</v>
      </c>
      <c r="W91">
        <f t="shared" si="15"/>
        <v>2</v>
      </c>
      <c r="X91" t="str">
        <f t="shared" si="16"/>
        <v>June</v>
      </c>
      <c r="Y91">
        <f>HLOOKUP("Q"&amp;W91,Bonus_HLookup!$A$1:$E$2,2,FALSE)</f>
        <v>0.04</v>
      </c>
      <c r="Z91">
        <f t="shared" si="17"/>
        <v>119193.12</v>
      </c>
      <c r="AA91" s="1">
        <f t="shared" si="18"/>
        <v>6539.1916806208701</v>
      </c>
      <c r="AB91">
        <f t="shared" si="19"/>
        <v>273</v>
      </c>
    </row>
    <row r="92" spans="1:28" x14ac:dyDescent="0.3">
      <c r="A92">
        <v>1091</v>
      </c>
      <c r="B92" t="s">
        <v>154</v>
      </c>
      <c r="C92" t="s">
        <v>30</v>
      </c>
      <c r="D92" t="s">
        <v>23</v>
      </c>
      <c r="E92" t="s">
        <v>108</v>
      </c>
      <c r="F92" t="s">
        <v>52</v>
      </c>
      <c r="G92">
        <v>7</v>
      </c>
      <c r="H92">
        <v>500</v>
      </c>
      <c r="I92">
        <v>12</v>
      </c>
      <c r="J92">
        <v>361089</v>
      </c>
      <c r="K92">
        <v>10</v>
      </c>
      <c r="L92">
        <v>1</v>
      </c>
      <c r="M92" t="str">
        <f>VLOOKUP(Sales_Data!F92,Product_Master!$A$2:$D$11,2)</f>
        <v>Mouse</v>
      </c>
      <c r="N92" t="str">
        <f>VLOOKUP(F92,Product_Master!$A$2:$C$11,3)</f>
        <v>Accessories</v>
      </c>
      <c r="O92">
        <f>VLOOKUP(F92,Product_Master!$A$2:$D$11,4,FALSE)</f>
        <v>350</v>
      </c>
      <c r="P92">
        <f t="shared" si="10"/>
        <v>3500</v>
      </c>
      <c r="Q92">
        <f t="shared" si="11"/>
        <v>420</v>
      </c>
      <c r="R92">
        <f t="shared" si="12"/>
        <v>3080</v>
      </c>
      <c r="S92">
        <f t="shared" si="13"/>
        <v>630</v>
      </c>
      <c r="T92" t="str">
        <f>_xlfn.CONCAT(Sales_Data!C92,"-",Sales_Data!E92,"-",Sales_Data!A92)</f>
        <v>South-C1031-1091</v>
      </c>
      <c r="U92" t="str">
        <f t="shared" si="14"/>
        <v>Regular</v>
      </c>
      <c r="V92" t="str" cm="1">
        <f t="array" ref="V92">_xlfn.IFS(R92&gt;=100000,"Excellent",R92&gt;=50000,"Good",R92&gt;=20000,"Average",TRUE,"Poor")</f>
        <v>Poor</v>
      </c>
      <c r="W92">
        <f t="shared" si="15"/>
        <v>1</v>
      </c>
      <c r="X92" t="str">
        <f t="shared" si="16"/>
        <v>March</v>
      </c>
      <c r="Y92">
        <f>HLOOKUP("Q"&amp;W92,Bonus_HLookup!$A$1:$E$2,2,FALSE)</f>
        <v>0.02</v>
      </c>
      <c r="Z92">
        <f t="shared" si="17"/>
        <v>36108.9</v>
      </c>
      <c r="AA92" s="1">
        <f t="shared" si="18"/>
        <v>31745.459803996931</v>
      </c>
      <c r="AB92">
        <f t="shared" si="19"/>
        <v>875</v>
      </c>
    </row>
    <row r="93" spans="1:28" x14ac:dyDescent="0.3">
      <c r="A93">
        <v>1092</v>
      </c>
      <c r="B93" t="s">
        <v>153</v>
      </c>
      <c r="C93" t="s">
        <v>13</v>
      </c>
      <c r="D93" t="s">
        <v>14</v>
      </c>
      <c r="E93" t="s">
        <v>27</v>
      </c>
      <c r="F93" t="s">
        <v>39</v>
      </c>
      <c r="G93">
        <v>4</v>
      </c>
      <c r="H93">
        <v>7000</v>
      </c>
      <c r="I93">
        <v>5</v>
      </c>
      <c r="J93">
        <v>298385</v>
      </c>
      <c r="K93">
        <v>12</v>
      </c>
      <c r="L93">
        <v>5</v>
      </c>
      <c r="M93" t="str">
        <f>VLOOKUP(Sales_Data!F93,Product_Master!$A$2:$D$11,2)</f>
        <v>Router</v>
      </c>
      <c r="N93" t="str">
        <f>VLOOKUP(F93,Product_Master!$A$2:$C$11,3)</f>
        <v>Electronics</v>
      </c>
      <c r="O93">
        <f>VLOOKUP(F93,Product_Master!$A$2:$D$11,4,FALSE)</f>
        <v>5000</v>
      </c>
      <c r="P93">
        <f t="shared" si="10"/>
        <v>28000</v>
      </c>
      <c r="Q93">
        <f t="shared" si="11"/>
        <v>1400</v>
      </c>
      <c r="R93">
        <f t="shared" si="12"/>
        <v>26600</v>
      </c>
      <c r="S93">
        <f t="shared" si="13"/>
        <v>6600</v>
      </c>
      <c r="T93" t="str">
        <f>_xlfn.CONCAT(Sales_Data!C93,"-",Sales_Data!E93,"-",Sales_Data!A93)</f>
        <v>West-C1007-1092</v>
      </c>
      <c r="U93" t="str">
        <f t="shared" si="14"/>
        <v>Regular</v>
      </c>
      <c r="V93" t="str" cm="1">
        <f t="array" ref="V93">_xlfn.IFS(R93&gt;=100000,"Excellent",R93&gt;=50000,"Good",R93&gt;=20000,"Average",TRUE,"Poor")</f>
        <v>Average</v>
      </c>
      <c r="W93">
        <f t="shared" si="15"/>
        <v>2</v>
      </c>
      <c r="X93" t="str">
        <f t="shared" si="16"/>
        <v>June</v>
      </c>
      <c r="Y93">
        <f>HLOOKUP("Q"&amp;W93,Bonus_HLookup!$A$1:$E$2,2,FALSE)</f>
        <v>0.04</v>
      </c>
      <c r="Z93">
        <f t="shared" si="17"/>
        <v>179031</v>
      </c>
      <c r="AA93" s="1">
        <f t="shared" si="18"/>
        <v>6637.4095224594148</v>
      </c>
      <c r="AB93">
        <f t="shared" si="19"/>
        <v>391</v>
      </c>
    </row>
    <row r="94" spans="1:28" x14ac:dyDescent="0.3">
      <c r="A94">
        <v>1093</v>
      </c>
      <c r="B94" t="s">
        <v>155</v>
      </c>
      <c r="C94" t="s">
        <v>13</v>
      </c>
      <c r="D94" t="s">
        <v>59</v>
      </c>
      <c r="E94" t="s">
        <v>44</v>
      </c>
      <c r="F94" t="s">
        <v>42</v>
      </c>
      <c r="G94">
        <v>1</v>
      </c>
      <c r="H94">
        <v>8000</v>
      </c>
      <c r="I94">
        <v>8</v>
      </c>
      <c r="J94">
        <v>384838</v>
      </c>
      <c r="K94">
        <v>11</v>
      </c>
      <c r="L94">
        <v>1</v>
      </c>
      <c r="M94" t="str">
        <f>VLOOKUP(Sales_Data!F94,Product_Master!$A$2:$D$11,2)</f>
        <v>Printer</v>
      </c>
      <c r="N94" t="str">
        <f>VLOOKUP(F94,Product_Master!$A$2:$C$11,3)</f>
        <v>Electronics</v>
      </c>
      <c r="O94">
        <f>VLOOKUP(F94,Product_Master!$A$2:$D$11,4,FALSE)</f>
        <v>6500</v>
      </c>
      <c r="P94">
        <f t="shared" si="10"/>
        <v>8000</v>
      </c>
      <c r="Q94">
        <f t="shared" si="11"/>
        <v>640</v>
      </c>
      <c r="R94">
        <f t="shared" si="12"/>
        <v>7360</v>
      </c>
      <c r="S94">
        <f t="shared" si="13"/>
        <v>860</v>
      </c>
      <c r="T94" t="str">
        <f>_xlfn.CONCAT(Sales_Data!C94,"-",Sales_Data!E94,"-",Sales_Data!A94)</f>
        <v>West-C1028-1093</v>
      </c>
      <c r="U94" t="str">
        <f t="shared" si="14"/>
        <v>Regular</v>
      </c>
      <c r="V94" t="str" cm="1">
        <f t="array" ref="V94">_xlfn.IFS(R94&gt;=100000,"Excellent",R94&gt;=50000,"Good",R94&gt;=20000,"Average",TRUE,"Poor")</f>
        <v>Poor</v>
      </c>
      <c r="W94">
        <f t="shared" si="15"/>
        <v>3</v>
      </c>
      <c r="X94" t="str">
        <f t="shared" si="16"/>
        <v>July</v>
      </c>
      <c r="Y94">
        <f>HLOOKUP("Q"&amp;W94,Bonus_HLookup!$A$1:$E$2,2,FALSE)</f>
        <v>0.06</v>
      </c>
      <c r="Z94">
        <f t="shared" si="17"/>
        <v>42332.18</v>
      </c>
      <c r="AA94" s="1">
        <f t="shared" si="18"/>
        <v>34012.62070213705</v>
      </c>
      <c r="AB94">
        <f t="shared" si="19"/>
        <v>709</v>
      </c>
    </row>
    <row r="95" spans="1:28" x14ac:dyDescent="0.3">
      <c r="A95">
        <v>1094</v>
      </c>
      <c r="B95" t="s">
        <v>156</v>
      </c>
      <c r="C95" t="s">
        <v>13</v>
      </c>
      <c r="D95" t="s">
        <v>23</v>
      </c>
      <c r="E95" t="s">
        <v>157</v>
      </c>
      <c r="F95" t="s">
        <v>39</v>
      </c>
      <c r="G95">
        <v>1</v>
      </c>
      <c r="H95">
        <v>7000</v>
      </c>
      <c r="I95">
        <v>12</v>
      </c>
      <c r="J95">
        <v>392238</v>
      </c>
      <c r="K95">
        <v>8</v>
      </c>
      <c r="L95">
        <v>5</v>
      </c>
      <c r="M95" t="str">
        <f>VLOOKUP(Sales_Data!F95,Product_Master!$A$2:$D$11,2)</f>
        <v>Router</v>
      </c>
      <c r="N95" t="str">
        <f>VLOOKUP(F95,Product_Master!$A$2:$C$11,3)</f>
        <v>Electronics</v>
      </c>
      <c r="O95">
        <f>VLOOKUP(F95,Product_Master!$A$2:$D$11,4,FALSE)</f>
        <v>5000</v>
      </c>
      <c r="P95">
        <f t="shared" si="10"/>
        <v>7000</v>
      </c>
      <c r="Q95">
        <f t="shared" si="11"/>
        <v>840</v>
      </c>
      <c r="R95">
        <f t="shared" si="12"/>
        <v>6160</v>
      </c>
      <c r="S95">
        <f t="shared" si="13"/>
        <v>1160</v>
      </c>
      <c r="T95" t="str">
        <f>_xlfn.CONCAT(Sales_Data!C95,"-",Sales_Data!E95,"-",Sales_Data!A95)</f>
        <v>West-C1024-1094</v>
      </c>
      <c r="U95" t="str">
        <f t="shared" si="14"/>
        <v>Regular</v>
      </c>
      <c r="V95" t="str" cm="1">
        <f t="array" ref="V95">_xlfn.IFS(R95&gt;=100000,"Excellent",R95&gt;=50000,"Good",R95&gt;=20000,"Average",TRUE,"Poor")</f>
        <v>Poor</v>
      </c>
      <c r="W95">
        <f t="shared" si="15"/>
        <v>1</v>
      </c>
      <c r="X95" t="str">
        <f t="shared" si="16"/>
        <v>February</v>
      </c>
      <c r="Y95">
        <f>HLOOKUP("Q"&amp;W95,Bonus_HLookup!$A$1:$E$2,2,FALSE)</f>
        <v>0.02</v>
      </c>
      <c r="Z95">
        <f t="shared" si="17"/>
        <v>156895.20000000001</v>
      </c>
      <c r="AA95" s="1">
        <f t="shared" si="18"/>
        <v>7953.1723428988062</v>
      </c>
      <c r="AB95">
        <f t="shared" si="19"/>
        <v>756</v>
      </c>
    </row>
    <row r="96" spans="1:28" x14ac:dyDescent="0.3">
      <c r="A96">
        <v>1095</v>
      </c>
      <c r="B96" t="s">
        <v>158</v>
      </c>
      <c r="C96" t="s">
        <v>18</v>
      </c>
      <c r="D96" t="s">
        <v>59</v>
      </c>
      <c r="E96" t="s">
        <v>133</v>
      </c>
      <c r="F96" t="s">
        <v>25</v>
      </c>
      <c r="G96">
        <v>5</v>
      </c>
      <c r="H96">
        <v>1500</v>
      </c>
      <c r="I96">
        <v>0</v>
      </c>
      <c r="J96">
        <v>292612</v>
      </c>
      <c r="K96">
        <v>11</v>
      </c>
      <c r="L96">
        <v>5</v>
      </c>
      <c r="M96" t="str">
        <f>VLOOKUP(Sales_Data!F96,Product_Master!$A$2:$D$11,2)</f>
        <v>Keyboard</v>
      </c>
      <c r="N96" t="str">
        <f>VLOOKUP(F96,Product_Master!$A$2:$C$11,3)</f>
        <v>Accessories</v>
      </c>
      <c r="O96">
        <f>VLOOKUP(F96,Product_Master!$A$2:$D$11,4,FALSE)</f>
        <v>1200</v>
      </c>
      <c r="P96">
        <f t="shared" si="10"/>
        <v>7500</v>
      </c>
      <c r="Q96">
        <f t="shared" si="11"/>
        <v>0</v>
      </c>
      <c r="R96">
        <f t="shared" si="12"/>
        <v>7500</v>
      </c>
      <c r="S96">
        <f t="shared" si="13"/>
        <v>1500</v>
      </c>
      <c r="T96" t="str">
        <f>_xlfn.CONCAT(Sales_Data!C96,"-",Sales_Data!E96,"-",Sales_Data!A96)</f>
        <v>North-C1021-1095</v>
      </c>
      <c r="U96" t="str">
        <f t="shared" si="14"/>
        <v>Regular</v>
      </c>
      <c r="V96" t="str" cm="1">
        <f t="array" ref="V96">_xlfn.IFS(R96&gt;=100000,"Excellent",R96&gt;=50000,"Good",R96&gt;=20000,"Average",TRUE,"Poor")</f>
        <v>Poor</v>
      </c>
      <c r="W96">
        <f t="shared" si="15"/>
        <v>3</v>
      </c>
      <c r="X96" t="str">
        <f t="shared" si="16"/>
        <v>September</v>
      </c>
      <c r="Y96">
        <f>HLOOKUP("Q"&amp;W96,Bonus_HLookup!$A$1:$E$2,2,FALSE)</f>
        <v>0.06</v>
      </c>
      <c r="Z96">
        <f t="shared" si="17"/>
        <v>160936.6</v>
      </c>
      <c r="AA96" s="1">
        <f t="shared" si="18"/>
        <v>6362.093900132304</v>
      </c>
      <c r="AB96">
        <f t="shared" si="19"/>
        <v>705</v>
      </c>
    </row>
    <row r="97" spans="1:28" x14ac:dyDescent="0.3">
      <c r="A97">
        <v>1096</v>
      </c>
      <c r="B97" t="s">
        <v>159</v>
      </c>
      <c r="C97" t="s">
        <v>18</v>
      </c>
      <c r="D97" t="s">
        <v>50</v>
      </c>
      <c r="E97" t="s">
        <v>160</v>
      </c>
      <c r="F97" t="s">
        <v>52</v>
      </c>
      <c r="G97">
        <v>7</v>
      </c>
      <c r="H97">
        <v>500</v>
      </c>
      <c r="I97">
        <v>10</v>
      </c>
      <c r="J97">
        <v>377261</v>
      </c>
      <c r="K97">
        <v>9</v>
      </c>
      <c r="L97">
        <v>3</v>
      </c>
      <c r="M97" t="str">
        <f>VLOOKUP(Sales_Data!F97,Product_Master!$A$2:$D$11,2)</f>
        <v>Mouse</v>
      </c>
      <c r="N97" t="str">
        <f>VLOOKUP(F97,Product_Master!$A$2:$C$11,3)</f>
        <v>Accessories</v>
      </c>
      <c r="O97">
        <f>VLOOKUP(F97,Product_Master!$A$2:$D$11,4,FALSE)</f>
        <v>350</v>
      </c>
      <c r="P97">
        <f t="shared" si="10"/>
        <v>3500</v>
      </c>
      <c r="Q97">
        <f t="shared" si="11"/>
        <v>350</v>
      </c>
      <c r="R97">
        <f t="shared" si="12"/>
        <v>3150</v>
      </c>
      <c r="S97">
        <f t="shared" si="13"/>
        <v>700</v>
      </c>
      <c r="T97" t="str">
        <f>_xlfn.CONCAT(Sales_Data!C97,"-",Sales_Data!E97,"-",Sales_Data!A97)</f>
        <v>North-C1040-1096</v>
      </c>
      <c r="U97" t="str">
        <f t="shared" si="14"/>
        <v>Regular</v>
      </c>
      <c r="V97" t="str" cm="1">
        <f t="array" ref="V97">_xlfn.IFS(R97&gt;=100000,"Excellent",R97&gt;=50000,"Good",R97&gt;=20000,"Average",TRUE,"Poor")</f>
        <v>Poor</v>
      </c>
      <c r="W97">
        <f t="shared" si="15"/>
        <v>1</v>
      </c>
      <c r="X97" t="str">
        <f t="shared" si="16"/>
        <v>March</v>
      </c>
      <c r="Y97">
        <f>HLOOKUP("Q"&amp;W97,Bonus_HLookup!$A$1:$E$2,2,FALSE)</f>
        <v>0.02</v>
      </c>
      <c r="Z97">
        <f t="shared" si="17"/>
        <v>101860.47</v>
      </c>
      <c r="AA97" s="1">
        <f t="shared" si="18"/>
        <v>11996.798943021884</v>
      </c>
      <c r="AB97">
        <f t="shared" si="19"/>
        <v>874</v>
      </c>
    </row>
    <row r="98" spans="1:28" x14ac:dyDescent="0.3">
      <c r="A98">
        <v>1097</v>
      </c>
      <c r="B98" t="s">
        <v>161</v>
      </c>
      <c r="C98" t="s">
        <v>18</v>
      </c>
      <c r="D98" t="s">
        <v>50</v>
      </c>
      <c r="E98" t="s">
        <v>57</v>
      </c>
      <c r="F98" t="s">
        <v>69</v>
      </c>
      <c r="G98">
        <v>3</v>
      </c>
      <c r="H98">
        <v>2000</v>
      </c>
      <c r="I98">
        <v>0</v>
      </c>
      <c r="J98">
        <v>281239</v>
      </c>
      <c r="K98">
        <v>10</v>
      </c>
      <c r="L98">
        <v>4</v>
      </c>
      <c r="M98" t="str">
        <f>VLOOKUP(Sales_Data!F98,Product_Master!$A$2:$D$11,2)</f>
        <v>Headset</v>
      </c>
      <c r="N98" t="str">
        <f>VLOOKUP(F98,Product_Master!$A$2:$C$11,3)</f>
        <v>Accessories</v>
      </c>
      <c r="O98">
        <f>VLOOKUP(F98,Product_Master!$A$2:$D$11,4,FALSE)</f>
        <v>1500</v>
      </c>
      <c r="P98">
        <f t="shared" si="10"/>
        <v>6000</v>
      </c>
      <c r="Q98">
        <f t="shared" si="11"/>
        <v>0</v>
      </c>
      <c r="R98">
        <f t="shared" si="12"/>
        <v>6000</v>
      </c>
      <c r="S98">
        <f t="shared" si="13"/>
        <v>1500</v>
      </c>
      <c r="T98" t="str">
        <f>_xlfn.CONCAT(Sales_Data!C98,"-",Sales_Data!E98,"-",Sales_Data!A98)</f>
        <v>North-C1012-1097</v>
      </c>
      <c r="U98" t="str">
        <f t="shared" si="14"/>
        <v>Regular</v>
      </c>
      <c r="V98" t="str" cm="1">
        <f t="array" ref="V98">_xlfn.IFS(R98&gt;=100000,"Excellent",R98&gt;=50000,"Good",R98&gt;=20000,"Average",TRUE,"Poor")</f>
        <v>Poor</v>
      </c>
      <c r="W98">
        <f t="shared" si="15"/>
        <v>3</v>
      </c>
      <c r="X98" t="str">
        <f t="shared" si="16"/>
        <v>July</v>
      </c>
      <c r="Y98">
        <f>HLOOKUP("Q"&amp;W98,Bonus_HLookup!$A$1:$E$2,2,FALSE)</f>
        <v>0.06</v>
      </c>
      <c r="Z98">
        <f t="shared" si="17"/>
        <v>112495.6</v>
      </c>
      <c r="AA98" s="1">
        <f t="shared" si="18"/>
        <v>7132.9476026048651</v>
      </c>
      <c r="AB98">
        <f t="shared" si="19"/>
        <v>759</v>
      </c>
    </row>
    <row r="99" spans="1:28" x14ac:dyDescent="0.3">
      <c r="A99">
        <v>1098</v>
      </c>
      <c r="B99" t="s">
        <v>162</v>
      </c>
      <c r="C99" t="s">
        <v>13</v>
      </c>
      <c r="D99" t="s">
        <v>59</v>
      </c>
      <c r="E99" t="s">
        <v>73</v>
      </c>
      <c r="F99" t="s">
        <v>28</v>
      </c>
      <c r="G99">
        <v>3</v>
      </c>
      <c r="H99">
        <v>950</v>
      </c>
      <c r="I99">
        <v>10</v>
      </c>
      <c r="J99">
        <v>446709</v>
      </c>
      <c r="K99">
        <v>10</v>
      </c>
      <c r="L99">
        <v>2</v>
      </c>
      <c r="M99" t="str">
        <f>VLOOKUP(Sales_Data!F99,Product_Master!$A$2:$D$11,2)</f>
        <v>Webcam</v>
      </c>
      <c r="N99" t="str">
        <f>VLOOKUP(F99,Product_Master!$A$2:$C$11,3)</f>
        <v>Accessories</v>
      </c>
      <c r="O99">
        <f>VLOOKUP(F99,Product_Master!$A$2:$D$11,4,FALSE)</f>
        <v>700</v>
      </c>
      <c r="P99">
        <f t="shared" si="10"/>
        <v>2850</v>
      </c>
      <c r="Q99">
        <f t="shared" si="11"/>
        <v>285</v>
      </c>
      <c r="R99">
        <f t="shared" si="12"/>
        <v>2565</v>
      </c>
      <c r="S99">
        <f t="shared" si="13"/>
        <v>465</v>
      </c>
      <c r="T99" t="str">
        <f>_xlfn.CONCAT(Sales_Data!C99,"-",Sales_Data!E99,"-",Sales_Data!A99)</f>
        <v>West-C1014-1098</v>
      </c>
      <c r="U99" t="str">
        <f t="shared" si="14"/>
        <v>Regular</v>
      </c>
      <c r="V99" t="str" cm="1">
        <f t="array" ref="V99">_xlfn.IFS(R99&gt;=100000,"Excellent",R99&gt;=50000,"Good",R99&gt;=20000,"Average",TRUE,"Poor")</f>
        <v>Poor</v>
      </c>
      <c r="W99">
        <f t="shared" si="15"/>
        <v>2</v>
      </c>
      <c r="X99" t="str">
        <f t="shared" si="16"/>
        <v>June</v>
      </c>
      <c r="Y99">
        <f>HLOOKUP("Q"&amp;W99,Bonus_HLookup!$A$1:$E$2,2,FALSE)</f>
        <v>0.04</v>
      </c>
      <c r="Z99">
        <f t="shared" si="17"/>
        <v>89341.8</v>
      </c>
      <c r="AA99" s="1">
        <f t="shared" si="18"/>
        <v>20613.353899305657</v>
      </c>
      <c r="AB99">
        <f t="shared" si="19"/>
        <v>901</v>
      </c>
    </row>
    <row r="100" spans="1:28" x14ac:dyDescent="0.3">
      <c r="A100">
        <v>1099</v>
      </c>
      <c r="B100" t="s">
        <v>163</v>
      </c>
      <c r="C100" t="s">
        <v>30</v>
      </c>
      <c r="D100" t="s">
        <v>33</v>
      </c>
      <c r="E100" t="s">
        <v>157</v>
      </c>
      <c r="F100" t="s">
        <v>16</v>
      </c>
      <c r="G100">
        <v>10</v>
      </c>
      <c r="H100">
        <v>2500</v>
      </c>
      <c r="I100">
        <v>10</v>
      </c>
      <c r="J100">
        <v>376552</v>
      </c>
      <c r="K100">
        <v>8</v>
      </c>
      <c r="L100">
        <v>5</v>
      </c>
      <c r="M100" t="str">
        <f>VLOOKUP(Sales_Data!F100,Product_Master!$A$2:$D$11,2)</f>
        <v>Speaker</v>
      </c>
      <c r="N100" t="str">
        <f>VLOOKUP(F100,Product_Master!$A$2:$C$11,3)</f>
        <v>Accessories</v>
      </c>
      <c r="O100">
        <f>VLOOKUP(F100,Product_Master!$A$2:$D$11,4,FALSE)</f>
        <v>1800</v>
      </c>
      <c r="P100">
        <f t="shared" si="10"/>
        <v>25000</v>
      </c>
      <c r="Q100">
        <f t="shared" si="11"/>
        <v>2500</v>
      </c>
      <c r="R100">
        <f t="shared" si="12"/>
        <v>22500</v>
      </c>
      <c r="S100">
        <f t="shared" si="13"/>
        <v>4500</v>
      </c>
      <c r="T100" t="str">
        <f>_xlfn.CONCAT(Sales_Data!C100,"-",Sales_Data!E100,"-",Sales_Data!A100)</f>
        <v>South-C1024-1099</v>
      </c>
      <c r="U100" t="str">
        <f t="shared" si="14"/>
        <v>Regular</v>
      </c>
      <c r="V100" t="str" cm="1">
        <f t="array" ref="V100">_xlfn.IFS(R100&gt;=100000,"Excellent",R100&gt;=50000,"Good",R100&gt;=20000,"Average",TRUE,"Poor")</f>
        <v>Average</v>
      </c>
      <c r="W100">
        <f t="shared" si="15"/>
        <v>2</v>
      </c>
      <c r="X100" t="str">
        <f t="shared" si="16"/>
        <v>April</v>
      </c>
      <c r="Y100">
        <f>HLOOKUP("Q"&amp;W100,Bonus_HLookup!$A$1:$E$2,2,FALSE)</f>
        <v>0.04</v>
      </c>
      <c r="Z100">
        <f t="shared" si="17"/>
        <v>150620.79999999999</v>
      </c>
      <c r="AA100" s="1">
        <f t="shared" si="18"/>
        <v>7635.1168220907484</v>
      </c>
      <c r="AB100">
        <f t="shared" si="19"/>
        <v>416</v>
      </c>
    </row>
    <row r="101" spans="1:28" x14ac:dyDescent="0.3">
      <c r="A101">
        <v>1100</v>
      </c>
      <c r="B101" t="s">
        <v>142</v>
      </c>
      <c r="C101" t="s">
        <v>18</v>
      </c>
      <c r="D101" t="s">
        <v>91</v>
      </c>
      <c r="E101" t="s">
        <v>15</v>
      </c>
      <c r="F101" t="s">
        <v>39</v>
      </c>
      <c r="G101">
        <v>7</v>
      </c>
      <c r="H101">
        <v>7000</v>
      </c>
      <c r="I101">
        <v>10</v>
      </c>
      <c r="J101">
        <v>308622</v>
      </c>
      <c r="K101">
        <v>8</v>
      </c>
      <c r="L101">
        <v>4</v>
      </c>
      <c r="M101" t="str">
        <f>VLOOKUP(Sales_Data!F101,Product_Master!$A$2:$D$11,2)</f>
        <v>Router</v>
      </c>
      <c r="N101" t="str">
        <f>VLOOKUP(F101,Product_Master!$A$2:$C$11,3)</f>
        <v>Electronics</v>
      </c>
      <c r="O101">
        <f>VLOOKUP(F101,Product_Master!$A$2:$D$11,4,FALSE)</f>
        <v>5000</v>
      </c>
      <c r="P101">
        <f t="shared" si="10"/>
        <v>49000</v>
      </c>
      <c r="Q101">
        <f t="shared" si="11"/>
        <v>4900</v>
      </c>
      <c r="R101">
        <f t="shared" si="12"/>
        <v>44100</v>
      </c>
      <c r="S101">
        <f t="shared" si="13"/>
        <v>9100</v>
      </c>
      <c r="T101" t="str">
        <f>_xlfn.CONCAT(Sales_Data!C101,"-",Sales_Data!E101,"-",Sales_Data!A101)</f>
        <v>North-C1016-1100</v>
      </c>
      <c r="U101" t="str">
        <f t="shared" si="14"/>
        <v>Regular</v>
      </c>
      <c r="V101" t="str" cm="1">
        <f t="array" ref="V101">_xlfn.IFS(R101&gt;=100000,"Excellent",R101&gt;=50000,"Good",R101&gt;=20000,"Average",TRUE,"Poor")</f>
        <v>Average</v>
      </c>
      <c r="W101">
        <f t="shared" si="15"/>
        <v>1</v>
      </c>
      <c r="X101" t="str">
        <f t="shared" si="16"/>
        <v>January</v>
      </c>
      <c r="Y101">
        <f>HLOOKUP("Q"&amp;W101,Bonus_HLookup!$A$1:$E$2,2,FALSE)</f>
        <v>0.02</v>
      </c>
      <c r="Z101">
        <f t="shared" si="17"/>
        <v>98759.039999999994</v>
      </c>
      <c r="AA101" s="1">
        <f t="shared" si="18"/>
        <v>7534.3649188791796</v>
      </c>
      <c r="AB101">
        <f t="shared" si="19"/>
        <v>320</v>
      </c>
    </row>
    <row r="102" spans="1:28" x14ac:dyDescent="0.3">
      <c r="A102">
        <v>1101</v>
      </c>
      <c r="B102" t="s">
        <v>126</v>
      </c>
      <c r="C102" t="s">
        <v>30</v>
      </c>
      <c r="D102" t="s">
        <v>46</v>
      </c>
      <c r="E102" t="s">
        <v>151</v>
      </c>
      <c r="F102" t="s">
        <v>28</v>
      </c>
      <c r="G102">
        <v>5</v>
      </c>
      <c r="H102">
        <v>950</v>
      </c>
      <c r="I102">
        <v>12</v>
      </c>
      <c r="J102">
        <v>410307</v>
      </c>
      <c r="K102">
        <v>9</v>
      </c>
      <c r="L102">
        <v>5</v>
      </c>
      <c r="M102" t="str">
        <f>VLOOKUP(Sales_Data!F102,Product_Master!$A$2:$D$11,2)</f>
        <v>Webcam</v>
      </c>
      <c r="N102" t="str">
        <f>VLOOKUP(F102,Product_Master!$A$2:$C$11,3)</f>
        <v>Accessories</v>
      </c>
      <c r="O102">
        <f>VLOOKUP(F102,Product_Master!$A$2:$D$11,4,FALSE)</f>
        <v>700</v>
      </c>
      <c r="P102">
        <f t="shared" si="10"/>
        <v>4750</v>
      </c>
      <c r="Q102">
        <f t="shared" si="11"/>
        <v>570</v>
      </c>
      <c r="R102">
        <f t="shared" si="12"/>
        <v>4180</v>
      </c>
      <c r="S102">
        <f t="shared" si="13"/>
        <v>680</v>
      </c>
      <c r="T102" t="str">
        <f>_xlfn.CONCAT(Sales_Data!C102,"-",Sales_Data!E102,"-",Sales_Data!A102)</f>
        <v>South-C1001-1101</v>
      </c>
      <c r="U102" t="str">
        <f t="shared" si="14"/>
        <v>Regular</v>
      </c>
      <c r="V102" t="str" cm="1">
        <f t="array" ref="V102">_xlfn.IFS(R102&gt;=100000,"Excellent",R102&gt;=50000,"Good",R102&gt;=20000,"Average",TRUE,"Poor")</f>
        <v>Poor</v>
      </c>
      <c r="W102">
        <f t="shared" si="15"/>
        <v>2</v>
      </c>
      <c r="X102" t="str">
        <f t="shared" si="16"/>
        <v>June</v>
      </c>
      <c r="Y102">
        <f>HLOOKUP("Q"&amp;W102,Bonus_HLookup!$A$1:$E$2,2,FALSE)</f>
        <v>0.04</v>
      </c>
      <c r="Z102">
        <f t="shared" si="17"/>
        <v>184638.15</v>
      </c>
      <c r="AA102" s="1">
        <f t="shared" si="18"/>
        <v>8517.2984578596352</v>
      </c>
      <c r="AB102">
        <f t="shared" si="19"/>
        <v>827</v>
      </c>
    </row>
    <row r="103" spans="1:28" x14ac:dyDescent="0.3">
      <c r="A103">
        <v>1102</v>
      </c>
      <c r="B103" t="s">
        <v>164</v>
      </c>
      <c r="C103" t="s">
        <v>13</v>
      </c>
      <c r="D103" t="s">
        <v>19</v>
      </c>
      <c r="E103" t="s">
        <v>85</v>
      </c>
      <c r="F103" t="s">
        <v>28</v>
      </c>
      <c r="G103">
        <v>2</v>
      </c>
      <c r="H103">
        <v>950</v>
      </c>
      <c r="I103">
        <v>0</v>
      </c>
      <c r="J103">
        <v>182375</v>
      </c>
      <c r="K103">
        <v>7</v>
      </c>
      <c r="L103">
        <v>5</v>
      </c>
      <c r="M103" t="str">
        <f>VLOOKUP(Sales_Data!F103,Product_Master!$A$2:$D$11,2)</f>
        <v>Webcam</v>
      </c>
      <c r="N103" t="str">
        <f>VLOOKUP(F103,Product_Master!$A$2:$C$11,3)</f>
        <v>Accessories</v>
      </c>
      <c r="O103">
        <f>VLOOKUP(F103,Product_Master!$A$2:$D$11,4,FALSE)</f>
        <v>700</v>
      </c>
      <c r="P103">
        <f t="shared" si="10"/>
        <v>1900</v>
      </c>
      <c r="Q103">
        <f t="shared" si="11"/>
        <v>0</v>
      </c>
      <c r="R103">
        <f t="shared" si="12"/>
        <v>1900</v>
      </c>
      <c r="S103">
        <f t="shared" si="13"/>
        <v>500</v>
      </c>
      <c r="T103" t="str">
        <f>_xlfn.CONCAT(Sales_Data!C103,"-",Sales_Data!E103,"-",Sales_Data!A103)</f>
        <v>West-C1005-1102</v>
      </c>
      <c r="U103" t="str">
        <f t="shared" si="14"/>
        <v>Regular</v>
      </c>
      <c r="V103" t="str" cm="1">
        <f t="array" ref="V103">_xlfn.IFS(R103&gt;=100000,"Excellent",R103&gt;=50000,"Good",R103&gt;=20000,"Average",TRUE,"Poor")</f>
        <v>Poor</v>
      </c>
      <c r="W103">
        <f t="shared" si="15"/>
        <v>1</v>
      </c>
      <c r="X103" t="str">
        <f t="shared" si="16"/>
        <v>February</v>
      </c>
      <c r="Y103">
        <f>HLOOKUP("Q"&amp;W103,Bonus_HLookup!$A$1:$E$2,2,FALSE)</f>
        <v>0.02</v>
      </c>
      <c r="Z103">
        <f t="shared" si="17"/>
        <v>63831.25</v>
      </c>
      <c r="AA103" s="1">
        <f t="shared" si="18"/>
        <v>3611.2435837962462</v>
      </c>
      <c r="AB103">
        <f t="shared" si="19"/>
        <v>934</v>
      </c>
    </row>
    <row r="104" spans="1:28" x14ac:dyDescent="0.3">
      <c r="A104">
        <v>1103</v>
      </c>
      <c r="B104" t="s">
        <v>111</v>
      </c>
      <c r="C104" t="s">
        <v>30</v>
      </c>
      <c r="D104" t="s">
        <v>14</v>
      </c>
      <c r="E104" t="s">
        <v>165</v>
      </c>
      <c r="F104" t="s">
        <v>74</v>
      </c>
      <c r="G104">
        <v>7</v>
      </c>
      <c r="H104">
        <v>35000</v>
      </c>
      <c r="I104">
        <v>2</v>
      </c>
      <c r="J104">
        <v>113664</v>
      </c>
      <c r="K104">
        <v>10</v>
      </c>
      <c r="L104">
        <v>1</v>
      </c>
      <c r="M104" t="str">
        <f>VLOOKUP(Sales_Data!F104,Product_Master!$A$2:$D$11,2)</f>
        <v>Tablet</v>
      </c>
      <c r="N104" t="str">
        <f>VLOOKUP(F104,Product_Master!$A$2:$C$11,3)</f>
        <v>Electronics</v>
      </c>
      <c r="O104">
        <f>VLOOKUP(F104,Product_Master!$A$2:$D$11,4,FALSE)</f>
        <v>29000</v>
      </c>
      <c r="P104">
        <f t="shared" si="10"/>
        <v>245000</v>
      </c>
      <c r="Q104">
        <f t="shared" si="11"/>
        <v>4900</v>
      </c>
      <c r="R104">
        <f t="shared" si="12"/>
        <v>240100</v>
      </c>
      <c r="S104">
        <f t="shared" si="13"/>
        <v>37100</v>
      </c>
      <c r="T104" t="str">
        <f>_xlfn.CONCAT(Sales_Data!C104,"-",Sales_Data!E104,"-",Sales_Data!A104)</f>
        <v>South-C1042-1103</v>
      </c>
      <c r="U104" t="str">
        <f t="shared" si="14"/>
        <v>High Value</v>
      </c>
      <c r="V104" t="str" cm="1">
        <f t="array" ref="V104">_xlfn.IFS(R104&gt;=100000,"Excellent",R104&gt;=50000,"Good",R104&gt;=20000,"Average",TRUE,"Poor")</f>
        <v>Excellent</v>
      </c>
      <c r="W104">
        <f t="shared" si="15"/>
        <v>4</v>
      </c>
      <c r="X104" t="str">
        <f t="shared" si="16"/>
        <v>December</v>
      </c>
      <c r="Y104">
        <f>HLOOKUP("Q"&amp;W104,Bonus_HLookup!$A$1:$E$2,2,FALSE)</f>
        <v>0.08</v>
      </c>
      <c r="Z104">
        <f t="shared" si="17"/>
        <v>11366.4</v>
      </c>
      <c r="AA104" s="1">
        <f t="shared" si="18"/>
        <v>9992.8714061118098</v>
      </c>
      <c r="AB104">
        <f t="shared" si="19"/>
        <v>85</v>
      </c>
    </row>
    <row r="105" spans="1:28" x14ac:dyDescent="0.3">
      <c r="A105">
        <v>1104</v>
      </c>
      <c r="B105" t="s">
        <v>166</v>
      </c>
      <c r="C105" t="s">
        <v>62</v>
      </c>
      <c r="D105" t="s">
        <v>46</v>
      </c>
      <c r="E105" t="s">
        <v>54</v>
      </c>
      <c r="F105" t="s">
        <v>52</v>
      </c>
      <c r="G105">
        <v>2</v>
      </c>
      <c r="H105">
        <v>500</v>
      </c>
      <c r="I105">
        <v>15</v>
      </c>
      <c r="J105">
        <v>212463</v>
      </c>
      <c r="K105">
        <v>8</v>
      </c>
      <c r="L105">
        <v>1</v>
      </c>
      <c r="M105" t="str">
        <f>VLOOKUP(Sales_Data!F105,Product_Master!$A$2:$D$11,2)</f>
        <v>Mouse</v>
      </c>
      <c r="N105" t="str">
        <f>VLOOKUP(F105,Product_Master!$A$2:$C$11,3)</f>
        <v>Accessories</v>
      </c>
      <c r="O105">
        <f>VLOOKUP(F105,Product_Master!$A$2:$D$11,4,FALSE)</f>
        <v>350</v>
      </c>
      <c r="P105">
        <f t="shared" si="10"/>
        <v>1000</v>
      </c>
      <c r="Q105">
        <f t="shared" si="11"/>
        <v>150</v>
      </c>
      <c r="R105">
        <f t="shared" si="12"/>
        <v>850</v>
      </c>
      <c r="S105">
        <f t="shared" si="13"/>
        <v>150</v>
      </c>
      <c r="T105" t="str">
        <f>_xlfn.CONCAT(Sales_Data!C105,"-",Sales_Data!E105,"-",Sales_Data!A105)</f>
        <v>East-C1034-1104</v>
      </c>
      <c r="U105" t="str">
        <f t="shared" si="14"/>
        <v>Regular</v>
      </c>
      <c r="V105" t="str" cm="1">
        <f t="array" ref="V105">_xlfn.IFS(R105&gt;=100000,"Excellent",R105&gt;=50000,"Good",R105&gt;=20000,"Average",TRUE,"Poor")</f>
        <v>Poor</v>
      </c>
      <c r="W105">
        <f t="shared" si="15"/>
        <v>4</v>
      </c>
      <c r="X105" t="str">
        <f t="shared" si="16"/>
        <v>December</v>
      </c>
      <c r="Y105">
        <f>HLOOKUP("Q"&amp;W105,Bonus_HLookup!$A$1:$E$2,2,FALSE)</f>
        <v>0.08</v>
      </c>
      <c r="Z105">
        <f t="shared" si="17"/>
        <v>16997.04</v>
      </c>
      <c r="AA105" s="1">
        <f t="shared" si="18"/>
        <v>18481.822608775816</v>
      </c>
      <c r="AB105">
        <f t="shared" si="19"/>
        <v>985</v>
      </c>
    </row>
    <row r="106" spans="1:28" x14ac:dyDescent="0.3">
      <c r="A106">
        <v>1105</v>
      </c>
      <c r="B106" t="s">
        <v>148</v>
      </c>
      <c r="C106" t="s">
        <v>13</v>
      </c>
      <c r="D106" t="s">
        <v>91</v>
      </c>
      <c r="E106" t="s">
        <v>77</v>
      </c>
      <c r="F106" t="s">
        <v>42</v>
      </c>
      <c r="G106">
        <v>4</v>
      </c>
      <c r="H106">
        <v>8000</v>
      </c>
      <c r="I106">
        <v>10</v>
      </c>
      <c r="J106">
        <v>256931</v>
      </c>
      <c r="K106">
        <v>7</v>
      </c>
      <c r="L106">
        <v>2</v>
      </c>
      <c r="M106" t="str">
        <f>VLOOKUP(Sales_Data!F106,Product_Master!$A$2:$D$11,2)</f>
        <v>Printer</v>
      </c>
      <c r="N106" t="str">
        <f>VLOOKUP(F106,Product_Master!$A$2:$C$11,3)</f>
        <v>Electronics</v>
      </c>
      <c r="O106">
        <f>VLOOKUP(F106,Product_Master!$A$2:$D$11,4,FALSE)</f>
        <v>6500</v>
      </c>
      <c r="P106">
        <f t="shared" si="10"/>
        <v>32000</v>
      </c>
      <c r="Q106">
        <f t="shared" si="11"/>
        <v>3200</v>
      </c>
      <c r="R106">
        <f t="shared" si="12"/>
        <v>28800</v>
      </c>
      <c r="S106">
        <f t="shared" si="13"/>
        <v>2800</v>
      </c>
      <c r="T106" t="str">
        <f>_xlfn.CONCAT(Sales_Data!C106,"-",Sales_Data!E106,"-",Sales_Data!A106)</f>
        <v>West-C1020-1105</v>
      </c>
      <c r="U106" t="str">
        <f t="shared" si="14"/>
        <v>Regular</v>
      </c>
      <c r="V106" t="str" cm="1">
        <f t="array" ref="V106">_xlfn.IFS(R106&gt;=100000,"Excellent",R106&gt;=50000,"Good",R106&gt;=20000,"Average",TRUE,"Poor")</f>
        <v>Average</v>
      </c>
      <c r="W106">
        <f t="shared" si="15"/>
        <v>2</v>
      </c>
      <c r="X106" t="str">
        <f t="shared" si="16"/>
        <v>May</v>
      </c>
      <c r="Y106">
        <f>HLOOKUP("Q"&amp;W106,Bonus_HLookup!$A$1:$E$2,2,FALSE)</f>
        <v>0.04</v>
      </c>
      <c r="Z106">
        <f t="shared" si="17"/>
        <v>35970.339999999997</v>
      </c>
      <c r="AA106" s="1">
        <f t="shared" si="18"/>
        <v>11503.463521550255</v>
      </c>
      <c r="AB106">
        <f t="shared" si="19"/>
        <v>384</v>
      </c>
    </row>
    <row r="107" spans="1:28" x14ac:dyDescent="0.3">
      <c r="A107">
        <v>1106</v>
      </c>
      <c r="B107" t="s">
        <v>167</v>
      </c>
      <c r="C107" t="s">
        <v>62</v>
      </c>
      <c r="D107" t="s">
        <v>50</v>
      </c>
      <c r="E107" t="s">
        <v>51</v>
      </c>
      <c r="F107" t="s">
        <v>36</v>
      </c>
      <c r="G107">
        <v>7</v>
      </c>
      <c r="H107">
        <v>55000</v>
      </c>
      <c r="I107">
        <v>8</v>
      </c>
      <c r="J107">
        <v>317214</v>
      </c>
      <c r="K107">
        <v>8</v>
      </c>
      <c r="L107">
        <v>5</v>
      </c>
      <c r="M107" t="str">
        <f>VLOOKUP(Sales_Data!F107,Product_Master!$A$2:$D$11,2)</f>
        <v>Laptop</v>
      </c>
      <c r="N107" t="str">
        <f>VLOOKUP(F107,Product_Master!$A$2:$C$11,3)</f>
        <v>Electronics</v>
      </c>
      <c r="O107">
        <f>VLOOKUP(F107,Product_Master!$A$2:$D$11,4,FALSE)</f>
        <v>45000</v>
      </c>
      <c r="P107">
        <f t="shared" si="10"/>
        <v>385000</v>
      </c>
      <c r="Q107">
        <f t="shared" si="11"/>
        <v>30800</v>
      </c>
      <c r="R107">
        <f t="shared" si="12"/>
        <v>354200</v>
      </c>
      <c r="S107">
        <f t="shared" si="13"/>
        <v>39200</v>
      </c>
      <c r="T107" t="str">
        <f>_xlfn.CONCAT(Sales_Data!C107,"-",Sales_Data!E107,"-",Sales_Data!A107)</f>
        <v>East-C1002-1106</v>
      </c>
      <c r="U107" t="str">
        <f t="shared" si="14"/>
        <v>High Value</v>
      </c>
      <c r="V107" t="str" cm="1">
        <f t="array" ref="V107">_xlfn.IFS(R107&gt;=100000,"Excellent",R107&gt;=50000,"Good",R107&gt;=20000,"Average",TRUE,"Poor")</f>
        <v>Excellent</v>
      </c>
      <c r="W107">
        <f t="shared" si="15"/>
        <v>4</v>
      </c>
      <c r="X107" t="str">
        <f t="shared" si="16"/>
        <v>November</v>
      </c>
      <c r="Y107">
        <f>HLOOKUP("Q"&amp;W107,Bonus_HLookup!$A$1:$E$2,2,FALSE)</f>
        <v>0.08</v>
      </c>
      <c r="Z107">
        <f t="shared" si="17"/>
        <v>126885.6</v>
      </c>
      <c r="AA107" s="1">
        <f t="shared" si="18"/>
        <v>6431.9561378048575</v>
      </c>
      <c r="AB107">
        <f t="shared" si="19"/>
        <v>31</v>
      </c>
    </row>
    <row r="108" spans="1:28" x14ac:dyDescent="0.3">
      <c r="A108">
        <v>1107</v>
      </c>
      <c r="B108" t="s">
        <v>168</v>
      </c>
      <c r="C108" t="s">
        <v>30</v>
      </c>
      <c r="D108" t="s">
        <v>59</v>
      </c>
      <c r="E108" t="s">
        <v>169</v>
      </c>
      <c r="F108" t="s">
        <v>42</v>
      </c>
      <c r="G108">
        <v>8</v>
      </c>
      <c r="H108">
        <v>8000</v>
      </c>
      <c r="I108">
        <v>0</v>
      </c>
      <c r="J108">
        <v>407415</v>
      </c>
      <c r="K108">
        <v>7</v>
      </c>
      <c r="L108">
        <v>1</v>
      </c>
      <c r="M108" t="str">
        <f>VLOOKUP(Sales_Data!F108,Product_Master!$A$2:$D$11,2)</f>
        <v>Printer</v>
      </c>
      <c r="N108" t="str">
        <f>VLOOKUP(F108,Product_Master!$A$2:$C$11,3)</f>
        <v>Electronics</v>
      </c>
      <c r="O108">
        <f>VLOOKUP(F108,Product_Master!$A$2:$D$11,4,FALSE)</f>
        <v>6500</v>
      </c>
      <c r="P108">
        <f t="shared" si="10"/>
        <v>64000</v>
      </c>
      <c r="Q108">
        <f t="shared" si="11"/>
        <v>0</v>
      </c>
      <c r="R108">
        <f t="shared" si="12"/>
        <v>64000</v>
      </c>
      <c r="S108">
        <f t="shared" si="13"/>
        <v>12000</v>
      </c>
      <c r="T108" t="str">
        <f>_xlfn.CONCAT(Sales_Data!C108,"-",Sales_Data!E108,"-",Sales_Data!A108)</f>
        <v>South-C1038-1107</v>
      </c>
      <c r="U108" t="str">
        <f t="shared" si="14"/>
        <v>High Value</v>
      </c>
      <c r="V108" t="str" cm="1">
        <f t="array" ref="V108">_xlfn.IFS(R108&gt;=100000,"Excellent",R108&gt;=50000,"Good",R108&gt;=20000,"Average",TRUE,"Poor")</f>
        <v>Good</v>
      </c>
      <c r="W108">
        <f t="shared" si="15"/>
        <v>2</v>
      </c>
      <c r="X108" t="str">
        <f t="shared" si="16"/>
        <v>June</v>
      </c>
      <c r="Y108">
        <f>HLOOKUP("Q"&amp;W108,Bonus_HLookup!$A$1:$E$2,2,FALSE)</f>
        <v>0.04</v>
      </c>
      <c r="Z108">
        <f t="shared" si="17"/>
        <v>28519.05</v>
      </c>
      <c r="AA108" s="1">
        <f t="shared" si="18"/>
        <v>35252.294261572919</v>
      </c>
      <c r="AB108">
        <f t="shared" si="19"/>
        <v>237</v>
      </c>
    </row>
    <row r="109" spans="1:28" x14ac:dyDescent="0.3">
      <c r="A109">
        <v>1108</v>
      </c>
      <c r="B109" t="s">
        <v>170</v>
      </c>
      <c r="C109" t="s">
        <v>13</v>
      </c>
      <c r="D109" t="s">
        <v>19</v>
      </c>
      <c r="E109" t="s">
        <v>38</v>
      </c>
      <c r="F109" t="s">
        <v>28</v>
      </c>
      <c r="G109">
        <v>3</v>
      </c>
      <c r="H109">
        <v>950</v>
      </c>
      <c r="I109">
        <v>2</v>
      </c>
      <c r="J109">
        <v>156799</v>
      </c>
      <c r="K109">
        <v>10</v>
      </c>
      <c r="L109">
        <v>3</v>
      </c>
      <c r="M109" t="str">
        <f>VLOOKUP(Sales_Data!F109,Product_Master!$A$2:$D$11,2)</f>
        <v>Webcam</v>
      </c>
      <c r="N109" t="str">
        <f>VLOOKUP(F109,Product_Master!$A$2:$C$11,3)</f>
        <v>Accessories</v>
      </c>
      <c r="O109">
        <f>VLOOKUP(F109,Product_Master!$A$2:$D$11,4,FALSE)</f>
        <v>700</v>
      </c>
      <c r="P109">
        <f t="shared" si="10"/>
        <v>2850</v>
      </c>
      <c r="Q109">
        <f t="shared" si="11"/>
        <v>57</v>
      </c>
      <c r="R109">
        <f t="shared" si="12"/>
        <v>2793</v>
      </c>
      <c r="S109">
        <f t="shared" si="13"/>
        <v>693</v>
      </c>
      <c r="T109" t="str">
        <f>_xlfn.CONCAT(Sales_Data!C109,"-",Sales_Data!E109,"-",Sales_Data!A109)</f>
        <v>West-C1009-1108</v>
      </c>
      <c r="U109" t="str">
        <f t="shared" si="14"/>
        <v>Regular</v>
      </c>
      <c r="V109" t="str" cm="1">
        <f t="array" ref="V109">_xlfn.IFS(R109&gt;=100000,"Excellent",R109&gt;=50000,"Good",R109&gt;=20000,"Average",TRUE,"Poor")</f>
        <v>Poor</v>
      </c>
      <c r="W109">
        <f t="shared" si="15"/>
        <v>1</v>
      </c>
      <c r="X109" t="str">
        <f t="shared" si="16"/>
        <v>January</v>
      </c>
      <c r="Y109">
        <f>HLOOKUP("Q"&amp;W109,Bonus_HLookup!$A$1:$E$2,2,FALSE)</f>
        <v>0.02</v>
      </c>
      <c r="Z109">
        <f t="shared" si="17"/>
        <v>47039.7</v>
      </c>
      <c r="AA109" s="1">
        <f t="shared" si="18"/>
        <v>5059.4626848065236</v>
      </c>
      <c r="AB109">
        <f t="shared" si="19"/>
        <v>891</v>
      </c>
    </row>
    <row r="110" spans="1:28" x14ac:dyDescent="0.3">
      <c r="A110">
        <v>1109</v>
      </c>
      <c r="B110" t="s">
        <v>171</v>
      </c>
      <c r="C110" t="s">
        <v>18</v>
      </c>
      <c r="D110" t="s">
        <v>14</v>
      </c>
      <c r="E110" t="s">
        <v>172</v>
      </c>
      <c r="F110" t="s">
        <v>36</v>
      </c>
      <c r="G110">
        <v>2</v>
      </c>
      <c r="H110">
        <v>55000</v>
      </c>
      <c r="I110">
        <v>10</v>
      </c>
      <c r="J110">
        <v>125491</v>
      </c>
      <c r="K110">
        <v>10</v>
      </c>
      <c r="L110">
        <v>5</v>
      </c>
      <c r="M110" t="str">
        <f>VLOOKUP(Sales_Data!F110,Product_Master!$A$2:$D$11,2)</f>
        <v>Laptop</v>
      </c>
      <c r="N110" t="str">
        <f>VLOOKUP(F110,Product_Master!$A$2:$C$11,3)</f>
        <v>Electronics</v>
      </c>
      <c r="O110">
        <f>VLOOKUP(F110,Product_Master!$A$2:$D$11,4,FALSE)</f>
        <v>45000</v>
      </c>
      <c r="P110">
        <f t="shared" si="10"/>
        <v>110000</v>
      </c>
      <c r="Q110">
        <f t="shared" si="11"/>
        <v>11000</v>
      </c>
      <c r="R110">
        <f t="shared" si="12"/>
        <v>99000</v>
      </c>
      <c r="S110">
        <f t="shared" si="13"/>
        <v>9000</v>
      </c>
      <c r="T110" t="str">
        <f>_xlfn.CONCAT(Sales_Data!C110,"-",Sales_Data!E110,"-",Sales_Data!A110)</f>
        <v>North-C1033-1109</v>
      </c>
      <c r="U110" t="str">
        <f t="shared" si="14"/>
        <v>High Value</v>
      </c>
      <c r="V110" t="str" cm="1">
        <f t="array" ref="V110">_xlfn.IFS(R110&gt;=100000,"Excellent",R110&gt;=50000,"Good",R110&gt;=20000,"Average",TRUE,"Poor")</f>
        <v>Good</v>
      </c>
      <c r="W110">
        <f t="shared" si="15"/>
        <v>1</v>
      </c>
      <c r="X110" t="str">
        <f t="shared" si="16"/>
        <v>February</v>
      </c>
      <c r="Y110">
        <f>HLOOKUP("Q"&amp;W110,Bonus_HLookup!$A$1:$E$2,2,FALSE)</f>
        <v>0.02</v>
      </c>
      <c r="Z110">
        <f t="shared" si="17"/>
        <v>62745.5</v>
      </c>
      <c r="AA110" s="1">
        <f t="shared" si="18"/>
        <v>2666.3128878617672</v>
      </c>
      <c r="AB110">
        <f t="shared" si="19"/>
        <v>165</v>
      </c>
    </row>
    <row r="111" spans="1:28" x14ac:dyDescent="0.3">
      <c r="A111">
        <v>1110</v>
      </c>
      <c r="B111" t="s">
        <v>173</v>
      </c>
      <c r="C111" t="s">
        <v>13</v>
      </c>
      <c r="D111" t="s">
        <v>46</v>
      </c>
      <c r="E111" t="s">
        <v>174</v>
      </c>
      <c r="F111" t="s">
        <v>52</v>
      </c>
      <c r="G111">
        <v>7</v>
      </c>
      <c r="H111">
        <v>500</v>
      </c>
      <c r="I111">
        <v>15</v>
      </c>
      <c r="J111">
        <v>225076</v>
      </c>
      <c r="K111">
        <v>12</v>
      </c>
      <c r="L111">
        <v>5</v>
      </c>
      <c r="M111" t="str">
        <f>VLOOKUP(Sales_Data!F111,Product_Master!$A$2:$D$11,2)</f>
        <v>Mouse</v>
      </c>
      <c r="N111" t="str">
        <f>VLOOKUP(F111,Product_Master!$A$2:$C$11,3)</f>
        <v>Accessories</v>
      </c>
      <c r="O111">
        <f>VLOOKUP(F111,Product_Master!$A$2:$D$11,4,FALSE)</f>
        <v>350</v>
      </c>
      <c r="P111">
        <f t="shared" si="10"/>
        <v>3500</v>
      </c>
      <c r="Q111">
        <f t="shared" si="11"/>
        <v>525</v>
      </c>
      <c r="R111">
        <f t="shared" si="12"/>
        <v>2975</v>
      </c>
      <c r="S111">
        <f t="shared" si="13"/>
        <v>525</v>
      </c>
      <c r="T111" t="str">
        <f>_xlfn.CONCAT(Sales_Data!C111,"-",Sales_Data!E111,"-",Sales_Data!A111)</f>
        <v>West-C1044-1110</v>
      </c>
      <c r="U111" t="str">
        <f t="shared" si="14"/>
        <v>Regular</v>
      </c>
      <c r="V111" t="str" cm="1">
        <f t="array" ref="V111">_xlfn.IFS(R111&gt;=100000,"Excellent",R111&gt;=50000,"Good",R111&gt;=20000,"Average",TRUE,"Poor")</f>
        <v>Poor</v>
      </c>
      <c r="W111">
        <f t="shared" si="15"/>
        <v>4</v>
      </c>
      <c r="X111" t="str">
        <f t="shared" si="16"/>
        <v>October</v>
      </c>
      <c r="Y111">
        <f>HLOOKUP("Q"&amp;W111,Bonus_HLookup!$A$1:$E$2,2,FALSE)</f>
        <v>0.08</v>
      </c>
      <c r="Z111">
        <f t="shared" si="17"/>
        <v>135045.6</v>
      </c>
      <c r="AA111" s="1">
        <f t="shared" si="18"/>
        <v>5006.691307126951</v>
      </c>
      <c r="AB111">
        <f t="shared" si="19"/>
        <v>881</v>
      </c>
    </row>
    <row r="112" spans="1:28" x14ac:dyDescent="0.3">
      <c r="A112">
        <v>1111</v>
      </c>
      <c r="B112" t="s">
        <v>175</v>
      </c>
      <c r="C112" t="s">
        <v>18</v>
      </c>
      <c r="D112" t="s">
        <v>23</v>
      </c>
      <c r="E112" t="s">
        <v>99</v>
      </c>
      <c r="F112" t="s">
        <v>25</v>
      </c>
      <c r="G112">
        <v>1</v>
      </c>
      <c r="H112">
        <v>1500</v>
      </c>
      <c r="I112">
        <v>0</v>
      </c>
      <c r="J112">
        <v>229109</v>
      </c>
      <c r="K112">
        <v>10</v>
      </c>
      <c r="L112">
        <v>4</v>
      </c>
      <c r="M112" t="str">
        <f>VLOOKUP(Sales_Data!F112,Product_Master!$A$2:$D$11,2)</f>
        <v>Keyboard</v>
      </c>
      <c r="N112" t="str">
        <f>VLOOKUP(F112,Product_Master!$A$2:$C$11,3)</f>
        <v>Accessories</v>
      </c>
      <c r="O112">
        <f>VLOOKUP(F112,Product_Master!$A$2:$D$11,4,FALSE)</f>
        <v>1200</v>
      </c>
      <c r="P112">
        <f t="shared" si="10"/>
        <v>1500</v>
      </c>
      <c r="Q112">
        <f t="shared" si="11"/>
        <v>0</v>
      </c>
      <c r="R112">
        <f t="shared" si="12"/>
        <v>1500</v>
      </c>
      <c r="S112">
        <f t="shared" si="13"/>
        <v>300</v>
      </c>
      <c r="T112" t="str">
        <f>_xlfn.CONCAT(Sales_Data!C112,"-",Sales_Data!E112,"-",Sales_Data!A112)</f>
        <v>North-C1050-1111</v>
      </c>
      <c r="U112" t="str">
        <f t="shared" si="14"/>
        <v>Regular</v>
      </c>
      <c r="V112" t="str" cm="1">
        <f t="array" ref="V112">_xlfn.IFS(R112&gt;=100000,"Excellent",R112&gt;=50000,"Good",R112&gt;=20000,"Average",TRUE,"Poor")</f>
        <v>Poor</v>
      </c>
      <c r="W112">
        <f t="shared" si="15"/>
        <v>3</v>
      </c>
      <c r="X112" t="str">
        <f t="shared" si="16"/>
        <v>July</v>
      </c>
      <c r="Y112">
        <f>HLOOKUP("Q"&amp;W112,Bonus_HLookup!$A$1:$E$2,2,FALSE)</f>
        <v>0.06</v>
      </c>
      <c r="Z112">
        <f t="shared" si="17"/>
        <v>91643.6</v>
      </c>
      <c r="AA112" s="1">
        <f t="shared" si="18"/>
        <v>5810.7961281514936</v>
      </c>
      <c r="AB112">
        <f t="shared" si="19"/>
        <v>949</v>
      </c>
    </row>
    <row r="113" spans="1:28" x14ac:dyDescent="0.3">
      <c r="A113">
        <v>1112</v>
      </c>
      <c r="B113" t="s">
        <v>176</v>
      </c>
      <c r="C113" t="s">
        <v>30</v>
      </c>
      <c r="D113" t="s">
        <v>59</v>
      </c>
      <c r="E113" t="s">
        <v>151</v>
      </c>
      <c r="F113" t="s">
        <v>69</v>
      </c>
      <c r="G113">
        <v>9</v>
      </c>
      <c r="H113">
        <v>2000</v>
      </c>
      <c r="I113">
        <v>12</v>
      </c>
      <c r="J113">
        <v>256262</v>
      </c>
      <c r="K113">
        <v>9</v>
      </c>
      <c r="L113">
        <v>1</v>
      </c>
      <c r="M113" t="str">
        <f>VLOOKUP(Sales_Data!F113,Product_Master!$A$2:$D$11,2)</f>
        <v>Headset</v>
      </c>
      <c r="N113" t="str">
        <f>VLOOKUP(F113,Product_Master!$A$2:$C$11,3)</f>
        <v>Accessories</v>
      </c>
      <c r="O113">
        <f>VLOOKUP(F113,Product_Master!$A$2:$D$11,4,FALSE)</f>
        <v>1500</v>
      </c>
      <c r="P113">
        <f t="shared" si="10"/>
        <v>18000</v>
      </c>
      <c r="Q113">
        <f t="shared" si="11"/>
        <v>2160</v>
      </c>
      <c r="R113">
        <f t="shared" si="12"/>
        <v>15840</v>
      </c>
      <c r="S113">
        <f t="shared" si="13"/>
        <v>2340</v>
      </c>
      <c r="T113" t="str">
        <f>_xlfn.CONCAT(Sales_Data!C113,"-",Sales_Data!E113,"-",Sales_Data!A113)</f>
        <v>South-C1001-1112</v>
      </c>
      <c r="U113" t="str">
        <f t="shared" si="14"/>
        <v>Regular</v>
      </c>
      <c r="V113" t="str" cm="1">
        <f t="array" ref="V113">_xlfn.IFS(R113&gt;=100000,"Excellent",R113&gt;=50000,"Good",R113&gt;=20000,"Average",TRUE,"Poor")</f>
        <v>Poor</v>
      </c>
      <c r="W113">
        <f t="shared" si="15"/>
        <v>1</v>
      </c>
      <c r="X113" t="str">
        <f t="shared" si="16"/>
        <v>January</v>
      </c>
      <c r="Y113">
        <f>HLOOKUP("Q"&amp;W113,Bonus_HLookup!$A$1:$E$2,2,FALSE)</f>
        <v>0.02</v>
      </c>
      <c r="Z113">
        <f t="shared" si="17"/>
        <v>23063.58</v>
      </c>
      <c r="AA113" s="1">
        <f t="shared" si="18"/>
        <v>22410.490340013603</v>
      </c>
      <c r="AB113">
        <f t="shared" si="19"/>
        <v>517</v>
      </c>
    </row>
    <row r="114" spans="1:28" x14ac:dyDescent="0.3">
      <c r="A114">
        <v>1113</v>
      </c>
      <c r="B114" t="s">
        <v>149</v>
      </c>
      <c r="C114" t="s">
        <v>18</v>
      </c>
      <c r="D114" t="s">
        <v>91</v>
      </c>
      <c r="E114" t="s">
        <v>165</v>
      </c>
      <c r="F114" t="s">
        <v>69</v>
      </c>
      <c r="G114">
        <v>7</v>
      </c>
      <c r="H114">
        <v>2000</v>
      </c>
      <c r="I114">
        <v>15</v>
      </c>
      <c r="J114">
        <v>360059</v>
      </c>
      <c r="K114">
        <v>10</v>
      </c>
      <c r="L114">
        <v>1</v>
      </c>
      <c r="M114" t="str">
        <f>VLOOKUP(Sales_Data!F114,Product_Master!$A$2:$D$11,2)</f>
        <v>Headset</v>
      </c>
      <c r="N114" t="str">
        <f>VLOOKUP(F114,Product_Master!$A$2:$C$11,3)</f>
        <v>Accessories</v>
      </c>
      <c r="O114">
        <f>VLOOKUP(F114,Product_Master!$A$2:$D$11,4,FALSE)</f>
        <v>1500</v>
      </c>
      <c r="P114">
        <f t="shared" si="10"/>
        <v>14000</v>
      </c>
      <c r="Q114">
        <f t="shared" si="11"/>
        <v>2100</v>
      </c>
      <c r="R114">
        <f t="shared" si="12"/>
        <v>11900</v>
      </c>
      <c r="S114">
        <f t="shared" si="13"/>
        <v>1400</v>
      </c>
      <c r="T114" t="str">
        <f>_xlfn.CONCAT(Sales_Data!C114,"-",Sales_Data!E114,"-",Sales_Data!A114)</f>
        <v>North-C1042-1113</v>
      </c>
      <c r="U114" t="str">
        <f t="shared" si="14"/>
        <v>Regular</v>
      </c>
      <c r="V114" t="str" cm="1">
        <f t="array" ref="V114">_xlfn.IFS(R114&gt;=100000,"Excellent",R114&gt;=50000,"Good",R114&gt;=20000,"Average",TRUE,"Poor")</f>
        <v>Poor</v>
      </c>
      <c r="W114">
        <f t="shared" si="15"/>
        <v>2</v>
      </c>
      <c r="X114" t="str">
        <f t="shared" si="16"/>
        <v>June</v>
      </c>
      <c r="Y114">
        <f>HLOOKUP("Q"&amp;W114,Bonus_HLookup!$A$1:$E$2,2,FALSE)</f>
        <v>0.04</v>
      </c>
      <c r="Z114">
        <f t="shared" si="17"/>
        <v>36005.9</v>
      </c>
      <c r="AA114" s="1">
        <f t="shared" si="18"/>
        <v>31654.906440150022</v>
      </c>
      <c r="AB114">
        <f t="shared" si="19"/>
        <v>592</v>
      </c>
    </row>
    <row r="115" spans="1:28" x14ac:dyDescent="0.3">
      <c r="A115">
        <v>1114</v>
      </c>
      <c r="B115" t="s">
        <v>177</v>
      </c>
      <c r="C115" t="s">
        <v>30</v>
      </c>
      <c r="D115" t="s">
        <v>59</v>
      </c>
      <c r="E115" t="s">
        <v>115</v>
      </c>
      <c r="F115" t="s">
        <v>25</v>
      </c>
      <c r="G115">
        <v>1</v>
      </c>
      <c r="H115">
        <v>1500</v>
      </c>
      <c r="I115">
        <v>15</v>
      </c>
      <c r="J115">
        <v>177965</v>
      </c>
      <c r="K115">
        <v>9</v>
      </c>
      <c r="L115">
        <v>5</v>
      </c>
      <c r="M115" t="str">
        <f>VLOOKUP(Sales_Data!F115,Product_Master!$A$2:$D$11,2)</f>
        <v>Keyboard</v>
      </c>
      <c r="N115" t="str">
        <f>VLOOKUP(F115,Product_Master!$A$2:$C$11,3)</f>
        <v>Accessories</v>
      </c>
      <c r="O115">
        <f>VLOOKUP(F115,Product_Master!$A$2:$D$11,4,FALSE)</f>
        <v>1200</v>
      </c>
      <c r="P115">
        <f t="shared" si="10"/>
        <v>1500</v>
      </c>
      <c r="Q115">
        <f t="shared" si="11"/>
        <v>225</v>
      </c>
      <c r="R115">
        <f t="shared" si="12"/>
        <v>1275</v>
      </c>
      <c r="S115">
        <f t="shared" si="13"/>
        <v>75</v>
      </c>
      <c r="T115" t="str">
        <f>_xlfn.CONCAT(Sales_Data!C115,"-",Sales_Data!E115,"-",Sales_Data!A115)</f>
        <v>South-C1026-1114</v>
      </c>
      <c r="U115" t="str">
        <f t="shared" si="14"/>
        <v>Regular</v>
      </c>
      <c r="V115" t="str" cm="1">
        <f t="array" ref="V115">_xlfn.IFS(R115&gt;=100000,"Excellent",R115&gt;=50000,"Good",R115&gt;=20000,"Average",TRUE,"Poor")</f>
        <v>Poor</v>
      </c>
      <c r="W115">
        <f t="shared" si="15"/>
        <v>2</v>
      </c>
      <c r="X115" t="str">
        <f t="shared" si="16"/>
        <v>May</v>
      </c>
      <c r="Y115">
        <f>HLOOKUP("Q"&amp;W115,Bonus_HLookup!$A$1:$E$2,2,FALSE)</f>
        <v>0.04</v>
      </c>
      <c r="Z115">
        <f t="shared" si="17"/>
        <v>80084.25</v>
      </c>
      <c r="AA115" s="1">
        <f t="shared" si="18"/>
        <v>3694.2606878580909</v>
      </c>
      <c r="AB115">
        <f t="shared" si="19"/>
        <v>961</v>
      </c>
    </row>
    <row r="116" spans="1:28" x14ac:dyDescent="0.3">
      <c r="A116">
        <v>1115</v>
      </c>
      <c r="B116" t="s">
        <v>40</v>
      </c>
      <c r="C116" t="s">
        <v>13</v>
      </c>
      <c r="D116" t="s">
        <v>46</v>
      </c>
      <c r="E116" t="s">
        <v>89</v>
      </c>
      <c r="F116" t="s">
        <v>39</v>
      </c>
      <c r="G116">
        <v>7</v>
      </c>
      <c r="H116">
        <v>7000</v>
      </c>
      <c r="I116">
        <v>0</v>
      </c>
      <c r="J116">
        <v>448197</v>
      </c>
      <c r="K116">
        <v>9</v>
      </c>
      <c r="L116">
        <v>4</v>
      </c>
      <c r="M116" t="str">
        <f>VLOOKUP(Sales_Data!F116,Product_Master!$A$2:$D$11,2)</f>
        <v>Router</v>
      </c>
      <c r="N116" t="str">
        <f>VLOOKUP(F116,Product_Master!$A$2:$C$11,3)</f>
        <v>Electronics</v>
      </c>
      <c r="O116">
        <f>VLOOKUP(F116,Product_Master!$A$2:$D$11,4,FALSE)</f>
        <v>5000</v>
      </c>
      <c r="P116">
        <f t="shared" si="10"/>
        <v>49000</v>
      </c>
      <c r="Q116">
        <f t="shared" si="11"/>
        <v>0</v>
      </c>
      <c r="R116">
        <f t="shared" si="12"/>
        <v>49000</v>
      </c>
      <c r="S116">
        <f t="shared" si="13"/>
        <v>14000</v>
      </c>
      <c r="T116" t="str">
        <f>_xlfn.CONCAT(Sales_Data!C116,"-",Sales_Data!E116,"-",Sales_Data!A116)</f>
        <v>West-C1022-1115</v>
      </c>
      <c r="U116" t="str">
        <f t="shared" si="14"/>
        <v>Regular</v>
      </c>
      <c r="V116" t="str" cm="1">
        <f t="array" ref="V116">_xlfn.IFS(R116&gt;=100000,"Excellent",R116&gt;=50000,"Good",R116&gt;=20000,"Average",TRUE,"Poor")</f>
        <v>Average</v>
      </c>
      <c r="W116">
        <f t="shared" si="15"/>
        <v>4</v>
      </c>
      <c r="X116" t="str">
        <f t="shared" si="16"/>
        <v>December</v>
      </c>
      <c r="Y116">
        <f>HLOOKUP("Q"&amp;W116,Bonus_HLookup!$A$1:$E$2,2,FALSE)</f>
        <v>0.08</v>
      </c>
      <c r="Z116">
        <f t="shared" si="17"/>
        <v>161350.92000000001</v>
      </c>
      <c r="AA116" s="1">
        <f t="shared" si="18"/>
        <v>11153.401336870191</v>
      </c>
      <c r="AB116">
        <f t="shared" si="19"/>
        <v>302</v>
      </c>
    </row>
    <row r="117" spans="1:28" x14ac:dyDescent="0.3">
      <c r="A117">
        <v>1116</v>
      </c>
      <c r="B117" t="s">
        <v>178</v>
      </c>
      <c r="C117" t="s">
        <v>13</v>
      </c>
      <c r="D117" t="s">
        <v>23</v>
      </c>
      <c r="E117" t="s">
        <v>15</v>
      </c>
      <c r="F117" t="s">
        <v>36</v>
      </c>
      <c r="G117">
        <v>9</v>
      </c>
      <c r="H117">
        <v>55000</v>
      </c>
      <c r="I117">
        <v>15</v>
      </c>
      <c r="J117">
        <v>459591</v>
      </c>
      <c r="K117">
        <v>8</v>
      </c>
      <c r="L117">
        <v>1</v>
      </c>
      <c r="M117" t="str">
        <f>VLOOKUP(Sales_Data!F117,Product_Master!$A$2:$D$11,2)</f>
        <v>Laptop</v>
      </c>
      <c r="N117" t="str">
        <f>VLOOKUP(F117,Product_Master!$A$2:$C$11,3)</f>
        <v>Electronics</v>
      </c>
      <c r="O117">
        <f>VLOOKUP(F117,Product_Master!$A$2:$D$11,4,FALSE)</f>
        <v>45000</v>
      </c>
      <c r="P117">
        <f t="shared" si="10"/>
        <v>495000</v>
      </c>
      <c r="Q117">
        <f t="shared" si="11"/>
        <v>74250</v>
      </c>
      <c r="R117">
        <f t="shared" si="12"/>
        <v>420750</v>
      </c>
      <c r="S117">
        <f t="shared" si="13"/>
        <v>15750</v>
      </c>
      <c r="T117" t="str">
        <f>_xlfn.CONCAT(Sales_Data!C117,"-",Sales_Data!E117,"-",Sales_Data!A117)</f>
        <v>West-C1016-1116</v>
      </c>
      <c r="U117" t="str">
        <f t="shared" si="14"/>
        <v>High Value</v>
      </c>
      <c r="V117" t="str" cm="1">
        <f t="array" ref="V117">_xlfn.IFS(R117&gt;=100000,"Excellent",R117&gt;=50000,"Good",R117&gt;=20000,"Average",TRUE,"Poor")</f>
        <v>Excellent</v>
      </c>
      <c r="W117">
        <f t="shared" si="15"/>
        <v>2</v>
      </c>
      <c r="X117" t="str">
        <f t="shared" si="16"/>
        <v>June</v>
      </c>
      <c r="Y117">
        <f>HLOOKUP("Q"&amp;W117,Bonus_HLookup!$A$1:$E$2,2,FALSE)</f>
        <v>0.04</v>
      </c>
      <c r="Z117">
        <f t="shared" si="17"/>
        <v>36767.279999999999</v>
      </c>
      <c r="AA117" s="1">
        <f t="shared" si="18"/>
        <v>39979.099111797746</v>
      </c>
      <c r="AB117">
        <f t="shared" si="19"/>
        <v>19</v>
      </c>
    </row>
    <row r="118" spans="1:28" x14ac:dyDescent="0.3">
      <c r="A118">
        <v>1117</v>
      </c>
      <c r="B118" t="s">
        <v>179</v>
      </c>
      <c r="C118" t="s">
        <v>18</v>
      </c>
      <c r="D118" t="s">
        <v>46</v>
      </c>
      <c r="E118" t="s">
        <v>68</v>
      </c>
      <c r="F118" t="s">
        <v>42</v>
      </c>
      <c r="G118">
        <v>3</v>
      </c>
      <c r="H118">
        <v>8000</v>
      </c>
      <c r="I118">
        <v>2</v>
      </c>
      <c r="J118">
        <v>208249</v>
      </c>
      <c r="K118">
        <v>8</v>
      </c>
      <c r="L118">
        <v>4</v>
      </c>
      <c r="M118" t="str">
        <f>VLOOKUP(Sales_Data!F118,Product_Master!$A$2:$D$11,2)</f>
        <v>Printer</v>
      </c>
      <c r="N118" t="str">
        <f>VLOOKUP(F118,Product_Master!$A$2:$C$11,3)</f>
        <v>Electronics</v>
      </c>
      <c r="O118">
        <f>VLOOKUP(F118,Product_Master!$A$2:$D$11,4,FALSE)</f>
        <v>6500</v>
      </c>
      <c r="P118">
        <f t="shared" si="10"/>
        <v>24000</v>
      </c>
      <c r="Q118">
        <f t="shared" si="11"/>
        <v>480</v>
      </c>
      <c r="R118">
        <f t="shared" si="12"/>
        <v>23520</v>
      </c>
      <c r="S118">
        <f t="shared" si="13"/>
        <v>4020</v>
      </c>
      <c r="T118" t="str">
        <f>_xlfn.CONCAT(Sales_Data!C118,"-",Sales_Data!E118,"-",Sales_Data!A118)</f>
        <v>North-C1043-1117</v>
      </c>
      <c r="U118" t="str">
        <f t="shared" si="14"/>
        <v>Regular</v>
      </c>
      <c r="V118" t="str" cm="1">
        <f t="array" ref="V118">_xlfn.IFS(R118&gt;=100000,"Excellent",R118&gt;=50000,"Good",R118&gt;=20000,"Average",TRUE,"Poor")</f>
        <v>Average</v>
      </c>
      <c r="W118">
        <f t="shared" si="15"/>
        <v>3</v>
      </c>
      <c r="X118" t="str">
        <f t="shared" si="16"/>
        <v>August</v>
      </c>
      <c r="Y118">
        <f>HLOOKUP("Q"&amp;W118,Bonus_HLookup!$A$1:$E$2,2,FALSE)</f>
        <v>0.06</v>
      </c>
      <c r="Z118">
        <f t="shared" si="17"/>
        <v>66639.679999999993</v>
      </c>
      <c r="AA118" s="1">
        <f t="shared" si="18"/>
        <v>5083.9666646955511</v>
      </c>
      <c r="AB118">
        <f t="shared" si="19"/>
        <v>406</v>
      </c>
    </row>
    <row r="119" spans="1:28" x14ac:dyDescent="0.3">
      <c r="A119">
        <v>1118</v>
      </c>
      <c r="B119" t="s">
        <v>180</v>
      </c>
      <c r="C119" t="s">
        <v>62</v>
      </c>
      <c r="D119" t="s">
        <v>91</v>
      </c>
      <c r="E119" t="s">
        <v>94</v>
      </c>
      <c r="F119" t="s">
        <v>25</v>
      </c>
      <c r="G119">
        <v>5</v>
      </c>
      <c r="H119">
        <v>1500</v>
      </c>
      <c r="I119">
        <v>8</v>
      </c>
      <c r="J119">
        <v>493466</v>
      </c>
      <c r="K119">
        <v>8</v>
      </c>
      <c r="L119">
        <v>1</v>
      </c>
      <c r="M119" t="str">
        <f>VLOOKUP(Sales_Data!F119,Product_Master!$A$2:$D$11,2)</f>
        <v>Keyboard</v>
      </c>
      <c r="N119" t="str">
        <f>VLOOKUP(F119,Product_Master!$A$2:$C$11,3)</f>
        <v>Accessories</v>
      </c>
      <c r="O119">
        <f>VLOOKUP(F119,Product_Master!$A$2:$D$11,4,FALSE)</f>
        <v>1200</v>
      </c>
      <c r="P119">
        <f t="shared" si="10"/>
        <v>7500</v>
      </c>
      <c r="Q119">
        <f t="shared" si="11"/>
        <v>600</v>
      </c>
      <c r="R119">
        <f t="shared" si="12"/>
        <v>6900</v>
      </c>
      <c r="S119">
        <f t="shared" si="13"/>
        <v>900</v>
      </c>
      <c r="T119" t="str">
        <f>_xlfn.CONCAT(Sales_Data!C119,"-",Sales_Data!E119,"-",Sales_Data!A119)</f>
        <v>East-C1027-1118</v>
      </c>
      <c r="U119" t="str">
        <f t="shared" si="14"/>
        <v>Regular</v>
      </c>
      <c r="V119" t="str" cm="1">
        <f t="array" ref="V119">_xlfn.IFS(R119&gt;=100000,"Excellent",R119&gt;=50000,"Good",R119&gt;=20000,"Average",TRUE,"Poor")</f>
        <v>Poor</v>
      </c>
      <c r="W119">
        <f t="shared" si="15"/>
        <v>2</v>
      </c>
      <c r="X119" t="str">
        <f t="shared" si="16"/>
        <v>June</v>
      </c>
      <c r="Y119">
        <f>HLOOKUP("Q"&amp;W119,Bonus_HLookup!$A$1:$E$2,2,FALSE)</f>
        <v>0.04</v>
      </c>
      <c r="Z119">
        <f t="shared" si="17"/>
        <v>39477.279999999999</v>
      </c>
      <c r="AA119" s="1">
        <f t="shared" si="18"/>
        <v>42925.832147066394</v>
      </c>
      <c r="AB119">
        <f t="shared" si="19"/>
        <v>724</v>
      </c>
    </row>
    <row r="120" spans="1:28" x14ac:dyDescent="0.3">
      <c r="A120">
        <v>1119</v>
      </c>
      <c r="B120" t="s">
        <v>181</v>
      </c>
      <c r="C120" t="s">
        <v>13</v>
      </c>
      <c r="D120" t="s">
        <v>14</v>
      </c>
      <c r="E120" t="s">
        <v>73</v>
      </c>
      <c r="F120" t="s">
        <v>21</v>
      </c>
      <c r="G120">
        <v>3</v>
      </c>
      <c r="H120">
        <v>12000</v>
      </c>
      <c r="I120">
        <v>15</v>
      </c>
      <c r="J120">
        <v>479322</v>
      </c>
      <c r="K120">
        <v>12</v>
      </c>
      <c r="L120">
        <v>3</v>
      </c>
      <c r="M120" t="str">
        <f>VLOOKUP(Sales_Data!F120,Product_Master!$A$2:$D$11,2)</f>
        <v>Monitor</v>
      </c>
      <c r="N120" t="str">
        <f>VLOOKUP(F120,Product_Master!$A$2:$C$11,3)</f>
        <v>Electronics</v>
      </c>
      <c r="O120">
        <f>VLOOKUP(F120,Product_Master!$A$2:$D$11,4,FALSE)</f>
        <v>9000</v>
      </c>
      <c r="P120">
        <f t="shared" si="10"/>
        <v>36000</v>
      </c>
      <c r="Q120">
        <f t="shared" si="11"/>
        <v>5400</v>
      </c>
      <c r="R120">
        <f t="shared" si="12"/>
        <v>30600</v>
      </c>
      <c r="S120">
        <f t="shared" si="13"/>
        <v>3600</v>
      </c>
      <c r="T120" t="str">
        <f>_xlfn.CONCAT(Sales_Data!C120,"-",Sales_Data!E120,"-",Sales_Data!A120)</f>
        <v>West-C1014-1119</v>
      </c>
      <c r="U120" t="str">
        <f t="shared" si="14"/>
        <v>Regular</v>
      </c>
      <c r="V120" t="str" cm="1">
        <f t="array" ref="V120">_xlfn.IFS(R120&gt;=100000,"Excellent",R120&gt;=50000,"Good",R120&gt;=20000,"Average",TRUE,"Poor")</f>
        <v>Average</v>
      </c>
      <c r="W120">
        <f t="shared" si="15"/>
        <v>2</v>
      </c>
      <c r="X120" t="str">
        <f t="shared" si="16"/>
        <v>April</v>
      </c>
      <c r="Y120">
        <f>HLOOKUP("Q"&amp;W120,Bonus_HLookup!$A$1:$E$2,2,FALSE)</f>
        <v>0.04</v>
      </c>
      <c r="Z120">
        <f t="shared" si="17"/>
        <v>172555.92</v>
      </c>
      <c r="AA120" s="1">
        <f t="shared" si="18"/>
        <v>15920.349408115459</v>
      </c>
      <c r="AB120">
        <f t="shared" si="19"/>
        <v>373</v>
      </c>
    </row>
    <row r="121" spans="1:28" x14ac:dyDescent="0.3">
      <c r="A121">
        <v>1120</v>
      </c>
      <c r="B121" t="s">
        <v>182</v>
      </c>
      <c r="C121" t="s">
        <v>18</v>
      </c>
      <c r="D121" t="s">
        <v>50</v>
      </c>
      <c r="E121" t="s">
        <v>183</v>
      </c>
      <c r="F121" t="s">
        <v>16</v>
      </c>
      <c r="G121">
        <v>4</v>
      </c>
      <c r="H121">
        <v>2500</v>
      </c>
      <c r="I121">
        <v>2</v>
      </c>
      <c r="J121">
        <v>123672</v>
      </c>
      <c r="K121">
        <v>12</v>
      </c>
      <c r="L121">
        <v>1</v>
      </c>
      <c r="M121" t="str">
        <f>VLOOKUP(Sales_Data!F121,Product_Master!$A$2:$D$11,2)</f>
        <v>Speaker</v>
      </c>
      <c r="N121" t="str">
        <f>VLOOKUP(F121,Product_Master!$A$2:$C$11,3)</f>
        <v>Accessories</v>
      </c>
      <c r="O121">
        <f>VLOOKUP(F121,Product_Master!$A$2:$D$11,4,FALSE)</f>
        <v>1800</v>
      </c>
      <c r="P121">
        <f t="shared" si="10"/>
        <v>10000</v>
      </c>
      <c r="Q121">
        <f t="shared" si="11"/>
        <v>200</v>
      </c>
      <c r="R121">
        <f t="shared" si="12"/>
        <v>9800</v>
      </c>
      <c r="S121">
        <f t="shared" si="13"/>
        <v>2600</v>
      </c>
      <c r="T121" t="str">
        <f>_xlfn.CONCAT(Sales_Data!C121,"-",Sales_Data!E121,"-",Sales_Data!A121)</f>
        <v>North-C1008-1120</v>
      </c>
      <c r="U121" t="str">
        <f t="shared" si="14"/>
        <v>Regular</v>
      </c>
      <c r="V121" t="str" cm="1">
        <f t="array" ref="V121">_xlfn.IFS(R121&gt;=100000,"Excellent",R121&gt;=50000,"Good",R121&gt;=20000,"Average",TRUE,"Poor")</f>
        <v>Poor</v>
      </c>
      <c r="W121">
        <f t="shared" si="15"/>
        <v>1</v>
      </c>
      <c r="X121" t="str">
        <f t="shared" si="16"/>
        <v>March</v>
      </c>
      <c r="Y121">
        <f>HLOOKUP("Q"&amp;W121,Bonus_HLookup!$A$1:$E$2,2,FALSE)</f>
        <v>0.02</v>
      </c>
      <c r="Z121">
        <f t="shared" si="17"/>
        <v>14840.64</v>
      </c>
      <c r="AA121" s="1">
        <f t="shared" si="18"/>
        <v>10988.107393427874</v>
      </c>
      <c r="AB121">
        <f t="shared" si="19"/>
        <v>645</v>
      </c>
    </row>
    <row r="122" spans="1:28" x14ac:dyDescent="0.3">
      <c r="A122">
        <v>1121</v>
      </c>
      <c r="B122" t="s">
        <v>56</v>
      </c>
      <c r="C122" t="s">
        <v>62</v>
      </c>
      <c r="D122" t="s">
        <v>46</v>
      </c>
      <c r="E122" t="s">
        <v>47</v>
      </c>
      <c r="F122" t="s">
        <v>39</v>
      </c>
      <c r="G122">
        <v>7</v>
      </c>
      <c r="H122">
        <v>7000</v>
      </c>
      <c r="I122">
        <v>10</v>
      </c>
      <c r="J122">
        <v>331782</v>
      </c>
      <c r="K122">
        <v>8</v>
      </c>
      <c r="L122">
        <v>5</v>
      </c>
      <c r="M122" t="str">
        <f>VLOOKUP(Sales_Data!F122,Product_Master!$A$2:$D$11,2)</f>
        <v>Router</v>
      </c>
      <c r="N122" t="str">
        <f>VLOOKUP(F122,Product_Master!$A$2:$C$11,3)</f>
        <v>Electronics</v>
      </c>
      <c r="O122">
        <f>VLOOKUP(F122,Product_Master!$A$2:$D$11,4,FALSE)</f>
        <v>5000</v>
      </c>
      <c r="P122">
        <f t="shared" si="10"/>
        <v>49000</v>
      </c>
      <c r="Q122">
        <f t="shared" si="11"/>
        <v>4900</v>
      </c>
      <c r="R122">
        <f t="shared" si="12"/>
        <v>44100</v>
      </c>
      <c r="S122">
        <f t="shared" si="13"/>
        <v>9100</v>
      </c>
      <c r="T122" t="str">
        <f>_xlfn.CONCAT(Sales_Data!C122,"-",Sales_Data!E122,"-",Sales_Data!A122)</f>
        <v>East-C1030-1121</v>
      </c>
      <c r="U122" t="str">
        <f t="shared" si="14"/>
        <v>Regular</v>
      </c>
      <c r="V122" t="str" cm="1">
        <f t="array" ref="V122">_xlfn.IFS(R122&gt;=100000,"Excellent",R122&gt;=50000,"Good",R122&gt;=20000,"Average",TRUE,"Poor")</f>
        <v>Average</v>
      </c>
      <c r="W122">
        <f t="shared" si="15"/>
        <v>4</v>
      </c>
      <c r="X122" t="str">
        <f t="shared" si="16"/>
        <v>November</v>
      </c>
      <c r="Y122">
        <f>HLOOKUP("Q"&amp;W122,Bonus_HLookup!$A$1:$E$2,2,FALSE)</f>
        <v>0.08</v>
      </c>
      <c r="Z122">
        <f t="shared" si="17"/>
        <v>132712.79999999999</v>
      </c>
      <c r="AA122" s="1">
        <f t="shared" si="18"/>
        <v>6727.3426497984674</v>
      </c>
      <c r="AB122">
        <f t="shared" si="19"/>
        <v>320</v>
      </c>
    </row>
    <row r="123" spans="1:28" x14ac:dyDescent="0.3">
      <c r="A123">
        <v>1122</v>
      </c>
      <c r="B123" t="s">
        <v>184</v>
      </c>
      <c r="C123" t="s">
        <v>18</v>
      </c>
      <c r="D123" t="s">
        <v>91</v>
      </c>
      <c r="E123" t="s">
        <v>128</v>
      </c>
      <c r="F123" t="s">
        <v>16</v>
      </c>
      <c r="G123">
        <v>10</v>
      </c>
      <c r="H123">
        <v>2500</v>
      </c>
      <c r="I123">
        <v>0</v>
      </c>
      <c r="J123">
        <v>165228</v>
      </c>
      <c r="K123">
        <v>12</v>
      </c>
      <c r="L123">
        <v>3</v>
      </c>
      <c r="M123" t="str">
        <f>VLOOKUP(Sales_Data!F123,Product_Master!$A$2:$D$11,2)</f>
        <v>Speaker</v>
      </c>
      <c r="N123" t="str">
        <f>VLOOKUP(F123,Product_Master!$A$2:$C$11,3)</f>
        <v>Accessories</v>
      </c>
      <c r="O123">
        <f>VLOOKUP(F123,Product_Master!$A$2:$D$11,4,FALSE)</f>
        <v>1800</v>
      </c>
      <c r="P123">
        <f t="shared" si="10"/>
        <v>25000</v>
      </c>
      <c r="Q123">
        <f t="shared" si="11"/>
        <v>0</v>
      </c>
      <c r="R123">
        <f t="shared" si="12"/>
        <v>25000</v>
      </c>
      <c r="S123">
        <f t="shared" si="13"/>
        <v>7000</v>
      </c>
      <c r="T123" t="str">
        <f>_xlfn.CONCAT(Sales_Data!C123,"-",Sales_Data!E123,"-",Sales_Data!A123)</f>
        <v>North-C1013-1122</v>
      </c>
      <c r="U123" t="str">
        <f t="shared" si="14"/>
        <v>Regular</v>
      </c>
      <c r="V123" t="str" cm="1">
        <f t="array" ref="V123">_xlfn.IFS(R123&gt;=100000,"Excellent",R123&gt;=50000,"Good",R123&gt;=20000,"Average",TRUE,"Poor")</f>
        <v>Average</v>
      </c>
      <c r="W123">
        <f t="shared" si="15"/>
        <v>1</v>
      </c>
      <c r="X123" t="str">
        <f t="shared" si="16"/>
        <v>February</v>
      </c>
      <c r="Y123">
        <f>HLOOKUP("Q"&amp;W123,Bonus_HLookup!$A$1:$E$2,2,FALSE)</f>
        <v>0.02</v>
      </c>
      <c r="Z123">
        <f t="shared" si="17"/>
        <v>59482.080000000002</v>
      </c>
      <c r="AA123" s="1">
        <f t="shared" si="18"/>
        <v>5487.9339817577766</v>
      </c>
      <c r="AB123">
        <f t="shared" si="19"/>
        <v>397</v>
      </c>
    </row>
    <row r="124" spans="1:28" x14ac:dyDescent="0.3">
      <c r="A124">
        <v>1123</v>
      </c>
      <c r="B124" t="s">
        <v>185</v>
      </c>
      <c r="C124" t="s">
        <v>13</v>
      </c>
      <c r="D124" t="s">
        <v>50</v>
      </c>
      <c r="E124" t="s">
        <v>174</v>
      </c>
      <c r="F124" t="s">
        <v>74</v>
      </c>
      <c r="G124">
        <v>8</v>
      </c>
      <c r="H124">
        <v>35000</v>
      </c>
      <c r="I124">
        <v>2</v>
      </c>
      <c r="J124">
        <v>68554</v>
      </c>
      <c r="K124">
        <v>10</v>
      </c>
      <c r="L124">
        <v>5</v>
      </c>
      <c r="M124" t="str">
        <f>VLOOKUP(Sales_Data!F124,Product_Master!$A$2:$D$11,2)</f>
        <v>Tablet</v>
      </c>
      <c r="N124" t="str">
        <f>VLOOKUP(F124,Product_Master!$A$2:$C$11,3)</f>
        <v>Electronics</v>
      </c>
      <c r="O124">
        <f>VLOOKUP(F124,Product_Master!$A$2:$D$11,4,FALSE)</f>
        <v>29000</v>
      </c>
      <c r="P124">
        <f t="shared" si="10"/>
        <v>280000</v>
      </c>
      <c r="Q124">
        <f t="shared" si="11"/>
        <v>5600</v>
      </c>
      <c r="R124">
        <f t="shared" si="12"/>
        <v>274400</v>
      </c>
      <c r="S124">
        <f t="shared" si="13"/>
        <v>42400</v>
      </c>
      <c r="T124" t="str">
        <f>_xlfn.CONCAT(Sales_Data!C124,"-",Sales_Data!E124,"-",Sales_Data!A124)</f>
        <v>West-C1044-1123</v>
      </c>
      <c r="U124" t="str">
        <f t="shared" si="14"/>
        <v>High Value</v>
      </c>
      <c r="V124" t="str" cm="1">
        <f t="array" ref="V124">_xlfn.IFS(R124&gt;=100000,"Excellent",R124&gt;=50000,"Good",R124&gt;=20000,"Average",TRUE,"Poor")</f>
        <v>Excellent</v>
      </c>
      <c r="W124">
        <f t="shared" si="15"/>
        <v>3</v>
      </c>
      <c r="X124" t="str">
        <f t="shared" si="16"/>
        <v>August</v>
      </c>
      <c r="Y124">
        <f>HLOOKUP("Q"&amp;W124,Bonus_HLookup!$A$1:$E$2,2,FALSE)</f>
        <v>0.06</v>
      </c>
      <c r="Z124">
        <f t="shared" si="17"/>
        <v>34277</v>
      </c>
      <c r="AA124" s="1">
        <f t="shared" si="18"/>
        <v>1456.5699031362853</v>
      </c>
      <c r="AB124">
        <f t="shared" si="19"/>
        <v>63</v>
      </c>
    </row>
    <row r="125" spans="1:28" x14ac:dyDescent="0.3">
      <c r="A125">
        <v>1124</v>
      </c>
      <c r="B125" t="s">
        <v>64</v>
      </c>
      <c r="C125" t="s">
        <v>13</v>
      </c>
      <c r="D125" t="s">
        <v>19</v>
      </c>
      <c r="E125" t="s">
        <v>57</v>
      </c>
      <c r="F125" t="s">
        <v>21</v>
      </c>
      <c r="G125">
        <v>7</v>
      </c>
      <c r="H125">
        <v>12000</v>
      </c>
      <c r="I125">
        <v>0</v>
      </c>
      <c r="J125">
        <v>499759</v>
      </c>
      <c r="K125">
        <v>12</v>
      </c>
      <c r="L125">
        <v>2</v>
      </c>
      <c r="M125" t="str">
        <f>VLOOKUP(Sales_Data!F125,Product_Master!$A$2:$D$11,2)</f>
        <v>Monitor</v>
      </c>
      <c r="N125" t="str">
        <f>VLOOKUP(F125,Product_Master!$A$2:$C$11,3)</f>
        <v>Electronics</v>
      </c>
      <c r="O125">
        <f>VLOOKUP(F125,Product_Master!$A$2:$D$11,4,FALSE)</f>
        <v>9000</v>
      </c>
      <c r="P125">
        <f t="shared" si="10"/>
        <v>84000</v>
      </c>
      <c r="Q125">
        <f t="shared" si="11"/>
        <v>0</v>
      </c>
      <c r="R125">
        <f t="shared" si="12"/>
        <v>84000</v>
      </c>
      <c r="S125">
        <f t="shared" si="13"/>
        <v>21000</v>
      </c>
      <c r="T125" t="str">
        <f>_xlfn.CONCAT(Sales_Data!C125,"-",Sales_Data!E125,"-",Sales_Data!A125)</f>
        <v>West-C1012-1124</v>
      </c>
      <c r="U125" t="str">
        <f t="shared" si="14"/>
        <v>High Value</v>
      </c>
      <c r="V125" t="str" cm="1">
        <f t="array" ref="V125">_xlfn.IFS(R125&gt;=100000,"Excellent",R125&gt;=50000,"Good",R125&gt;=20000,"Average",TRUE,"Poor")</f>
        <v>Good</v>
      </c>
      <c r="W125">
        <f t="shared" si="15"/>
        <v>2</v>
      </c>
      <c r="X125" t="str">
        <f t="shared" si="16"/>
        <v>April</v>
      </c>
      <c r="Y125">
        <f>HLOOKUP("Q"&amp;W125,Bonus_HLookup!$A$1:$E$2,2,FALSE)</f>
        <v>0.04</v>
      </c>
      <c r="Z125">
        <f t="shared" si="17"/>
        <v>119942.16</v>
      </c>
      <c r="AA125" s="1">
        <f t="shared" si="18"/>
        <v>23525.391404826543</v>
      </c>
      <c r="AB125">
        <f t="shared" si="19"/>
        <v>191</v>
      </c>
    </row>
    <row r="126" spans="1:28" x14ac:dyDescent="0.3">
      <c r="A126">
        <v>1125</v>
      </c>
      <c r="B126" t="s">
        <v>176</v>
      </c>
      <c r="C126" t="s">
        <v>30</v>
      </c>
      <c r="D126" t="s">
        <v>50</v>
      </c>
      <c r="E126" t="s">
        <v>94</v>
      </c>
      <c r="F126" t="s">
        <v>25</v>
      </c>
      <c r="G126">
        <v>9</v>
      </c>
      <c r="H126">
        <v>1500</v>
      </c>
      <c r="I126">
        <v>0</v>
      </c>
      <c r="J126">
        <v>173987</v>
      </c>
      <c r="K126">
        <v>8</v>
      </c>
      <c r="L126">
        <v>4</v>
      </c>
      <c r="M126" t="str">
        <f>VLOOKUP(Sales_Data!F126,Product_Master!$A$2:$D$11,2)</f>
        <v>Keyboard</v>
      </c>
      <c r="N126" t="str">
        <f>VLOOKUP(F126,Product_Master!$A$2:$C$11,3)</f>
        <v>Accessories</v>
      </c>
      <c r="O126">
        <f>VLOOKUP(F126,Product_Master!$A$2:$D$11,4,FALSE)</f>
        <v>1200</v>
      </c>
      <c r="P126">
        <f t="shared" si="10"/>
        <v>13500</v>
      </c>
      <c r="Q126">
        <f t="shared" si="11"/>
        <v>0</v>
      </c>
      <c r="R126">
        <f t="shared" si="12"/>
        <v>13500</v>
      </c>
      <c r="S126">
        <f t="shared" si="13"/>
        <v>2700</v>
      </c>
      <c r="T126" t="str">
        <f>_xlfn.CONCAT(Sales_Data!C126,"-",Sales_Data!E126,"-",Sales_Data!A126)</f>
        <v>South-C1027-1125</v>
      </c>
      <c r="U126" t="str">
        <f t="shared" si="14"/>
        <v>Regular</v>
      </c>
      <c r="V126" t="str" cm="1">
        <f t="array" ref="V126">_xlfn.IFS(R126&gt;=100000,"Excellent",R126&gt;=50000,"Good",R126&gt;=20000,"Average",TRUE,"Poor")</f>
        <v>Poor</v>
      </c>
      <c r="W126">
        <f t="shared" si="15"/>
        <v>1</v>
      </c>
      <c r="X126" t="str">
        <f t="shared" si="16"/>
        <v>January</v>
      </c>
      <c r="Y126">
        <f>HLOOKUP("Q"&amp;W126,Bonus_HLookup!$A$1:$E$2,2,FALSE)</f>
        <v>0.02</v>
      </c>
      <c r="Z126">
        <f t="shared" si="17"/>
        <v>55675.839999999997</v>
      </c>
      <c r="AA126" s="1">
        <f t="shared" si="18"/>
        <v>4247.5311194309925</v>
      </c>
      <c r="AB126">
        <f t="shared" si="19"/>
        <v>553</v>
      </c>
    </row>
    <row r="127" spans="1:28" x14ac:dyDescent="0.3">
      <c r="A127">
        <v>1126</v>
      </c>
      <c r="B127" t="s">
        <v>139</v>
      </c>
      <c r="C127" t="s">
        <v>62</v>
      </c>
      <c r="D127" t="s">
        <v>23</v>
      </c>
      <c r="E127" t="s">
        <v>68</v>
      </c>
      <c r="F127" t="s">
        <v>36</v>
      </c>
      <c r="G127">
        <v>9</v>
      </c>
      <c r="H127">
        <v>55000</v>
      </c>
      <c r="I127">
        <v>0</v>
      </c>
      <c r="J127">
        <v>209713</v>
      </c>
      <c r="K127">
        <v>12</v>
      </c>
      <c r="L127">
        <v>2</v>
      </c>
      <c r="M127" t="str">
        <f>VLOOKUP(Sales_Data!F127,Product_Master!$A$2:$D$11,2)</f>
        <v>Laptop</v>
      </c>
      <c r="N127" t="str">
        <f>VLOOKUP(F127,Product_Master!$A$2:$C$11,3)</f>
        <v>Electronics</v>
      </c>
      <c r="O127">
        <f>VLOOKUP(F127,Product_Master!$A$2:$D$11,4,FALSE)</f>
        <v>45000</v>
      </c>
      <c r="P127">
        <f t="shared" si="10"/>
        <v>495000</v>
      </c>
      <c r="Q127">
        <f t="shared" si="11"/>
        <v>0</v>
      </c>
      <c r="R127">
        <f t="shared" si="12"/>
        <v>495000</v>
      </c>
      <c r="S127">
        <f t="shared" si="13"/>
        <v>90000</v>
      </c>
      <c r="T127" t="str">
        <f>_xlfn.CONCAT(Sales_Data!C127,"-",Sales_Data!E127,"-",Sales_Data!A127)</f>
        <v>East-C1043-1126</v>
      </c>
      <c r="U127" t="str">
        <f t="shared" si="14"/>
        <v>High Value</v>
      </c>
      <c r="V127" t="str" cm="1">
        <f t="array" ref="V127">_xlfn.IFS(R127&gt;=100000,"Excellent",R127&gt;=50000,"Good",R127&gt;=20000,"Average",TRUE,"Poor")</f>
        <v>Excellent</v>
      </c>
      <c r="W127">
        <f t="shared" si="15"/>
        <v>4</v>
      </c>
      <c r="X127" t="str">
        <f t="shared" si="16"/>
        <v>October</v>
      </c>
      <c r="Y127">
        <f>HLOOKUP("Q"&amp;W127,Bonus_HLookup!$A$1:$E$2,2,FALSE)</f>
        <v>0.08</v>
      </c>
      <c r="Z127">
        <f t="shared" si="17"/>
        <v>50331.12</v>
      </c>
      <c r="AA127" s="1">
        <f t="shared" si="18"/>
        <v>9871.9190803575111</v>
      </c>
      <c r="AB127">
        <f t="shared" si="19"/>
        <v>4</v>
      </c>
    </row>
    <row r="128" spans="1:28" x14ac:dyDescent="0.3">
      <c r="A128">
        <v>1127</v>
      </c>
      <c r="B128" t="s">
        <v>186</v>
      </c>
      <c r="C128" t="s">
        <v>30</v>
      </c>
      <c r="D128" t="s">
        <v>19</v>
      </c>
      <c r="E128" t="s">
        <v>187</v>
      </c>
      <c r="F128" t="s">
        <v>52</v>
      </c>
      <c r="G128">
        <v>8</v>
      </c>
      <c r="H128">
        <v>500</v>
      </c>
      <c r="I128">
        <v>12</v>
      </c>
      <c r="J128">
        <v>304159</v>
      </c>
      <c r="K128">
        <v>9</v>
      </c>
      <c r="L128">
        <v>4</v>
      </c>
      <c r="M128" t="str">
        <f>VLOOKUP(Sales_Data!F128,Product_Master!$A$2:$D$11,2)</f>
        <v>Mouse</v>
      </c>
      <c r="N128" t="str">
        <f>VLOOKUP(F128,Product_Master!$A$2:$C$11,3)</f>
        <v>Accessories</v>
      </c>
      <c r="O128">
        <f>VLOOKUP(F128,Product_Master!$A$2:$D$11,4,FALSE)</f>
        <v>350</v>
      </c>
      <c r="P128">
        <f t="shared" si="10"/>
        <v>4000</v>
      </c>
      <c r="Q128">
        <f t="shared" si="11"/>
        <v>480</v>
      </c>
      <c r="R128">
        <f t="shared" si="12"/>
        <v>3520</v>
      </c>
      <c r="S128">
        <f t="shared" si="13"/>
        <v>720</v>
      </c>
      <c r="T128" t="str">
        <f>_xlfn.CONCAT(Sales_Data!C128,"-",Sales_Data!E128,"-",Sales_Data!A128)</f>
        <v>South-C1041-1127</v>
      </c>
      <c r="U128" t="str">
        <f t="shared" si="14"/>
        <v>Regular</v>
      </c>
      <c r="V128" t="str" cm="1">
        <f t="array" ref="V128">_xlfn.IFS(R128&gt;=100000,"Excellent",R128&gt;=50000,"Good",R128&gt;=20000,"Average",TRUE,"Poor")</f>
        <v>Poor</v>
      </c>
      <c r="W128">
        <f t="shared" si="15"/>
        <v>1</v>
      </c>
      <c r="X128" t="str">
        <f t="shared" si="16"/>
        <v>January</v>
      </c>
      <c r="Y128">
        <f>HLOOKUP("Q"&amp;W128,Bonus_HLookup!$A$1:$E$2,2,FALSE)</f>
        <v>0.02</v>
      </c>
      <c r="Z128">
        <f t="shared" si="17"/>
        <v>109497.24</v>
      </c>
      <c r="AA128" s="1">
        <f t="shared" si="18"/>
        <v>7569.0096034134549</v>
      </c>
      <c r="AB128">
        <f t="shared" si="19"/>
        <v>862</v>
      </c>
    </row>
    <row r="129" spans="1:28" x14ac:dyDescent="0.3">
      <c r="A129">
        <v>1128</v>
      </c>
      <c r="B129" t="s">
        <v>188</v>
      </c>
      <c r="C129" t="s">
        <v>62</v>
      </c>
      <c r="D129" t="s">
        <v>50</v>
      </c>
      <c r="E129" t="s">
        <v>189</v>
      </c>
      <c r="F129" t="s">
        <v>28</v>
      </c>
      <c r="G129">
        <v>9</v>
      </c>
      <c r="H129">
        <v>950</v>
      </c>
      <c r="I129">
        <v>12</v>
      </c>
      <c r="J129">
        <v>225928</v>
      </c>
      <c r="K129">
        <v>12</v>
      </c>
      <c r="L129">
        <v>4</v>
      </c>
      <c r="M129" t="str">
        <f>VLOOKUP(Sales_Data!F129,Product_Master!$A$2:$D$11,2)</f>
        <v>Webcam</v>
      </c>
      <c r="N129" t="str">
        <f>VLOOKUP(F129,Product_Master!$A$2:$C$11,3)</f>
        <v>Accessories</v>
      </c>
      <c r="O129">
        <f>VLOOKUP(F129,Product_Master!$A$2:$D$11,4,FALSE)</f>
        <v>700</v>
      </c>
      <c r="P129">
        <f t="shared" si="10"/>
        <v>8550</v>
      </c>
      <c r="Q129">
        <f t="shared" si="11"/>
        <v>1026</v>
      </c>
      <c r="R129">
        <f t="shared" si="12"/>
        <v>7524</v>
      </c>
      <c r="S129">
        <f t="shared" si="13"/>
        <v>1224</v>
      </c>
      <c r="T129" t="str">
        <f>_xlfn.CONCAT(Sales_Data!C129,"-",Sales_Data!E129,"-",Sales_Data!A129)</f>
        <v>East-C1015-1128</v>
      </c>
      <c r="U129" t="str">
        <f t="shared" si="14"/>
        <v>Regular</v>
      </c>
      <c r="V129" t="str" cm="1">
        <f t="array" ref="V129">_xlfn.IFS(R129&gt;=100000,"Excellent",R129&gt;=50000,"Good",R129&gt;=20000,"Average",TRUE,"Poor")</f>
        <v>Poor</v>
      </c>
      <c r="W129">
        <f t="shared" si="15"/>
        <v>4</v>
      </c>
      <c r="X129" t="str">
        <f t="shared" si="16"/>
        <v>November</v>
      </c>
      <c r="Y129">
        <f>HLOOKUP("Q"&amp;W129,Bonus_HLookup!$A$1:$E$2,2,FALSE)</f>
        <v>0.08</v>
      </c>
      <c r="Z129">
        <f t="shared" si="17"/>
        <v>108445.44</v>
      </c>
      <c r="AA129" s="1">
        <f t="shared" si="18"/>
        <v>5949.5507714645764</v>
      </c>
      <c r="AB129">
        <f t="shared" si="19"/>
        <v>704</v>
      </c>
    </row>
    <row r="130" spans="1:28" x14ac:dyDescent="0.3">
      <c r="A130">
        <v>1129</v>
      </c>
      <c r="B130" t="s">
        <v>190</v>
      </c>
      <c r="C130" t="s">
        <v>13</v>
      </c>
      <c r="D130" t="s">
        <v>46</v>
      </c>
      <c r="E130" t="s">
        <v>169</v>
      </c>
      <c r="F130" t="s">
        <v>28</v>
      </c>
      <c r="G130">
        <v>7</v>
      </c>
      <c r="H130">
        <v>950</v>
      </c>
      <c r="I130">
        <v>12</v>
      </c>
      <c r="J130">
        <v>64451</v>
      </c>
      <c r="K130">
        <v>7</v>
      </c>
      <c r="L130">
        <v>4</v>
      </c>
      <c r="M130" t="str">
        <f>VLOOKUP(Sales_Data!F130,Product_Master!$A$2:$D$11,2)</f>
        <v>Webcam</v>
      </c>
      <c r="N130" t="str">
        <f>VLOOKUP(F130,Product_Master!$A$2:$C$11,3)</f>
        <v>Accessories</v>
      </c>
      <c r="O130">
        <f>VLOOKUP(F130,Product_Master!$A$2:$D$11,4,FALSE)</f>
        <v>700</v>
      </c>
      <c r="P130">
        <f t="shared" si="10"/>
        <v>6650</v>
      </c>
      <c r="Q130">
        <f t="shared" si="11"/>
        <v>798</v>
      </c>
      <c r="R130">
        <f t="shared" si="12"/>
        <v>5852</v>
      </c>
      <c r="S130">
        <f t="shared" si="13"/>
        <v>952</v>
      </c>
      <c r="T130" t="str">
        <f>_xlfn.CONCAT(Sales_Data!C130,"-",Sales_Data!E130,"-",Sales_Data!A130)</f>
        <v>West-C1038-1129</v>
      </c>
      <c r="U130" t="str">
        <f t="shared" si="14"/>
        <v>Regular</v>
      </c>
      <c r="V130" t="str" cm="1">
        <f t="array" ref="V130">_xlfn.IFS(R130&gt;=100000,"Excellent",R130&gt;=50000,"Good",R130&gt;=20000,"Average",TRUE,"Poor")</f>
        <v>Poor</v>
      </c>
      <c r="W130">
        <f t="shared" si="15"/>
        <v>2</v>
      </c>
      <c r="X130" t="str">
        <f t="shared" si="16"/>
        <v>April</v>
      </c>
      <c r="Y130">
        <f>HLOOKUP("Q"&amp;W130,Bonus_HLookup!$A$1:$E$2,2,FALSE)</f>
        <v>0.04</v>
      </c>
      <c r="Z130">
        <f t="shared" si="17"/>
        <v>18046.28</v>
      </c>
      <c r="AA130" s="1">
        <f t="shared" si="18"/>
        <v>1543.3594147391079</v>
      </c>
      <c r="AB130">
        <f t="shared" si="19"/>
        <v>765</v>
      </c>
    </row>
    <row r="131" spans="1:28" x14ac:dyDescent="0.3">
      <c r="A131">
        <v>1130</v>
      </c>
      <c r="B131" t="s">
        <v>191</v>
      </c>
      <c r="C131" t="s">
        <v>62</v>
      </c>
      <c r="D131" t="s">
        <v>91</v>
      </c>
      <c r="E131" t="s">
        <v>157</v>
      </c>
      <c r="F131" t="s">
        <v>69</v>
      </c>
      <c r="G131">
        <v>7</v>
      </c>
      <c r="H131">
        <v>2000</v>
      </c>
      <c r="I131">
        <v>5</v>
      </c>
      <c r="J131">
        <v>477318</v>
      </c>
      <c r="K131">
        <v>7</v>
      </c>
      <c r="L131">
        <v>5</v>
      </c>
      <c r="M131" t="str">
        <f>VLOOKUP(Sales_Data!F131,Product_Master!$A$2:$D$11,2)</f>
        <v>Headset</v>
      </c>
      <c r="N131" t="str">
        <f>VLOOKUP(F131,Product_Master!$A$2:$C$11,3)</f>
        <v>Accessories</v>
      </c>
      <c r="O131">
        <f>VLOOKUP(F131,Product_Master!$A$2:$D$11,4,FALSE)</f>
        <v>1500</v>
      </c>
      <c r="P131">
        <f t="shared" ref="P131:P194" si="20">H131*G131</f>
        <v>14000</v>
      </c>
      <c r="Q131">
        <f t="shared" ref="Q131:Q194" si="21">P131*(I131/100)</f>
        <v>700</v>
      </c>
      <c r="R131">
        <f t="shared" ref="R131:R194" si="22">P131-Q131</f>
        <v>13300</v>
      </c>
      <c r="S131">
        <f t="shared" ref="S131:S194" si="23">R131-(G131*O131)</f>
        <v>2800</v>
      </c>
      <c r="T131" t="str">
        <f>_xlfn.CONCAT(Sales_Data!C131,"-",Sales_Data!E131,"-",Sales_Data!A131)</f>
        <v>East-C1024-1130</v>
      </c>
      <c r="U131" t="str">
        <f t="shared" ref="U131:U194" si="24">IF(R131&gt;=50000,"High Value","Regular")</f>
        <v>Regular</v>
      </c>
      <c r="V131" t="str" cm="1">
        <f t="array" ref="V131">_xlfn.IFS(R131&gt;=100000,"Excellent",R131&gt;=50000,"Good",R131&gt;=20000,"Average",TRUE,"Poor")</f>
        <v>Poor</v>
      </c>
      <c r="W131">
        <f t="shared" ref="W131:W194" si="25">ROUNDUP(MONTH(B131)/3,0)</f>
        <v>2</v>
      </c>
      <c r="X131" t="str">
        <f t="shared" ref="X131:X194" si="26">TEXT(B131,"mmmm")</f>
        <v>June</v>
      </c>
      <c r="Y131">
        <f>HLOOKUP("Q"&amp;W131,Bonus_HLookup!$A$1:$E$2,2,FALSE)</f>
        <v>0.04</v>
      </c>
      <c r="Z131">
        <f t="shared" ref="Z131:Z194" si="27">(J131*K131*L131)/100</f>
        <v>167061.29999999999</v>
      </c>
      <c r="AA131" s="1">
        <f t="shared" ref="AA131:AA194" si="28">PMT(K131/1200,L131*12,-J131)</f>
        <v>9451.46848488256</v>
      </c>
      <c r="AB131">
        <f t="shared" ref="AB131:AB194" si="29">RANK(R131,$R$2:$R$1001)</f>
        <v>559</v>
      </c>
    </row>
    <row r="132" spans="1:28" x14ac:dyDescent="0.3">
      <c r="A132">
        <v>1131</v>
      </c>
      <c r="B132" t="s">
        <v>192</v>
      </c>
      <c r="C132" t="s">
        <v>13</v>
      </c>
      <c r="D132" t="s">
        <v>46</v>
      </c>
      <c r="E132" t="s">
        <v>82</v>
      </c>
      <c r="F132" t="s">
        <v>74</v>
      </c>
      <c r="G132">
        <v>7</v>
      </c>
      <c r="H132">
        <v>35000</v>
      </c>
      <c r="I132">
        <v>2</v>
      </c>
      <c r="J132">
        <v>394620</v>
      </c>
      <c r="K132">
        <v>12</v>
      </c>
      <c r="L132">
        <v>5</v>
      </c>
      <c r="M132" t="str">
        <f>VLOOKUP(Sales_Data!F132,Product_Master!$A$2:$D$11,2)</f>
        <v>Tablet</v>
      </c>
      <c r="N132" t="str">
        <f>VLOOKUP(F132,Product_Master!$A$2:$C$11,3)</f>
        <v>Electronics</v>
      </c>
      <c r="O132">
        <f>VLOOKUP(F132,Product_Master!$A$2:$D$11,4,FALSE)</f>
        <v>29000</v>
      </c>
      <c r="P132">
        <f t="shared" si="20"/>
        <v>245000</v>
      </c>
      <c r="Q132">
        <f t="shared" si="21"/>
        <v>4900</v>
      </c>
      <c r="R132">
        <f t="shared" si="22"/>
        <v>240100</v>
      </c>
      <c r="S132">
        <f t="shared" si="23"/>
        <v>37100</v>
      </c>
      <c r="T132" t="str">
        <f>_xlfn.CONCAT(Sales_Data!C132,"-",Sales_Data!E132,"-",Sales_Data!A132)</f>
        <v>West-C1045-1131</v>
      </c>
      <c r="U132" t="str">
        <f t="shared" si="24"/>
        <v>High Value</v>
      </c>
      <c r="V132" t="str" cm="1">
        <f t="array" ref="V132">_xlfn.IFS(R132&gt;=100000,"Excellent",R132&gt;=50000,"Good",R132&gt;=20000,"Average",TRUE,"Poor")</f>
        <v>Excellent</v>
      </c>
      <c r="W132">
        <f t="shared" si="25"/>
        <v>1</v>
      </c>
      <c r="X132" t="str">
        <f t="shared" si="26"/>
        <v>February</v>
      </c>
      <c r="Y132">
        <f>HLOOKUP("Q"&amp;W132,Bonus_HLookup!$A$1:$E$2,2,FALSE)</f>
        <v>0.02</v>
      </c>
      <c r="Z132">
        <f t="shared" si="27"/>
        <v>236772</v>
      </c>
      <c r="AA132" s="1">
        <f t="shared" si="28"/>
        <v>8778.1039454159381</v>
      </c>
      <c r="AB132">
        <f t="shared" si="29"/>
        <v>85</v>
      </c>
    </row>
    <row r="133" spans="1:28" x14ac:dyDescent="0.3">
      <c r="A133">
        <v>1132</v>
      </c>
      <c r="B133" t="s">
        <v>193</v>
      </c>
      <c r="C133" t="s">
        <v>62</v>
      </c>
      <c r="D133" t="s">
        <v>46</v>
      </c>
      <c r="E133" t="s">
        <v>125</v>
      </c>
      <c r="F133" t="s">
        <v>25</v>
      </c>
      <c r="G133">
        <v>2</v>
      </c>
      <c r="H133">
        <v>1500</v>
      </c>
      <c r="I133">
        <v>0</v>
      </c>
      <c r="J133">
        <v>69789</v>
      </c>
      <c r="K133">
        <v>12</v>
      </c>
      <c r="L133">
        <v>2</v>
      </c>
      <c r="M133" t="str">
        <f>VLOOKUP(Sales_Data!F133,Product_Master!$A$2:$D$11,2)</f>
        <v>Keyboard</v>
      </c>
      <c r="N133" t="str">
        <f>VLOOKUP(F133,Product_Master!$A$2:$C$11,3)</f>
        <v>Accessories</v>
      </c>
      <c r="O133">
        <f>VLOOKUP(F133,Product_Master!$A$2:$D$11,4,FALSE)</f>
        <v>1200</v>
      </c>
      <c r="P133">
        <f t="shared" si="20"/>
        <v>3000</v>
      </c>
      <c r="Q133">
        <f t="shared" si="21"/>
        <v>0</v>
      </c>
      <c r="R133">
        <f t="shared" si="22"/>
        <v>3000</v>
      </c>
      <c r="S133">
        <f t="shared" si="23"/>
        <v>600</v>
      </c>
      <c r="T133" t="str">
        <f>_xlfn.CONCAT(Sales_Data!C133,"-",Sales_Data!E133,"-",Sales_Data!A133)</f>
        <v>East-C1039-1132</v>
      </c>
      <c r="U133" t="str">
        <f t="shared" si="24"/>
        <v>Regular</v>
      </c>
      <c r="V133" t="str" cm="1">
        <f t="array" ref="V133">_xlfn.IFS(R133&gt;=100000,"Excellent",R133&gt;=50000,"Good",R133&gt;=20000,"Average",TRUE,"Poor")</f>
        <v>Poor</v>
      </c>
      <c r="W133">
        <f t="shared" si="25"/>
        <v>3</v>
      </c>
      <c r="X133" t="str">
        <f t="shared" si="26"/>
        <v>August</v>
      </c>
      <c r="Y133">
        <f>HLOOKUP("Q"&amp;W133,Bonus_HLookup!$A$1:$E$2,2,FALSE)</f>
        <v>0.06</v>
      </c>
      <c r="Z133">
        <f t="shared" si="27"/>
        <v>16749.36</v>
      </c>
      <c r="AA133" s="1">
        <f t="shared" si="28"/>
        <v>3285.2105529894202</v>
      </c>
      <c r="AB133">
        <f t="shared" si="29"/>
        <v>877</v>
      </c>
    </row>
    <row r="134" spans="1:28" x14ac:dyDescent="0.3">
      <c r="A134">
        <v>1133</v>
      </c>
      <c r="B134" t="s">
        <v>194</v>
      </c>
      <c r="C134" t="s">
        <v>62</v>
      </c>
      <c r="D134" t="s">
        <v>46</v>
      </c>
      <c r="E134" t="s">
        <v>41</v>
      </c>
      <c r="F134" t="s">
        <v>52</v>
      </c>
      <c r="G134">
        <v>2</v>
      </c>
      <c r="H134">
        <v>500</v>
      </c>
      <c r="I134">
        <v>15</v>
      </c>
      <c r="J134">
        <v>165850</v>
      </c>
      <c r="K134">
        <v>7</v>
      </c>
      <c r="L134">
        <v>2</v>
      </c>
      <c r="M134" t="str">
        <f>VLOOKUP(Sales_Data!F134,Product_Master!$A$2:$D$11,2)</f>
        <v>Mouse</v>
      </c>
      <c r="N134" t="str">
        <f>VLOOKUP(F134,Product_Master!$A$2:$C$11,3)</f>
        <v>Accessories</v>
      </c>
      <c r="O134">
        <f>VLOOKUP(F134,Product_Master!$A$2:$D$11,4,FALSE)</f>
        <v>350</v>
      </c>
      <c r="P134">
        <f t="shared" si="20"/>
        <v>1000</v>
      </c>
      <c r="Q134">
        <f t="shared" si="21"/>
        <v>150</v>
      </c>
      <c r="R134">
        <f t="shared" si="22"/>
        <v>850</v>
      </c>
      <c r="S134">
        <f t="shared" si="23"/>
        <v>150</v>
      </c>
      <c r="T134" t="str">
        <f>_xlfn.CONCAT(Sales_Data!C134,"-",Sales_Data!E134,"-",Sales_Data!A134)</f>
        <v>East-C1023-1133</v>
      </c>
      <c r="U134" t="str">
        <f t="shared" si="24"/>
        <v>Regular</v>
      </c>
      <c r="V134" t="str" cm="1">
        <f t="array" ref="V134">_xlfn.IFS(R134&gt;=100000,"Excellent",R134&gt;=50000,"Good",R134&gt;=20000,"Average",TRUE,"Poor")</f>
        <v>Poor</v>
      </c>
      <c r="W134">
        <f t="shared" si="25"/>
        <v>4</v>
      </c>
      <c r="X134" t="str">
        <f t="shared" si="26"/>
        <v>October</v>
      </c>
      <c r="Y134">
        <f>HLOOKUP("Q"&amp;W134,Bonus_HLookup!$A$1:$E$2,2,FALSE)</f>
        <v>0.08</v>
      </c>
      <c r="Z134">
        <f t="shared" si="27"/>
        <v>23219</v>
      </c>
      <c r="AA134" s="1">
        <f t="shared" si="28"/>
        <v>7425.5322442566676</v>
      </c>
      <c r="AB134">
        <f t="shared" si="29"/>
        <v>985</v>
      </c>
    </row>
    <row r="135" spans="1:28" x14ac:dyDescent="0.3">
      <c r="A135">
        <v>1134</v>
      </c>
      <c r="B135" t="s">
        <v>195</v>
      </c>
      <c r="C135" t="s">
        <v>62</v>
      </c>
      <c r="D135" t="s">
        <v>23</v>
      </c>
      <c r="E135" t="s">
        <v>196</v>
      </c>
      <c r="F135" t="s">
        <v>39</v>
      </c>
      <c r="G135">
        <v>9</v>
      </c>
      <c r="H135">
        <v>7000</v>
      </c>
      <c r="I135">
        <v>5</v>
      </c>
      <c r="J135">
        <v>483775</v>
      </c>
      <c r="K135">
        <v>7</v>
      </c>
      <c r="L135">
        <v>5</v>
      </c>
      <c r="M135" t="str">
        <f>VLOOKUP(Sales_Data!F135,Product_Master!$A$2:$D$11,2)</f>
        <v>Router</v>
      </c>
      <c r="N135" t="str">
        <f>VLOOKUP(F135,Product_Master!$A$2:$C$11,3)</f>
        <v>Electronics</v>
      </c>
      <c r="O135">
        <f>VLOOKUP(F135,Product_Master!$A$2:$D$11,4,FALSE)</f>
        <v>5000</v>
      </c>
      <c r="P135">
        <f t="shared" si="20"/>
        <v>63000</v>
      </c>
      <c r="Q135">
        <f t="shared" si="21"/>
        <v>3150</v>
      </c>
      <c r="R135">
        <f t="shared" si="22"/>
        <v>59850</v>
      </c>
      <c r="S135">
        <f t="shared" si="23"/>
        <v>14850</v>
      </c>
      <c r="T135" t="str">
        <f>_xlfn.CONCAT(Sales_Data!C135,"-",Sales_Data!E135,"-",Sales_Data!A135)</f>
        <v>East-C1032-1134</v>
      </c>
      <c r="U135" t="str">
        <f t="shared" si="24"/>
        <v>High Value</v>
      </c>
      <c r="V135" t="str" cm="1">
        <f t="array" ref="V135">_xlfn.IFS(R135&gt;=100000,"Excellent",R135&gt;=50000,"Good",R135&gt;=20000,"Average",TRUE,"Poor")</f>
        <v>Good</v>
      </c>
      <c r="W135">
        <f t="shared" si="25"/>
        <v>2</v>
      </c>
      <c r="X135" t="str">
        <f t="shared" si="26"/>
        <v>April</v>
      </c>
      <c r="Y135">
        <f>HLOOKUP("Q"&amp;W135,Bonus_HLookup!$A$1:$E$2,2,FALSE)</f>
        <v>0.04</v>
      </c>
      <c r="Z135">
        <f t="shared" si="27"/>
        <v>169321.25</v>
      </c>
      <c r="AA135" s="1">
        <f t="shared" si="28"/>
        <v>9579.3248238575961</v>
      </c>
      <c r="AB135">
        <f t="shared" si="29"/>
        <v>255</v>
      </c>
    </row>
    <row r="136" spans="1:28" x14ac:dyDescent="0.3">
      <c r="A136">
        <v>1135</v>
      </c>
      <c r="B136" t="s">
        <v>197</v>
      </c>
      <c r="C136" t="s">
        <v>62</v>
      </c>
      <c r="D136" t="s">
        <v>91</v>
      </c>
      <c r="E136" t="s">
        <v>165</v>
      </c>
      <c r="F136" t="s">
        <v>21</v>
      </c>
      <c r="G136">
        <v>2</v>
      </c>
      <c r="H136">
        <v>12000</v>
      </c>
      <c r="I136">
        <v>15</v>
      </c>
      <c r="J136">
        <v>414208</v>
      </c>
      <c r="K136">
        <v>11</v>
      </c>
      <c r="L136">
        <v>4</v>
      </c>
      <c r="M136" t="str">
        <f>VLOOKUP(Sales_Data!F136,Product_Master!$A$2:$D$11,2)</f>
        <v>Monitor</v>
      </c>
      <c r="N136" t="str">
        <f>VLOOKUP(F136,Product_Master!$A$2:$C$11,3)</f>
        <v>Electronics</v>
      </c>
      <c r="O136">
        <f>VLOOKUP(F136,Product_Master!$A$2:$D$11,4,FALSE)</f>
        <v>9000</v>
      </c>
      <c r="P136">
        <f t="shared" si="20"/>
        <v>24000</v>
      </c>
      <c r="Q136">
        <f t="shared" si="21"/>
        <v>3600</v>
      </c>
      <c r="R136">
        <f t="shared" si="22"/>
        <v>20400</v>
      </c>
      <c r="S136">
        <f t="shared" si="23"/>
        <v>2400</v>
      </c>
      <c r="T136" t="str">
        <f>_xlfn.CONCAT(Sales_Data!C136,"-",Sales_Data!E136,"-",Sales_Data!A136)</f>
        <v>East-C1042-1135</v>
      </c>
      <c r="U136" t="str">
        <f t="shared" si="24"/>
        <v>Regular</v>
      </c>
      <c r="V136" t="str" cm="1">
        <f t="array" ref="V136">_xlfn.IFS(R136&gt;=100000,"Excellent",R136&gt;=50000,"Good",R136&gt;=20000,"Average",TRUE,"Poor")</f>
        <v>Average</v>
      </c>
      <c r="W136">
        <f t="shared" si="25"/>
        <v>1</v>
      </c>
      <c r="X136" t="str">
        <f t="shared" si="26"/>
        <v>February</v>
      </c>
      <c r="Y136">
        <f>HLOOKUP("Q"&amp;W136,Bonus_HLookup!$A$1:$E$2,2,FALSE)</f>
        <v>0.02</v>
      </c>
      <c r="Z136">
        <f t="shared" si="27"/>
        <v>182251.51999999999</v>
      </c>
      <c r="AA136" s="1">
        <f t="shared" si="28"/>
        <v>10705.422229844646</v>
      </c>
      <c r="AB136">
        <f t="shared" si="29"/>
        <v>446</v>
      </c>
    </row>
    <row r="137" spans="1:28" x14ac:dyDescent="0.3">
      <c r="A137">
        <v>1136</v>
      </c>
      <c r="B137" t="s">
        <v>98</v>
      </c>
      <c r="C137" t="s">
        <v>13</v>
      </c>
      <c r="D137" t="s">
        <v>91</v>
      </c>
      <c r="E137" t="s">
        <v>66</v>
      </c>
      <c r="F137" t="s">
        <v>25</v>
      </c>
      <c r="G137">
        <v>10</v>
      </c>
      <c r="H137">
        <v>1500</v>
      </c>
      <c r="I137">
        <v>5</v>
      </c>
      <c r="J137">
        <v>472149</v>
      </c>
      <c r="K137">
        <v>11</v>
      </c>
      <c r="L137">
        <v>3</v>
      </c>
      <c r="M137" t="str">
        <f>VLOOKUP(Sales_Data!F137,Product_Master!$A$2:$D$11,2)</f>
        <v>Keyboard</v>
      </c>
      <c r="N137" t="str">
        <f>VLOOKUP(F137,Product_Master!$A$2:$C$11,3)</f>
        <v>Accessories</v>
      </c>
      <c r="O137">
        <f>VLOOKUP(F137,Product_Master!$A$2:$D$11,4,FALSE)</f>
        <v>1200</v>
      </c>
      <c r="P137">
        <f t="shared" si="20"/>
        <v>15000</v>
      </c>
      <c r="Q137">
        <f t="shared" si="21"/>
        <v>750</v>
      </c>
      <c r="R137">
        <f t="shared" si="22"/>
        <v>14250</v>
      </c>
      <c r="S137">
        <f t="shared" si="23"/>
        <v>2250</v>
      </c>
      <c r="T137" t="str">
        <f>_xlfn.CONCAT(Sales_Data!C137,"-",Sales_Data!E137,"-",Sales_Data!A137)</f>
        <v>West-C1010-1136</v>
      </c>
      <c r="U137" t="str">
        <f t="shared" si="24"/>
        <v>Regular</v>
      </c>
      <c r="V137" t="str" cm="1">
        <f t="array" ref="V137">_xlfn.IFS(R137&gt;=100000,"Excellent",R137&gt;=50000,"Good",R137&gt;=20000,"Average",TRUE,"Poor")</f>
        <v>Poor</v>
      </c>
      <c r="W137">
        <f t="shared" si="25"/>
        <v>4</v>
      </c>
      <c r="X137" t="str">
        <f t="shared" si="26"/>
        <v>December</v>
      </c>
      <c r="Y137">
        <f>HLOOKUP("Q"&amp;W137,Bonus_HLookup!$A$1:$E$2,2,FALSE)</f>
        <v>0.08</v>
      </c>
      <c r="Z137">
        <f t="shared" si="27"/>
        <v>155809.17000000001</v>
      </c>
      <c r="AA137" s="1">
        <f t="shared" si="28"/>
        <v>15457.552548075397</v>
      </c>
      <c r="AB137">
        <f t="shared" si="29"/>
        <v>536</v>
      </c>
    </row>
    <row r="138" spans="1:28" x14ac:dyDescent="0.3">
      <c r="A138">
        <v>1137</v>
      </c>
      <c r="B138" t="s">
        <v>198</v>
      </c>
      <c r="C138" t="s">
        <v>18</v>
      </c>
      <c r="D138" t="s">
        <v>14</v>
      </c>
      <c r="E138" t="s">
        <v>66</v>
      </c>
      <c r="F138" t="s">
        <v>36</v>
      </c>
      <c r="G138">
        <v>8</v>
      </c>
      <c r="H138">
        <v>55000</v>
      </c>
      <c r="I138">
        <v>12</v>
      </c>
      <c r="J138">
        <v>235307</v>
      </c>
      <c r="K138">
        <v>12</v>
      </c>
      <c r="L138">
        <v>1</v>
      </c>
      <c r="M138" t="str">
        <f>VLOOKUP(Sales_Data!F138,Product_Master!$A$2:$D$11,2)</f>
        <v>Laptop</v>
      </c>
      <c r="N138" t="str">
        <f>VLOOKUP(F138,Product_Master!$A$2:$C$11,3)</f>
        <v>Electronics</v>
      </c>
      <c r="O138">
        <f>VLOOKUP(F138,Product_Master!$A$2:$D$11,4,FALSE)</f>
        <v>45000</v>
      </c>
      <c r="P138">
        <f t="shared" si="20"/>
        <v>440000</v>
      </c>
      <c r="Q138">
        <f t="shared" si="21"/>
        <v>52800</v>
      </c>
      <c r="R138">
        <f t="shared" si="22"/>
        <v>387200</v>
      </c>
      <c r="S138">
        <f t="shared" si="23"/>
        <v>27200</v>
      </c>
      <c r="T138" t="str">
        <f>_xlfn.CONCAT(Sales_Data!C138,"-",Sales_Data!E138,"-",Sales_Data!A138)</f>
        <v>North-C1010-1137</v>
      </c>
      <c r="U138" t="str">
        <f t="shared" si="24"/>
        <v>High Value</v>
      </c>
      <c r="V138" t="str" cm="1">
        <f t="array" ref="V138">_xlfn.IFS(R138&gt;=100000,"Excellent",R138&gt;=50000,"Good",R138&gt;=20000,"Average",TRUE,"Poor")</f>
        <v>Excellent</v>
      </c>
      <c r="W138">
        <f t="shared" si="25"/>
        <v>2</v>
      </c>
      <c r="X138" t="str">
        <f t="shared" si="26"/>
        <v>May</v>
      </c>
      <c r="Y138">
        <f>HLOOKUP("Q"&amp;W138,Bonus_HLookup!$A$1:$E$2,2,FALSE)</f>
        <v>0.04</v>
      </c>
      <c r="Z138">
        <f t="shared" si="27"/>
        <v>28236.84</v>
      </c>
      <c r="AA138" s="1">
        <f t="shared" si="28"/>
        <v>20906.741917534549</v>
      </c>
      <c r="AB138">
        <f t="shared" si="29"/>
        <v>24</v>
      </c>
    </row>
    <row r="139" spans="1:28" x14ac:dyDescent="0.3">
      <c r="A139">
        <v>1138</v>
      </c>
      <c r="B139" t="s">
        <v>158</v>
      </c>
      <c r="C139" t="s">
        <v>18</v>
      </c>
      <c r="D139" t="s">
        <v>91</v>
      </c>
      <c r="E139" t="s">
        <v>77</v>
      </c>
      <c r="F139" t="s">
        <v>21</v>
      </c>
      <c r="G139">
        <v>3</v>
      </c>
      <c r="H139">
        <v>12000</v>
      </c>
      <c r="I139">
        <v>10</v>
      </c>
      <c r="J139">
        <v>51714</v>
      </c>
      <c r="K139">
        <v>9</v>
      </c>
      <c r="L139">
        <v>5</v>
      </c>
      <c r="M139" t="str">
        <f>VLOOKUP(Sales_Data!F139,Product_Master!$A$2:$D$11,2)</f>
        <v>Monitor</v>
      </c>
      <c r="N139" t="str">
        <f>VLOOKUP(F139,Product_Master!$A$2:$C$11,3)</f>
        <v>Electronics</v>
      </c>
      <c r="O139">
        <f>VLOOKUP(F139,Product_Master!$A$2:$D$11,4,FALSE)</f>
        <v>9000</v>
      </c>
      <c r="P139">
        <f t="shared" si="20"/>
        <v>36000</v>
      </c>
      <c r="Q139">
        <f t="shared" si="21"/>
        <v>3600</v>
      </c>
      <c r="R139">
        <f t="shared" si="22"/>
        <v>32400</v>
      </c>
      <c r="S139">
        <f t="shared" si="23"/>
        <v>5400</v>
      </c>
      <c r="T139" t="str">
        <f>_xlfn.CONCAT(Sales_Data!C139,"-",Sales_Data!E139,"-",Sales_Data!A139)</f>
        <v>North-C1020-1138</v>
      </c>
      <c r="U139" t="str">
        <f t="shared" si="24"/>
        <v>Regular</v>
      </c>
      <c r="V139" t="str" cm="1">
        <f t="array" ref="V139">_xlfn.IFS(R139&gt;=100000,"Excellent",R139&gt;=50000,"Good",R139&gt;=20000,"Average",TRUE,"Poor")</f>
        <v>Average</v>
      </c>
      <c r="W139">
        <f t="shared" si="25"/>
        <v>3</v>
      </c>
      <c r="X139" t="str">
        <f t="shared" si="26"/>
        <v>September</v>
      </c>
      <c r="Y139">
        <f>HLOOKUP("Q"&amp;W139,Bonus_HLookup!$A$1:$E$2,2,FALSE)</f>
        <v>0.06</v>
      </c>
      <c r="Z139">
        <f t="shared" si="27"/>
        <v>23271.3</v>
      </c>
      <c r="AA139" s="1">
        <f t="shared" si="28"/>
        <v>1073.4975821756711</v>
      </c>
      <c r="AB139">
        <f t="shared" si="29"/>
        <v>358</v>
      </c>
    </row>
    <row r="140" spans="1:28" x14ac:dyDescent="0.3">
      <c r="A140">
        <v>1139</v>
      </c>
      <c r="B140" t="s">
        <v>199</v>
      </c>
      <c r="C140" t="s">
        <v>30</v>
      </c>
      <c r="D140" t="s">
        <v>59</v>
      </c>
      <c r="E140" t="s">
        <v>63</v>
      </c>
      <c r="F140" t="s">
        <v>39</v>
      </c>
      <c r="G140">
        <v>3</v>
      </c>
      <c r="H140">
        <v>7000</v>
      </c>
      <c r="I140">
        <v>0</v>
      </c>
      <c r="J140">
        <v>113216</v>
      </c>
      <c r="K140">
        <v>7</v>
      </c>
      <c r="L140">
        <v>2</v>
      </c>
      <c r="M140" t="str">
        <f>VLOOKUP(Sales_Data!F140,Product_Master!$A$2:$D$11,2)</f>
        <v>Router</v>
      </c>
      <c r="N140" t="str">
        <f>VLOOKUP(F140,Product_Master!$A$2:$C$11,3)</f>
        <v>Electronics</v>
      </c>
      <c r="O140">
        <f>VLOOKUP(F140,Product_Master!$A$2:$D$11,4,FALSE)</f>
        <v>5000</v>
      </c>
      <c r="P140">
        <f t="shared" si="20"/>
        <v>21000</v>
      </c>
      <c r="Q140">
        <f t="shared" si="21"/>
        <v>0</v>
      </c>
      <c r="R140">
        <f t="shared" si="22"/>
        <v>21000</v>
      </c>
      <c r="S140">
        <f t="shared" si="23"/>
        <v>6000</v>
      </c>
      <c r="T140" t="str">
        <f>_xlfn.CONCAT(Sales_Data!C140,"-",Sales_Data!E140,"-",Sales_Data!A140)</f>
        <v>South-C1035-1139</v>
      </c>
      <c r="U140" t="str">
        <f t="shared" si="24"/>
        <v>Regular</v>
      </c>
      <c r="V140" t="str" cm="1">
        <f t="array" ref="V140">_xlfn.IFS(R140&gt;=100000,"Excellent",R140&gt;=50000,"Good",R140&gt;=20000,"Average",TRUE,"Poor")</f>
        <v>Average</v>
      </c>
      <c r="W140">
        <f t="shared" si="25"/>
        <v>3</v>
      </c>
      <c r="X140" t="str">
        <f t="shared" si="26"/>
        <v>July</v>
      </c>
      <c r="Y140">
        <f>HLOOKUP("Q"&amp;W140,Bonus_HLookup!$A$1:$E$2,2,FALSE)</f>
        <v>0.06</v>
      </c>
      <c r="Z140">
        <f t="shared" si="27"/>
        <v>15850.24</v>
      </c>
      <c r="AA140" s="1">
        <f t="shared" si="28"/>
        <v>5068.9723157417111</v>
      </c>
      <c r="AB140">
        <f t="shared" si="29"/>
        <v>436</v>
      </c>
    </row>
    <row r="141" spans="1:28" x14ac:dyDescent="0.3">
      <c r="A141">
        <v>1140</v>
      </c>
      <c r="B141" t="s">
        <v>156</v>
      </c>
      <c r="C141" t="s">
        <v>18</v>
      </c>
      <c r="D141" t="s">
        <v>33</v>
      </c>
      <c r="E141" t="s">
        <v>68</v>
      </c>
      <c r="F141" t="s">
        <v>42</v>
      </c>
      <c r="G141">
        <v>3</v>
      </c>
      <c r="H141">
        <v>8000</v>
      </c>
      <c r="I141">
        <v>8</v>
      </c>
      <c r="J141">
        <v>205717</v>
      </c>
      <c r="K141">
        <v>10</v>
      </c>
      <c r="L141">
        <v>3</v>
      </c>
      <c r="M141" t="str">
        <f>VLOOKUP(Sales_Data!F141,Product_Master!$A$2:$D$11,2)</f>
        <v>Printer</v>
      </c>
      <c r="N141" t="str">
        <f>VLOOKUP(F141,Product_Master!$A$2:$C$11,3)</f>
        <v>Electronics</v>
      </c>
      <c r="O141">
        <f>VLOOKUP(F141,Product_Master!$A$2:$D$11,4,FALSE)</f>
        <v>6500</v>
      </c>
      <c r="P141">
        <f t="shared" si="20"/>
        <v>24000</v>
      </c>
      <c r="Q141">
        <f t="shared" si="21"/>
        <v>1920</v>
      </c>
      <c r="R141">
        <f t="shared" si="22"/>
        <v>22080</v>
      </c>
      <c r="S141">
        <f t="shared" si="23"/>
        <v>2580</v>
      </c>
      <c r="T141" t="str">
        <f>_xlfn.CONCAT(Sales_Data!C141,"-",Sales_Data!E141,"-",Sales_Data!A141)</f>
        <v>North-C1043-1140</v>
      </c>
      <c r="U141" t="str">
        <f t="shared" si="24"/>
        <v>Regular</v>
      </c>
      <c r="V141" t="str" cm="1">
        <f t="array" ref="V141">_xlfn.IFS(R141&gt;=100000,"Excellent",R141&gt;=50000,"Good",R141&gt;=20000,"Average",TRUE,"Poor")</f>
        <v>Average</v>
      </c>
      <c r="W141">
        <f t="shared" si="25"/>
        <v>1</v>
      </c>
      <c r="X141" t="str">
        <f t="shared" si="26"/>
        <v>February</v>
      </c>
      <c r="Y141">
        <f>HLOOKUP("Q"&amp;W141,Bonus_HLookup!$A$1:$E$2,2,FALSE)</f>
        <v>0.02</v>
      </c>
      <c r="Z141">
        <f t="shared" si="27"/>
        <v>61715.1</v>
      </c>
      <c r="AA141" s="1">
        <f t="shared" si="28"/>
        <v>6637.9089479546656</v>
      </c>
      <c r="AB141">
        <f t="shared" si="29"/>
        <v>418</v>
      </c>
    </row>
    <row r="142" spans="1:28" x14ac:dyDescent="0.3">
      <c r="A142">
        <v>1141</v>
      </c>
      <c r="B142" t="s">
        <v>200</v>
      </c>
      <c r="C142" t="s">
        <v>18</v>
      </c>
      <c r="D142" t="s">
        <v>59</v>
      </c>
      <c r="E142" t="s">
        <v>108</v>
      </c>
      <c r="F142" t="s">
        <v>28</v>
      </c>
      <c r="G142">
        <v>10</v>
      </c>
      <c r="H142">
        <v>950</v>
      </c>
      <c r="I142">
        <v>5</v>
      </c>
      <c r="J142">
        <v>344402</v>
      </c>
      <c r="K142">
        <v>11</v>
      </c>
      <c r="L142">
        <v>4</v>
      </c>
      <c r="M142" t="str">
        <f>VLOOKUP(Sales_Data!F142,Product_Master!$A$2:$D$11,2)</f>
        <v>Webcam</v>
      </c>
      <c r="N142" t="str">
        <f>VLOOKUP(F142,Product_Master!$A$2:$C$11,3)</f>
        <v>Accessories</v>
      </c>
      <c r="O142">
        <f>VLOOKUP(F142,Product_Master!$A$2:$D$11,4,FALSE)</f>
        <v>700</v>
      </c>
      <c r="P142">
        <f t="shared" si="20"/>
        <v>9500</v>
      </c>
      <c r="Q142">
        <f t="shared" si="21"/>
        <v>475</v>
      </c>
      <c r="R142">
        <f t="shared" si="22"/>
        <v>9025</v>
      </c>
      <c r="S142">
        <f t="shared" si="23"/>
        <v>2025</v>
      </c>
      <c r="T142" t="str">
        <f>_xlfn.CONCAT(Sales_Data!C142,"-",Sales_Data!E142,"-",Sales_Data!A142)</f>
        <v>North-C1031-1141</v>
      </c>
      <c r="U142" t="str">
        <f t="shared" si="24"/>
        <v>Regular</v>
      </c>
      <c r="V142" t="str" cm="1">
        <f t="array" ref="V142">_xlfn.IFS(R142&gt;=100000,"Excellent",R142&gt;=50000,"Good",R142&gt;=20000,"Average",TRUE,"Poor")</f>
        <v>Poor</v>
      </c>
      <c r="W142">
        <f t="shared" si="25"/>
        <v>2</v>
      </c>
      <c r="X142" t="str">
        <f t="shared" si="26"/>
        <v>May</v>
      </c>
      <c r="Y142">
        <f>HLOOKUP("Q"&amp;W142,Bonus_HLookup!$A$1:$E$2,2,FALSE)</f>
        <v>0.04</v>
      </c>
      <c r="Z142">
        <f t="shared" si="27"/>
        <v>151536.88</v>
      </c>
      <c r="AA142" s="1">
        <f t="shared" si="28"/>
        <v>8901.2496784295708</v>
      </c>
      <c r="AB142">
        <f t="shared" si="29"/>
        <v>661</v>
      </c>
    </row>
    <row r="143" spans="1:28" x14ac:dyDescent="0.3">
      <c r="A143">
        <v>1142</v>
      </c>
      <c r="B143" t="s">
        <v>26</v>
      </c>
      <c r="C143" t="s">
        <v>30</v>
      </c>
      <c r="D143" t="s">
        <v>19</v>
      </c>
      <c r="E143" t="s">
        <v>115</v>
      </c>
      <c r="F143" t="s">
        <v>42</v>
      </c>
      <c r="G143">
        <v>1</v>
      </c>
      <c r="H143">
        <v>8000</v>
      </c>
      <c r="I143">
        <v>15</v>
      </c>
      <c r="J143">
        <v>457977</v>
      </c>
      <c r="K143">
        <v>11</v>
      </c>
      <c r="L143">
        <v>1</v>
      </c>
      <c r="M143" t="str">
        <f>VLOOKUP(Sales_Data!F143,Product_Master!$A$2:$D$11,2)</f>
        <v>Printer</v>
      </c>
      <c r="N143" t="str">
        <f>VLOOKUP(F143,Product_Master!$A$2:$C$11,3)</f>
        <v>Electronics</v>
      </c>
      <c r="O143">
        <f>VLOOKUP(F143,Product_Master!$A$2:$D$11,4,FALSE)</f>
        <v>6500</v>
      </c>
      <c r="P143">
        <f t="shared" si="20"/>
        <v>8000</v>
      </c>
      <c r="Q143">
        <f t="shared" si="21"/>
        <v>1200</v>
      </c>
      <c r="R143">
        <f t="shared" si="22"/>
        <v>6800</v>
      </c>
      <c r="S143">
        <f t="shared" si="23"/>
        <v>300</v>
      </c>
      <c r="T143" t="str">
        <f>_xlfn.CONCAT(Sales_Data!C143,"-",Sales_Data!E143,"-",Sales_Data!A143)</f>
        <v>South-C1026-1142</v>
      </c>
      <c r="U143" t="str">
        <f t="shared" si="24"/>
        <v>Regular</v>
      </c>
      <c r="V143" t="str" cm="1">
        <f t="array" ref="V143">_xlfn.IFS(R143&gt;=100000,"Excellent",R143&gt;=50000,"Good",R143&gt;=20000,"Average",TRUE,"Poor")</f>
        <v>Poor</v>
      </c>
      <c r="W143">
        <f t="shared" si="25"/>
        <v>2</v>
      </c>
      <c r="X143" t="str">
        <f t="shared" si="26"/>
        <v>June</v>
      </c>
      <c r="Y143">
        <f>HLOOKUP("Q"&amp;W143,Bonus_HLookup!$A$1:$E$2,2,FALSE)</f>
        <v>0.04</v>
      </c>
      <c r="Z143">
        <f t="shared" si="27"/>
        <v>50377.47</v>
      </c>
      <c r="AA143" s="1">
        <f t="shared" si="28"/>
        <v>40476.766824748651</v>
      </c>
      <c r="AB143">
        <f t="shared" si="29"/>
        <v>729</v>
      </c>
    </row>
    <row r="144" spans="1:28" x14ac:dyDescent="0.3">
      <c r="A144">
        <v>1143</v>
      </c>
      <c r="B144" t="s">
        <v>163</v>
      </c>
      <c r="C144" t="s">
        <v>18</v>
      </c>
      <c r="D144" t="s">
        <v>19</v>
      </c>
      <c r="E144" t="s">
        <v>63</v>
      </c>
      <c r="F144" t="s">
        <v>42</v>
      </c>
      <c r="G144">
        <v>9</v>
      </c>
      <c r="H144">
        <v>8000</v>
      </c>
      <c r="I144">
        <v>12</v>
      </c>
      <c r="J144">
        <v>393458</v>
      </c>
      <c r="K144">
        <v>8</v>
      </c>
      <c r="L144">
        <v>2</v>
      </c>
      <c r="M144" t="str">
        <f>VLOOKUP(Sales_Data!F144,Product_Master!$A$2:$D$11,2)</f>
        <v>Printer</v>
      </c>
      <c r="N144" t="str">
        <f>VLOOKUP(F144,Product_Master!$A$2:$C$11,3)</f>
        <v>Electronics</v>
      </c>
      <c r="O144">
        <f>VLOOKUP(F144,Product_Master!$A$2:$D$11,4,FALSE)</f>
        <v>6500</v>
      </c>
      <c r="P144">
        <f t="shared" si="20"/>
        <v>72000</v>
      </c>
      <c r="Q144">
        <f t="shared" si="21"/>
        <v>8640</v>
      </c>
      <c r="R144">
        <f t="shared" si="22"/>
        <v>63360</v>
      </c>
      <c r="S144">
        <f t="shared" si="23"/>
        <v>4860</v>
      </c>
      <c r="T144" t="str">
        <f>_xlfn.CONCAT(Sales_Data!C144,"-",Sales_Data!E144,"-",Sales_Data!A144)</f>
        <v>North-C1035-1143</v>
      </c>
      <c r="U144" t="str">
        <f t="shared" si="24"/>
        <v>High Value</v>
      </c>
      <c r="V144" t="str" cm="1">
        <f t="array" ref="V144">_xlfn.IFS(R144&gt;=100000,"Excellent",R144&gt;=50000,"Good",R144&gt;=20000,"Average",TRUE,"Poor")</f>
        <v>Good</v>
      </c>
      <c r="W144">
        <f t="shared" si="25"/>
        <v>2</v>
      </c>
      <c r="X144" t="str">
        <f t="shared" si="26"/>
        <v>April</v>
      </c>
      <c r="Y144">
        <f>HLOOKUP("Q"&amp;W144,Bonus_HLookup!$A$1:$E$2,2,FALSE)</f>
        <v>0.04</v>
      </c>
      <c r="Z144">
        <f t="shared" si="27"/>
        <v>62953.279999999999</v>
      </c>
      <c r="AA144" s="1">
        <f t="shared" si="28"/>
        <v>17795.039641767304</v>
      </c>
      <c r="AB144">
        <f t="shared" si="29"/>
        <v>240</v>
      </c>
    </row>
    <row r="145" spans="1:28" x14ac:dyDescent="0.3">
      <c r="A145">
        <v>1144</v>
      </c>
      <c r="B145" t="s">
        <v>201</v>
      </c>
      <c r="C145" t="s">
        <v>30</v>
      </c>
      <c r="D145" t="s">
        <v>91</v>
      </c>
      <c r="E145" t="s">
        <v>60</v>
      </c>
      <c r="F145" t="s">
        <v>52</v>
      </c>
      <c r="G145">
        <v>1</v>
      </c>
      <c r="H145">
        <v>500</v>
      </c>
      <c r="I145">
        <v>15</v>
      </c>
      <c r="J145">
        <v>265518</v>
      </c>
      <c r="K145">
        <v>8</v>
      </c>
      <c r="L145">
        <v>3</v>
      </c>
      <c r="M145" t="str">
        <f>VLOOKUP(Sales_Data!F145,Product_Master!$A$2:$D$11,2)</f>
        <v>Mouse</v>
      </c>
      <c r="N145" t="str">
        <f>VLOOKUP(F145,Product_Master!$A$2:$C$11,3)</f>
        <v>Accessories</v>
      </c>
      <c r="O145">
        <f>VLOOKUP(F145,Product_Master!$A$2:$D$11,4,FALSE)</f>
        <v>350</v>
      </c>
      <c r="P145">
        <f t="shared" si="20"/>
        <v>500</v>
      </c>
      <c r="Q145">
        <f t="shared" si="21"/>
        <v>75</v>
      </c>
      <c r="R145">
        <f t="shared" si="22"/>
        <v>425</v>
      </c>
      <c r="S145">
        <f t="shared" si="23"/>
        <v>75</v>
      </c>
      <c r="T145" t="str">
        <f>_xlfn.CONCAT(Sales_Data!C145,"-",Sales_Data!E145,"-",Sales_Data!A145)</f>
        <v>South-C1018-1144</v>
      </c>
      <c r="U145" t="str">
        <f t="shared" si="24"/>
        <v>Regular</v>
      </c>
      <c r="V145" t="str" cm="1">
        <f t="array" ref="V145">_xlfn.IFS(R145&gt;=100000,"Excellent",R145&gt;=50000,"Good",R145&gt;=20000,"Average",TRUE,"Poor")</f>
        <v>Poor</v>
      </c>
      <c r="W145">
        <f t="shared" si="25"/>
        <v>2</v>
      </c>
      <c r="X145" t="str">
        <f t="shared" si="26"/>
        <v>May</v>
      </c>
      <c r="Y145">
        <f>HLOOKUP("Q"&amp;W145,Bonus_HLookup!$A$1:$E$2,2,FALSE)</f>
        <v>0.04</v>
      </c>
      <c r="Z145">
        <f t="shared" si="27"/>
        <v>63724.32</v>
      </c>
      <c r="AA145" s="1">
        <f t="shared" si="28"/>
        <v>8320.3690845881974</v>
      </c>
      <c r="AB145">
        <f t="shared" si="29"/>
        <v>999</v>
      </c>
    </row>
    <row r="146" spans="1:28" x14ac:dyDescent="0.3">
      <c r="A146">
        <v>1145</v>
      </c>
      <c r="B146" t="s">
        <v>202</v>
      </c>
      <c r="C146" t="s">
        <v>62</v>
      </c>
      <c r="D146" t="s">
        <v>33</v>
      </c>
      <c r="E146" t="s">
        <v>203</v>
      </c>
      <c r="F146" t="s">
        <v>28</v>
      </c>
      <c r="G146">
        <v>5</v>
      </c>
      <c r="H146">
        <v>950</v>
      </c>
      <c r="I146">
        <v>10</v>
      </c>
      <c r="J146">
        <v>356564</v>
      </c>
      <c r="K146">
        <v>11</v>
      </c>
      <c r="L146">
        <v>1</v>
      </c>
      <c r="M146" t="str">
        <f>VLOOKUP(Sales_Data!F146,Product_Master!$A$2:$D$11,2)</f>
        <v>Webcam</v>
      </c>
      <c r="N146" t="str">
        <f>VLOOKUP(F146,Product_Master!$A$2:$C$11,3)</f>
        <v>Accessories</v>
      </c>
      <c r="O146">
        <f>VLOOKUP(F146,Product_Master!$A$2:$D$11,4,FALSE)</f>
        <v>700</v>
      </c>
      <c r="P146">
        <f t="shared" si="20"/>
        <v>4750</v>
      </c>
      <c r="Q146">
        <f t="shared" si="21"/>
        <v>475</v>
      </c>
      <c r="R146">
        <f t="shared" si="22"/>
        <v>4275</v>
      </c>
      <c r="S146">
        <f t="shared" si="23"/>
        <v>775</v>
      </c>
      <c r="T146" t="str">
        <f>_xlfn.CONCAT(Sales_Data!C146,"-",Sales_Data!E146,"-",Sales_Data!A146)</f>
        <v>East-C1037-1145</v>
      </c>
      <c r="U146" t="str">
        <f t="shared" si="24"/>
        <v>Regular</v>
      </c>
      <c r="V146" t="str" cm="1">
        <f t="array" ref="V146">_xlfn.IFS(R146&gt;=100000,"Excellent",R146&gt;=50000,"Good",R146&gt;=20000,"Average",TRUE,"Poor")</f>
        <v>Poor</v>
      </c>
      <c r="W146">
        <f t="shared" si="25"/>
        <v>1</v>
      </c>
      <c r="X146" t="str">
        <f t="shared" si="26"/>
        <v>March</v>
      </c>
      <c r="Y146">
        <f>HLOOKUP("Q"&amp;W146,Bonus_HLookup!$A$1:$E$2,2,FALSE)</f>
        <v>0.02</v>
      </c>
      <c r="Z146">
        <f t="shared" si="27"/>
        <v>39222.04</v>
      </c>
      <c r="AA146" s="1">
        <f t="shared" si="28"/>
        <v>31513.717689097219</v>
      </c>
      <c r="AB146">
        <f t="shared" si="29"/>
        <v>819</v>
      </c>
    </row>
    <row r="147" spans="1:28" x14ac:dyDescent="0.3">
      <c r="A147">
        <v>1146</v>
      </c>
      <c r="B147" t="s">
        <v>56</v>
      </c>
      <c r="C147" t="s">
        <v>62</v>
      </c>
      <c r="D147" t="s">
        <v>91</v>
      </c>
      <c r="E147" t="s">
        <v>189</v>
      </c>
      <c r="F147" t="s">
        <v>52</v>
      </c>
      <c r="G147">
        <v>2</v>
      </c>
      <c r="H147">
        <v>500</v>
      </c>
      <c r="I147">
        <v>5</v>
      </c>
      <c r="J147">
        <v>90316</v>
      </c>
      <c r="K147">
        <v>8</v>
      </c>
      <c r="L147">
        <v>3</v>
      </c>
      <c r="M147" t="str">
        <f>VLOOKUP(Sales_Data!F147,Product_Master!$A$2:$D$11,2)</f>
        <v>Mouse</v>
      </c>
      <c r="N147" t="str">
        <f>VLOOKUP(F147,Product_Master!$A$2:$C$11,3)</f>
        <v>Accessories</v>
      </c>
      <c r="O147">
        <f>VLOOKUP(F147,Product_Master!$A$2:$D$11,4,FALSE)</f>
        <v>350</v>
      </c>
      <c r="P147">
        <f t="shared" si="20"/>
        <v>1000</v>
      </c>
      <c r="Q147">
        <f t="shared" si="21"/>
        <v>50</v>
      </c>
      <c r="R147">
        <f t="shared" si="22"/>
        <v>950</v>
      </c>
      <c r="S147">
        <f t="shared" si="23"/>
        <v>250</v>
      </c>
      <c r="T147" t="str">
        <f>_xlfn.CONCAT(Sales_Data!C147,"-",Sales_Data!E147,"-",Sales_Data!A147)</f>
        <v>East-C1015-1146</v>
      </c>
      <c r="U147" t="str">
        <f t="shared" si="24"/>
        <v>Regular</v>
      </c>
      <c r="V147" t="str" cm="1">
        <f t="array" ref="V147">_xlfn.IFS(R147&gt;=100000,"Excellent",R147&gt;=50000,"Good",R147&gt;=20000,"Average",TRUE,"Poor")</f>
        <v>Poor</v>
      </c>
      <c r="W147">
        <f t="shared" si="25"/>
        <v>4</v>
      </c>
      <c r="X147" t="str">
        <f t="shared" si="26"/>
        <v>November</v>
      </c>
      <c r="Y147">
        <f>HLOOKUP("Q"&amp;W147,Bonus_HLookup!$A$1:$E$2,2,FALSE)</f>
        <v>0.08</v>
      </c>
      <c r="Z147">
        <f t="shared" si="27"/>
        <v>21675.84</v>
      </c>
      <c r="AA147" s="1">
        <f t="shared" si="28"/>
        <v>2830.1751830145886</v>
      </c>
      <c r="AB147">
        <f t="shared" si="29"/>
        <v>967</v>
      </c>
    </row>
    <row r="148" spans="1:28" x14ac:dyDescent="0.3">
      <c r="A148">
        <v>1147</v>
      </c>
      <c r="B148" t="s">
        <v>98</v>
      </c>
      <c r="C148" t="s">
        <v>18</v>
      </c>
      <c r="D148" t="s">
        <v>19</v>
      </c>
      <c r="E148" t="s">
        <v>99</v>
      </c>
      <c r="F148" t="s">
        <v>16</v>
      </c>
      <c r="G148">
        <v>8</v>
      </c>
      <c r="H148">
        <v>2500</v>
      </c>
      <c r="I148">
        <v>15</v>
      </c>
      <c r="J148">
        <v>262614</v>
      </c>
      <c r="K148">
        <v>10</v>
      </c>
      <c r="L148">
        <v>5</v>
      </c>
      <c r="M148" t="str">
        <f>VLOOKUP(Sales_Data!F148,Product_Master!$A$2:$D$11,2)</f>
        <v>Speaker</v>
      </c>
      <c r="N148" t="str">
        <f>VLOOKUP(F148,Product_Master!$A$2:$C$11,3)</f>
        <v>Accessories</v>
      </c>
      <c r="O148">
        <f>VLOOKUP(F148,Product_Master!$A$2:$D$11,4,FALSE)</f>
        <v>1800</v>
      </c>
      <c r="P148">
        <f t="shared" si="20"/>
        <v>20000</v>
      </c>
      <c r="Q148">
        <f t="shared" si="21"/>
        <v>3000</v>
      </c>
      <c r="R148">
        <f t="shared" si="22"/>
        <v>17000</v>
      </c>
      <c r="S148">
        <f t="shared" si="23"/>
        <v>2600</v>
      </c>
      <c r="T148" t="str">
        <f>_xlfn.CONCAT(Sales_Data!C148,"-",Sales_Data!E148,"-",Sales_Data!A148)</f>
        <v>North-C1050-1147</v>
      </c>
      <c r="U148" t="str">
        <f t="shared" si="24"/>
        <v>Regular</v>
      </c>
      <c r="V148" t="str" cm="1">
        <f t="array" ref="V148">_xlfn.IFS(R148&gt;=100000,"Excellent",R148&gt;=50000,"Good",R148&gt;=20000,"Average",TRUE,"Poor")</f>
        <v>Poor</v>
      </c>
      <c r="W148">
        <f t="shared" si="25"/>
        <v>4</v>
      </c>
      <c r="X148" t="str">
        <f t="shared" si="26"/>
        <v>December</v>
      </c>
      <c r="Y148">
        <f>HLOOKUP("Q"&amp;W148,Bonus_HLookup!$A$1:$E$2,2,FALSE)</f>
        <v>0.08</v>
      </c>
      <c r="Z148">
        <f t="shared" si="27"/>
        <v>131307</v>
      </c>
      <c r="AA148" s="1">
        <f t="shared" si="28"/>
        <v>5579.7713998050067</v>
      </c>
      <c r="AB148">
        <f t="shared" si="29"/>
        <v>503</v>
      </c>
    </row>
    <row r="149" spans="1:28" x14ac:dyDescent="0.3">
      <c r="A149">
        <v>1148</v>
      </c>
      <c r="B149" t="s">
        <v>204</v>
      </c>
      <c r="C149" t="s">
        <v>13</v>
      </c>
      <c r="D149" t="s">
        <v>33</v>
      </c>
      <c r="E149" t="s">
        <v>44</v>
      </c>
      <c r="F149" t="s">
        <v>39</v>
      </c>
      <c r="G149">
        <v>6</v>
      </c>
      <c r="H149">
        <v>7000</v>
      </c>
      <c r="I149">
        <v>0</v>
      </c>
      <c r="J149">
        <v>448400</v>
      </c>
      <c r="K149">
        <v>8</v>
      </c>
      <c r="L149">
        <v>3</v>
      </c>
      <c r="M149" t="str">
        <f>VLOOKUP(Sales_Data!F149,Product_Master!$A$2:$D$11,2)</f>
        <v>Router</v>
      </c>
      <c r="N149" t="str">
        <f>VLOOKUP(F149,Product_Master!$A$2:$C$11,3)</f>
        <v>Electronics</v>
      </c>
      <c r="O149">
        <f>VLOOKUP(F149,Product_Master!$A$2:$D$11,4,FALSE)</f>
        <v>5000</v>
      </c>
      <c r="P149">
        <f t="shared" si="20"/>
        <v>42000</v>
      </c>
      <c r="Q149">
        <f t="shared" si="21"/>
        <v>0</v>
      </c>
      <c r="R149">
        <f t="shared" si="22"/>
        <v>42000</v>
      </c>
      <c r="S149">
        <f t="shared" si="23"/>
        <v>12000</v>
      </c>
      <c r="T149" t="str">
        <f>_xlfn.CONCAT(Sales_Data!C149,"-",Sales_Data!E149,"-",Sales_Data!A149)</f>
        <v>West-C1028-1148</v>
      </c>
      <c r="U149" t="str">
        <f t="shared" si="24"/>
        <v>Regular</v>
      </c>
      <c r="V149" t="str" cm="1">
        <f t="array" ref="V149">_xlfn.IFS(R149&gt;=100000,"Excellent",R149&gt;=50000,"Good",R149&gt;=20000,"Average",TRUE,"Poor")</f>
        <v>Average</v>
      </c>
      <c r="W149">
        <f t="shared" si="25"/>
        <v>4</v>
      </c>
      <c r="X149" t="str">
        <f t="shared" si="26"/>
        <v>November</v>
      </c>
      <c r="Y149">
        <f>HLOOKUP("Q"&amp;W149,Bonus_HLookup!$A$1:$E$2,2,FALSE)</f>
        <v>0.08</v>
      </c>
      <c r="Z149">
        <f t="shared" si="27"/>
        <v>107616</v>
      </c>
      <c r="AA149" s="1">
        <f t="shared" si="28"/>
        <v>14051.226272905595</v>
      </c>
      <c r="AB149">
        <f t="shared" si="29"/>
        <v>329</v>
      </c>
    </row>
    <row r="150" spans="1:28" x14ac:dyDescent="0.3">
      <c r="A150">
        <v>1149</v>
      </c>
      <c r="B150" t="s">
        <v>205</v>
      </c>
      <c r="C150" t="s">
        <v>62</v>
      </c>
      <c r="D150" t="s">
        <v>50</v>
      </c>
      <c r="E150" t="s">
        <v>68</v>
      </c>
      <c r="F150" t="s">
        <v>74</v>
      </c>
      <c r="G150">
        <v>1</v>
      </c>
      <c r="H150">
        <v>35000</v>
      </c>
      <c r="I150">
        <v>15</v>
      </c>
      <c r="J150">
        <v>186025</v>
      </c>
      <c r="K150">
        <v>8</v>
      </c>
      <c r="L150">
        <v>2</v>
      </c>
      <c r="M150" t="str">
        <f>VLOOKUP(Sales_Data!F150,Product_Master!$A$2:$D$11,2)</f>
        <v>Tablet</v>
      </c>
      <c r="N150" t="str">
        <f>VLOOKUP(F150,Product_Master!$A$2:$C$11,3)</f>
        <v>Electronics</v>
      </c>
      <c r="O150">
        <f>VLOOKUP(F150,Product_Master!$A$2:$D$11,4,FALSE)</f>
        <v>29000</v>
      </c>
      <c r="P150">
        <f t="shared" si="20"/>
        <v>35000</v>
      </c>
      <c r="Q150">
        <f t="shared" si="21"/>
        <v>5250</v>
      </c>
      <c r="R150">
        <f t="shared" si="22"/>
        <v>29750</v>
      </c>
      <c r="S150">
        <f t="shared" si="23"/>
        <v>750</v>
      </c>
      <c r="T150" t="str">
        <f>_xlfn.CONCAT(Sales_Data!C150,"-",Sales_Data!E150,"-",Sales_Data!A150)</f>
        <v>East-C1043-1149</v>
      </c>
      <c r="U150" t="str">
        <f t="shared" si="24"/>
        <v>Regular</v>
      </c>
      <c r="V150" t="str" cm="1">
        <f t="array" ref="V150">_xlfn.IFS(R150&gt;=100000,"Excellent",R150&gt;=50000,"Good",R150&gt;=20000,"Average",TRUE,"Poor")</f>
        <v>Average</v>
      </c>
      <c r="W150">
        <f t="shared" si="25"/>
        <v>3</v>
      </c>
      <c r="X150" t="str">
        <f t="shared" si="26"/>
        <v>August</v>
      </c>
      <c r="Y150">
        <f>HLOOKUP("Q"&amp;W150,Bonus_HLookup!$A$1:$E$2,2,FALSE)</f>
        <v>0.06</v>
      </c>
      <c r="Z150">
        <f t="shared" si="27"/>
        <v>29764</v>
      </c>
      <c r="AA150" s="1">
        <f t="shared" si="28"/>
        <v>8413.4068931366564</v>
      </c>
      <c r="AB150">
        <f t="shared" si="29"/>
        <v>380</v>
      </c>
    </row>
    <row r="151" spans="1:28" x14ac:dyDescent="0.3">
      <c r="A151">
        <v>1150</v>
      </c>
      <c r="B151" t="s">
        <v>206</v>
      </c>
      <c r="C151" t="s">
        <v>30</v>
      </c>
      <c r="D151" t="s">
        <v>50</v>
      </c>
      <c r="E151" t="s">
        <v>31</v>
      </c>
      <c r="F151" t="s">
        <v>16</v>
      </c>
      <c r="G151">
        <v>5</v>
      </c>
      <c r="H151">
        <v>2500</v>
      </c>
      <c r="I151">
        <v>12</v>
      </c>
      <c r="J151">
        <v>103513</v>
      </c>
      <c r="K151">
        <v>8</v>
      </c>
      <c r="L151">
        <v>4</v>
      </c>
      <c r="M151" t="str">
        <f>VLOOKUP(Sales_Data!F151,Product_Master!$A$2:$D$11,2)</f>
        <v>Speaker</v>
      </c>
      <c r="N151" t="str">
        <f>VLOOKUP(F151,Product_Master!$A$2:$C$11,3)</f>
        <v>Accessories</v>
      </c>
      <c r="O151">
        <f>VLOOKUP(F151,Product_Master!$A$2:$D$11,4,FALSE)</f>
        <v>1800</v>
      </c>
      <c r="P151">
        <f t="shared" si="20"/>
        <v>12500</v>
      </c>
      <c r="Q151">
        <f t="shared" si="21"/>
        <v>1500</v>
      </c>
      <c r="R151">
        <f t="shared" si="22"/>
        <v>11000</v>
      </c>
      <c r="S151">
        <f t="shared" si="23"/>
        <v>2000</v>
      </c>
      <c r="T151" t="str">
        <f>_xlfn.CONCAT(Sales_Data!C151,"-",Sales_Data!E151,"-",Sales_Data!A151)</f>
        <v>South-C1025-1150</v>
      </c>
      <c r="U151" t="str">
        <f t="shared" si="24"/>
        <v>Regular</v>
      </c>
      <c r="V151" t="str" cm="1">
        <f t="array" ref="V151">_xlfn.IFS(R151&gt;=100000,"Excellent",R151&gt;=50000,"Good",R151&gt;=20000,"Average",TRUE,"Poor")</f>
        <v>Poor</v>
      </c>
      <c r="W151">
        <f t="shared" si="25"/>
        <v>1</v>
      </c>
      <c r="X151" t="str">
        <f t="shared" si="26"/>
        <v>January</v>
      </c>
      <c r="Y151">
        <f>HLOOKUP("Q"&amp;W151,Bonus_HLookup!$A$1:$E$2,2,FALSE)</f>
        <v>0.02</v>
      </c>
      <c r="Z151">
        <f t="shared" si="27"/>
        <v>33124.160000000003</v>
      </c>
      <c r="AA151" s="1">
        <f t="shared" si="28"/>
        <v>2527.0548303359465</v>
      </c>
      <c r="AB151">
        <f t="shared" si="29"/>
        <v>616</v>
      </c>
    </row>
    <row r="152" spans="1:28" x14ac:dyDescent="0.3">
      <c r="A152">
        <v>1151</v>
      </c>
      <c r="B152" t="s">
        <v>207</v>
      </c>
      <c r="C152" t="s">
        <v>13</v>
      </c>
      <c r="D152" t="s">
        <v>91</v>
      </c>
      <c r="E152" t="s">
        <v>24</v>
      </c>
      <c r="F152" t="s">
        <v>52</v>
      </c>
      <c r="G152">
        <v>2</v>
      </c>
      <c r="H152">
        <v>500</v>
      </c>
      <c r="I152">
        <v>12</v>
      </c>
      <c r="J152">
        <v>382076</v>
      </c>
      <c r="K152">
        <v>11</v>
      </c>
      <c r="L152">
        <v>3</v>
      </c>
      <c r="M152" t="str">
        <f>VLOOKUP(Sales_Data!F152,Product_Master!$A$2:$D$11,2)</f>
        <v>Mouse</v>
      </c>
      <c r="N152" t="str">
        <f>VLOOKUP(F152,Product_Master!$A$2:$C$11,3)</f>
        <v>Accessories</v>
      </c>
      <c r="O152">
        <f>VLOOKUP(F152,Product_Master!$A$2:$D$11,4,FALSE)</f>
        <v>350</v>
      </c>
      <c r="P152">
        <f t="shared" si="20"/>
        <v>1000</v>
      </c>
      <c r="Q152">
        <f t="shared" si="21"/>
        <v>120</v>
      </c>
      <c r="R152">
        <f t="shared" si="22"/>
        <v>880</v>
      </c>
      <c r="S152">
        <f t="shared" si="23"/>
        <v>180</v>
      </c>
      <c r="T152" t="str">
        <f>_xlfn.CONCAT(Sales_Data!C152,"-",Sales_Data!E152,"-",Sales_Data!A152)</f>
        <v>West-C1029-1151</v>
      </c>
      <c r="U152" t="str">
        <f t="shared" si="24"/>
        <v>Regular</v>
      </c>
      <c r="V152" t="str" cm="1">
        <f t="array" ref="V152">_xlfn.IFS(R152&gt;=100000,"Excellent",R152&gt;=50000,"Good",R152&gt;=20000,"Average",TRUE,"Poor")</f>
        <v>Poor</v>
      </c>
      <c r="W152">
        <f t="shared" si="25"/>
        <v>1</v>
      </c>
      <c r="X152" t="str">
        <f t="shared" si="26"/>
        <v>January</v>
      </c>
      <c r="Y152">
        <f>HLOOKUP("Q"&amp;W152,Bonus_HLookup!$A$1:$E$2,2,FALSE)</f>
        <v>0.02</v>
      </c>
      <c r="Z152">
        <f t="shared" si="27"/>
        <v>126085.08</v>
      </c>
      <c r="AA152" s="1">
        <f t="shared" si="28"/>
        <v>12508.678081195672</v>
      </c>
      <c r="AB152">
        <f t="shared" si="29"/>
        <v>980</v>
      </c>
    </row>
    <row r="153" spans="1:28" x14ac:dyDescent="0.3">
      <c r="A153">
        <v>1152</v>
      </c>
      <c r="B153" t="s">
        <v>207</v>
      </c>
      <c r="C153" t="s">
        <v>18</v>
      </c>
      <c r="D153" t="s">
        <v>19</v>
      </c>
      <c r="E153" t="s">
        <v>169</v>
      </c>
      <c r="F153" t="s">
        <v>28</v>
      </c>
      <c r="G153">
        <v>7</v>
      </c>
      <c r="H153">
        <v>950</v>
      </c>
      <c r="I153">
        <v>5</v>
      </c>
      <c r="J153">
        <v>259511</v>
      </c>
      <c r="K153">
        <v>9</v>
      </c>
      <c r="L153">
        <v>3</v>
      </c>
      <c r="M153" t="str">
        <f>VLOOKUP(Sales_Data!F153,Product_Master!$A$2:$D$11,2)</f>
        <v>Webcam</v>
      </c>
      <c r="N153" t="str">
        <f>VLOOKUP(F153,Product_Master!$A$2:$C$11,3)</f>
        <v>Accessories</v>
      </c>
      <c r="O153">
        <f>VLOOKUP(F153,Product_Master!$A$2:$D$11,4,FALSE)</f>
        <v>700</v>
      </c>
      <c r="P153">
        <f t="shared" si="20"/>
        <v>6650</v>
      </c>
      <c r="Q153">
        <f t="shared" si="21"/>
        <v>332.5</v>
      </c>
      <c r="R153">
        <f t="shared" si="22"/>
        <v>6317.5</v>
      </c>
      <c r="S153">
        <f t="shared" si="23"/>
        <v>1417.5</v>
      </c>
      <c r="T153" t="str">
        <f>_xlfn.CONCAT(Sales_Data!C153,"-",Sales_Data!E153,"-",Sales_Data!A153)</f>
        <v>North-C1038-1152</v>
      </c>
      <c r="U153" t="str">
        <f t="shared" si="24"/>
        <v>Regular</v>
      </c>
      <c r="V153" t="str" cm="1">
        <f t="array" ref="V153">_xlfn.IFS(R153&gt;=100000,"Excellent",R153&gt;=50000,"Good",R153&gt;=20000,"Average",TRUE,"Poor")</f>
        <v>Poor</v>
      </c>
      <c r="W153">
        <f t="shared" si="25"/>
        <v>1</v>
      </c>
      <c r="X153" t="str">
        <f t="shared" si="26"/>
        <v>January</v>
      </c>
      <c r="Y153">
        <f>HLOOKUP("Q"&amp;W153,Bonus_HLookup!$A$1:$E$2,2,FALSE)</f>
        <v>0.02</v>
      </c>
      <c r="Z153">
        <f t="shared" si="27"/>
        <v>70067.97</v>
      </c>
      <c r="AA153" s="1">
        <f t="shared" si="28"/>
        <v>8252.3804223138686</v>
      </c>
      <c r="AB153">
        <f t="shared" si="29"/>
        <v>754</v>
      </c>
    </row>
    <row r="154" spans="1:28" x14ac:dyDescent="0.3">
      <c r="A154">
        <v>1153</v>
      </c>
      <c r="B154" t="s">
        <v>208</v>
      </c>
      <c r="C154" t="s">
        <v>13</v>
      </c>
      <c r="D154" t="s">
        <v>46</v>
      </c>
      <c r="E154" t="s">
        <v>106</v>
      </c>
      <c r="F154" t="s">
        <v>74</v>
      </c>
      <c r="G154">
        <v>10</v>
      </c>
      <c r="H154">
        <v>35000</v>
      </c>
      <c r="I154">
        <v>12</v>
      </c>
      <c r="J154">
        <v>113100</v>
      </c>
      <c r="K154">
        <v>12</v>
      </c>
      <c r="L154">
        <v>4</v>
      </c>
      <c r="M154" t="str">
        <f>VLOOKUP(Sales_Data!F154,Product_Master!$A$2:$D$11,2)</f>
        <v>Tablet</v>
      </c>
      <c r="N154" t="str">
        <f>VLOOKUP(F154,Product_Master!$A$2:$C$11,3)</f>
        <v>Electronics</v>
      </c>
      <c r="O154">
        <f>VLOOKUP(F154,Product_Master!$A$2:$D$11,4,FALSE)</f>
        <v>29000</v>
      </c>
      <c r="P154">
        <f t="shared" si="20"/>
        <v>350000</v>
      </c>
      <c r="Q154">
        <f t="shared" si="21"/>
        <v>42000</v>
      </c>
      <c r="R154">
        <f t="shared" si="22"/>
        <v>308000</v>
      </c>
      <c r="S154">
        <f t="shared" si="23"/>
        <v>18000</v>
      </c>
      <c r="T154" t="str">
        <f>_xlfn.CONCAT(Sales_Data!C154,"-",Sales_Data!E154,"-",Sales_Data!A154)</f>
        <v>West-C1004-1153</v>
      </c>
      <c r="U154" t="str">
        <f t="shared" si="24"/>
        <v>High Value</v>
      </c>
      <c r="V154" t="str" cm="1">
        <f t="array" ref="V154">_xlfn.IFS(R154&gt;=100000,"Excellent",R154&gt;=50000,"Good",R154&gt;=20000,"Average",TRUE,"Poor")</f>
        <v>Excellent</v>
      </c>
      <c r="W154">
        <f t="shared" si="25"/>
        <v>2</v>
      </c>
      <c r="X154" t="str">
        <f t="shared" si="26"/>
        <v>June</v>
      </c>
      <c r="Y154">
        <f>HLOOKUP("Q"&amp;W154,Bonus_HLookup!$A$1:$E$2,2,FALSE)</f>
        <v>0.04</v>
      </c>
      <c r="Z154">
        <f t="shared" si="27"/>
        <v>54288</v>
      </c>
      <c r="AA154" s="1">
        <f t="shared" si="28"/>
        <v>2978.3567873510301</v>
      </c>
      <c r="AB154">
        <f t="shared" si="29"/>
        <v>52</v>
      </c>
    </row>
    <row r="155" spans="1:28" x14ac:dyDescent="0.3">
      <c r="A155">
        <v>1154</v>
      </c>
      <c r="B155" t="s">
        <v>209</v>
      </c>
      <c r="C155" t="s">
        <v>13</v>
      </c>
      <c r="D155" t="s">
        <v>46</v>
      </c>
      <c r="E155" t="s">
        <v>165</v>
      </c>
      <c r="F155" t="s">
        <v>39</v>
      </c>
      <c r="G155">
        <v>1</v>
      </c>
      <c r="H155">
        <v>7000</v>
      </c>
      <c r="I155">
        <v>0</v>
      </c>
      <c r="J155">
        <v>376948</v>
      </c>
      <c r="K155">
        <v>11</v>
      </c>
      <c r="L155">
        <v>1</v>
      </c>
      <c r="M155" t="str">
        <f>VLOOKUP(Sales_Data!F155,Product_Master!$A$2:$D$11,2)</f>
        <v>Router</v>
      </c>
      <c r="N155" t="str">
        <f>VLOOKUP(F155,Product_Master!$A$2:$C$11,3)</f>
        <v>Electronics</v>
      </c>
      <c r="O155">
        <f>VLOOKUP(F155,Product_Master!$A$2:$D$11,4,FALSE)</f>
        <v>5000</v>
      </c>
      <c r="P155">
        <f t="shared" si="20"/>
        <v>7000</v>
      </c>
      <c r="Q155">
        <f t="shared" si="21"/>
        <v>0</v>
      </c>
      <c r="R155">
        <f t="shared" si="22"/>
        <v>7000</v>
      </c>
      <c r="S155">
        <f t="shared" si="23"/>
        <v>2000</v>
      </c>
      <c r="T155" t="str">
        <f>_xlfn.CONCAT(Sales_Data!C155,"-",Sales_Data!E155,"-",Sales_Data!A155)</f>
        <v>West-C1042-1154</v>
      </c>
      <c r="U155" t="str">
        <f t="shared" si="24"/>
        <v>Regular</v>
      </c>
      <c r="V155" t="str" cm="1">
        <f t="array" ref="V155">_xlfn.IFS(R155&gt;=100000,"Excellent",R155&gt;=50000,"Good",R155&gt;=20000,"Average",TRUE,"Poor")</f>
        <v>Poor</v>
      </c>
      <c r="W155">
        <f t="shared" si="25"/>
        <v>4</v>
      </c>
      <c r="X155" t="str">
        <f t="shared" si="26"/>
        <v>December</v>
      </c>
      <c r="Y155">
        <f>HLOOKUP("Q"&amp;W155,Bonus_HLookup!$A$1:$E$2,2,FALSE)</f>
        <v>0.08</v>
      </c>
      <c r="Z155">
        <f t="shared" si="27"/>
        <v>41464.28</v>
      </c>
      <c r="AA155" s="1">
        <f t="shared" si="28"/>
        <v>33315.289416401596</v>
      </c>
      <c r="AB155">
        <f t="shared" si="29"/>
        <v>719</v>
      </c>
    </row>
    <row r="156" spans="1:28" x14ac:dyDescent="0.3">
      <c r="A156">
        <v>1155</v>
      </c>
      <c r="B156" t="s">
        <v>201</v>
      </c>
      <c r="C156" t="s">
        <v>62</v>
      </c>
      <c r="D156" t="s">
        <v>59</v>
      </c>
      <c r="E156" t="s">
        <v>203</v>
      </c>
      <c r="F156" t="s">
        <v>74</v>
      </c>
      <c r="G156">
        <v>9</v>
      </c>
      <c r="H156">
        <v>35000</v>
      </c>
      <c r="I156">
        <v>8</v>
      </c>
      <c r="J156">
        <v>307016</v>
      </c>
      <c r="K156">
        <v>12</v>
      </c>
      <c r="L156">
        <v>5</v>
      </c>
      <c r="M156" t="str">
        <f>VLOOKUP(Sales_Data!F156,Product_Master!$A$2:$D$11,2)</f>
        <v>Tablet</v>
      </c>
      <c r="N156" t="str">
        <f>VLOOKUP(F156,Product_Master!$A$2:$C$11,3)</f>
        <v>Electronics</v>
      </c>
      <c r="O156">
        <f>VLOOKUP(F156,Product_Master!$A$2:$D$11,4,FALSE)</f>
        <v>29000</v>
      </c>
      <c r="P156">
        <f t="shared" si="20"/>
        <v>315000</v>
      </c>
      <c r="Q156">
        <f t="shared" si="21"/>
        <v>25200</v>
      </c>
      <c r="R156">
        <f t="shared" si="22"/>
        <v>289800</v>
      </c>
      <c r="S156">
        <f t="shared" si="23"/>
        <v>28800</v>
      </c>
      <c r="T156" t="str">
        <f>_xlfn.CONCAT(Sales_Data!C156,"-",Sales_Data!E156,"-",Sales_Data!A156)</f>
        <v>East-C1037-1155</v>
      </c>
      <c r="U156" t="str">
        <f t="shared" si="24"/>
        <v>High Value</v>
      </c>
      <c r="V156" t="str" cm="1">
        <f t="array" ref="V156">_xlfn.IFS(R156&gt;=100000,"Excellent",R156&gt;=50000,"Good",R156&gt;=20000,"Average",TRUE,"Poor")</f>
        <v>Excellent</v>
      </c>
      <c r="W156">
        <f t="shared" si="25"/>
        <v>2</v>
      </c>
      <c r="X156" t="str">
        <f t="shared" si="26"/>
        <v>May</v>
      </c>
      <c r="Y156">
        <f>HLOOKUP("Q"&amp;W156,Bonus_HLookup!$A$1:$E$2,2,FALSE)</f>
        <v>0.04</v>
      </c>
      <c r="Z156">
        <f t="shared" si="27"/>
        <v>184209.6</v>
      </c>
      <c r="AA156" s="1">
        <f t="shared" si="28"/>
        <v>6829.4013504278018</v>
      </c>
      <c r="AB156">
        <f t="shared" si="29"/>
        <v>57</v>
      </c>
    </row>
    <row r="157" spans="1:28" x14ac:dyDescent="0.3">
      <c r="A157">
        <v>1156</v>
      </c>
      <c r="B157" t="s">
        <v>210</v>
      </c>
      <c r="C157" t="s">
        <v>30</v>
      </c>
      <c r="D157" t="s">
        <v>59</v>
      </c>
      <c r="E157" t="s">
        <v>131</v>
      </c>
      <c r="F157" t="s">
        <v>16</v>
      </c>
      <c r="G157">
        <v>8</v>
      </c>
      <c r="H157">
        <v>2500</v>
      </c>
      <c r="I157">
        <v>8</v>
      </c>
      <c r="J157">
        <v>280548</v>
      </c>
      <c r="K157">
        <v>11</v>
      </c>
      <c r="L157">
        <v>1</v>
      </c>
      <c r="M157" t="str">
        <f>VLOOKUP(Sales_Data!F157,Product_Master!$A$2:$D$11,2)</f>
        <v>Speaker</v>
      </c>
      <c r="N157" t="str">
        <f>VLOOKUP(F157,Product_Master!$A$2:$C$11,3)</f>
        <v>Accessories</v>
      </c>
      <c r="O157">
        <f>VLOOKUP(F157,Product_Master!$A$2:$D$11,4,FALSE)</f>
        <v>1800</v>
      </c>
      <c r="P157">
        <f t="shared" si="20"/>
        <v>20000</v>
      </c>
      <c r="Q157">
        <f t="shared" si="21"/>
        <v>1600</v>
      </c>
      <c r="R157">
        <f t="shared" si="22"/>
        <v>18400</v>
      </c>
      <c r="S157">
        <f t="shared" si="23"/>
        <v>4000</v>
      </c>
      <c r="T157" t="str">
        <f>_xlfn.CONCAT(Sales_Data!C157,"-",Sales_Data!E157,"-",Sales_Data!A157)</f>
        <v>South-C1047-1156</v>
      </c>
      <c r="U157" t="str">
        <f t="shared" si="24"/>
        <v>Regular</v>
      </c>
      <c r="V157" t="str" cm="1">
        <f t="array" ref="V157">_xlfn.IFS(R157&gt;=100000,"Excellent",R157&gt;=50000,"Good",R157&gt;=20000,"Average",TRUE,"Poor")</f>
        <v>Poor</v>
      </c>
      <c r="W157">
        <f t="shared" si="25"/>
        <v>4</v>
      </c>
      <c r="X157" t="str">
        <f t="shared" si="26"/>
        <v>December</v>
      </c>
      <c r="Y157">
        <f>HLOOKUP("Q"&amp;W157,Bonus_HLookup!$A$1:$E$2,2,FALSE)</f>
        <v>0.08</v>
      </c>
      <c r="Z157">
        <f t="shared" si="27"/>
        <v>30860.28</v>
      </c>
      <c r="AA157" s="1">
        <f t="shared" si="28"/>
        <v>24795.297534918969</v>
      </c>
      <c r="AB157">
        <f t="shared" si="29"/>
        <v>473</v>
      </c>
    </row>
    <row r="158" spans="1:28" x14ac:dyDescent="0.3">
      <c r="A158">
        <v>1157</v>
      </c>
      <c r="B158" t="s">
        <v>83</v>
      </c>
      <c r="C158" t="s">
        <v>30</v>
      </c>
      <c r="D158" t="s">
        <v>19</v>
      </c>
      <c r="E158" t="s">
        <v>41</v>
      </c>
      <c r="F158" t="s">
        <v>28</v>
      </c>
      <c r="G158">
        <v>1</v>
      </c>
      <c r="H158">
        <v>950</v>
      </c>
      <c r="I158">
        <v>8</v>
      </c>
      <c r="J158">
        <v>293816</v>
      </c>
      <c r="K158">
        <v>9</v>
      </c>
      <c r="L158">
        <v>5</v>
      </c>
      <c r="M158" t="str">
        <f>VLOOKUP(Sales_Data!F158,Product_Master!$A$2:$D$11,2)</f>
        <v>Webcam</v>
      </c>
      <c r="N158" t="str">
        <f>VLOOKUP(F158,Product_Master!$A$2:$C$11,3)</f>
        <v>Accessories</v>
      </c>
      <c r="O158">
        <f>VLOOKUP(F158,Product_Master!$A$2:$D$11,4,FALSE)</f>
        <v>700</v>
      </c>
      <c r="P158">
        <f t="shared" si="20"/>
        <v>950</v>
      </c>
      <c r="Q158">
        <f t="shared" si="21"/>
        <v>76</v>
      </c>
      <c r="R158">
        <f t="shared" si="22"/>
        <v>874</v>
      </c>
      <c r="S158">
        <f t="shared" si="23"/>
        <v>174</v>
      </c>
      <c r="T158" t="str">
        <f>_xlfn.CONCAT(Sales_Data!C158,"-",Sales_Data!E158,"-",Sales_Data!A158)</f>
        <v>South-C1023-1157</v>
      </c>
      <c r="U158" t="str">
        <f t="shared" si="24"/>
        <v>Regular</v>
      </c>
      <c r="V158" t="str" cm="1">
        <f t="array" ref="V158">_xlfn.IFS(R158&gt;=100000,"Excellent",R158&gt;=50000,"Good",R158&gt;=20000,"Average",TRUE,"Poor")</f>
        <v>Poor</v>
      </c>
      <c r="W158">
        <f t="shared" si="25"/>
        <v>1</v>
      </c>
      <c r="X158" t="str">
        <f t="shared" si="26"/>
        <v>January</v>
      </c>
      <c r="Y158">
        <f>HLOOKUP("Q"&amp;W158,Bonus_HLookup!$A$1:$E$2,2,FALSE)</f>
        <v>0.02</v>
      </c>
      <c r="Z158">
        <f t="shared" si="27"/>
        <v>132217.20000000001</v>
      </c>
      <c r="AA158" s="1">
        <f t="shared" si="28"/>
        <v>6099.1368991864292</v>
      </c>
      <c r="AB158">
        <f t="shared" si="29"/>
        <v>982</v>
      </c>
    </row>
    <row r="159" spans="1:28" x14ac:dyDescent="0.3">
      <c r="A159">
        <v>1158</v>
      </c>
      <c r="B159" t="s">
        <v>211</v>
      </c>
      <c r="C159" t="s">
        <v>13</v>
      </c>
      <c r="D159" t="s">
        <v>23</v>
      </c>
      <c r="E159" t="s">
        <v>133</v>
      </c>
      <c r="F159" t="s">
        <v>16</v>
      </c>
      <c r="G159">
        <v>1</v>
      </c>
      <c r="H159">
        <v>2500</v>
      </c>
      <c r="I159">
        <v>5</v>
      </c>
      <c r="J159">
        <v>284903</v>
      </c>
      <c r="K159">
        <v>7</v>
      </c>
      <c r="L159">
        <v>1</v>
      </c>
      <c r="M159" t="str">
        <f>VLOOKUP(Sales_Data!F159,Product_Master!$A$2:$D$11,2)</f>
        <v>Speaker</v>
      </c>
      <c r="N159" t="str">
        <f>VLOOKUP(F159,Product_Master!$A$2:$C$11,3)</f>
        <v>Accessories</v>
      </c>
      <c r="O159">
        <f>VLOOKUP(F159,Product_Master!$A$2:$D$11,4,FALSE)</f>
        <v>1800</v>
      </c>
      <c r="P159">
        <f t="shared" si="20"/>
        <v>2500</v>
      </c>
      <c r="Q159">
        <f t="shared" si="21"/>
        <v>125</v>
      </c>
      <c r="R159">
        <f t="shared" si="22"/>
        <v>2375</v>
      </c>
      <c r="S159">
        <f t="shared" si="23"/>
        <v>575</v>
      </c>
      <c r="T159" t="str">
        <f>_xlfn.CONCAT(Sales_Data!C159,"-",Sales_Data!E159,"-",Sales_Data!A159)</f>
        <v>West-C1021-1158</v>
      </c>
      <c r="U159" t="str">
        <f t="shared" si="24"/>
        <v>Regular</v>
      </c>
      <c r="V159" t="str" cm="1">
        <f t="array" ref="V159">_xlfn.IFS(R159&gt;=100000,"Excellent",R159&gt;=50000,"Good",R159&gt;=20000,"Average",TRUE,"Poor")</f>
        <v>Poor</v>
      </c>
      <c r="W159">
        <f t="shared" si="25"/>
        <v>3</v>
      </c>
      <c r="X159" t="str">
        <f t="shared" si="26"/>
        <v>September</v>
      </c>
      <c r="Y159">
        <f>HLOOKUP("Q"&amp;W159,Bonus_HLookup!$A$1:$E$2,2,FALSE)</f>
        <v>0.06</v>
      </c>
      <c r="Z159">
        <f t="shared" si="27"/>
        <v>19943.21</v>
      </c>
      <c r="AA159" s="1">
        <f t="shared" si="28"/>
        <v>24651.729543597827</v>
      </c>
      <c r="AB159">
        <f t="shared" si="29"/>
        <v>913</v>
      </c>
    </row>
    <row r="160" spans="1:28" x14ac:dyDescent="0.3">
      <c r="A160">
        <v>1159</v>
      </c>
      <c r="B160" t="s">
        <v>210</v>
      </c>
      <c r="C160" t="s">
        <v>62</v>
      </c>
      <c r="D160" t="s">
        <v>23</v>
      </c>
      <c r="E160" t="s">
        <v>187</v>
      </c>
      <c r="F160" t="s">
        <v>21</v>
      </c>
      <c r="G160">
        <v>3</v>
      </c>
      <c r="H160">
        <v>12000</v>
      </c>
      <c r="I160">
        <v>5</v>
      </c>
      <c r="J160">
        <v>119789</v>
      </c>
      <c r="K160">
        <v>12</v>
      </c>
      <c r="L160">
        <v>2</v>
      </c>
      <c r="M160" t="str">
        <f>VLOOKUP(Sales_Data!F160,Product_Master!$A$2:$D$11,2)</f>
        <v>Monitor</v>
      </c>
      <c r="N160" t="str">
        <f>VLOOKUP(F160,Product_Master!$A$2:$C$11,3)</f>
        <v>Electronics</v>
      </c>
      <c r="O160">
        <f>VLOOKUP(F160,Product_Master!$A$2:$D$11,4,FALSE)</f>
        <v>9000</v>
      </c>
      <c r="P160">
        <f t="shared" si="20"/>
        <v>36000</v>
      </c>
      <c r="Q160">
        <f t="shared" si="21"/>
        <v>1800</v>
      </c>
      <c r="R160">
        <f t="shared" si="22"/>
        <v>34200</v>
      </c>
      <c r="S160">
        <f t="shared" si="23"/>
        <v>7200</v>
      </c>
      <c r="T160" t="str">
        <f>_xlfn.CONCAT(Sales_Data!C160,"-",Sales_Data!E160,"-",Sales_Data!A160)</f>
        <v>East-C1041-1159</v>
      </c>
      <c r="U160" t="str">
        <f t="shared" si="24"/>
        <v>Regular</v>
      </c>
      <c r="V160" t="str" cm="1">
        <f t="array" ref="V160">_xlfn.IFS(R160&gt;=100000,"Excellent",R160&gt;=50000,"Good",R160&gt;=20000,"Average",TRUE,"Poor")</f>
        <v>Average</v>
      </c>
      <c r="W160">
        <f t="shared" si="25"/>
        <v>4</v>
      </c>
      <c r="X160" t="str">
        <f t="shared" si="26"/>
        <v>December</v>
      </c>
      <c r="Y160">
        <f>HLOOKUP("Q"&amp;W160,Bonus_HLookup!$A$1:$E$2,2,FALSE)</f>
        <v>0.08</v>
      </c>
      <c r="Z160">
        <f t="shared" si="27"/>
        <v>28749.360000000001</v>
      </c>
      <c r="AA160" s="1">
        <f t="shared" si="28"/>
        <v>5638.8841641526551</v>
      </c>
      <c r="AB160">
        <f t="shared" si="29"/>
        <v>355</v>
      </c>
    </row>
    <row r="161" spans="1:28" x14ac:dyDescent="0.3">
      <c r="A161">
        <v>1160</v>
      </c>
      <c r="B161" t="s">
        <v>58</v>
      </c>
      <c r="C161" t="s">
        <v>18</v>
      </c>
      <c r="D161" t="s">
        <v>14</v>
      </c>
      <c r="E161" t="s">
        <v>63</v>
      </c>
      <c r="F161" t="s">
        <v>36</v>
      </c>
      <c r="G161">
        <v>4</v>
      </c>
      <c r="H161">
        <v>55000</v>
      </c>
      <c r="I161">
        <v>0</v>
      </c>
      <c r="J161">
        <v>334447</v>
      </c>
      <c r="K161">
        <v>8</v>
      </c>
      <c r="L161">
        <v>2</v>
      </c>
      <c r="M161" t="str">
        <f>VLOOKUP(Sales_Data!F161,Product_Master!$A$2:$D$11,2)</f>
        <v>Laptop</v>
      </c>
      <c r="N161" t="str">
        <f>VLOOKUP(F161,Product_Master!$A$2:$C$11,3)</f>
        <v>Electronics</v>
      </c>
      <c r="O161">
        <f>VLOOKUP(F161,Product_Master!$A$2:$D$11,4,FALSE)</f>
        <v>45000</v>
      </c>
      <c r="P161">
        <f t="shared" si="20"/>
        <v>220000</v>
      </c>
      <c r="Q161">
        <f t="shared" si="21"/>
        <v>0</v>
      </c>
      <c r="R161">
        <f t="shared" si="22"/>
        <v>220000</v>
      </c>
      <c r="S161">
        <f t="shared" si="23"/>
        <v>40000</v>
      </c>
      <c r="T161" t="str">
        <f>_xlfn.CONCAT(Sales_Data!C161,"-",Sales_Data!E161,"-",Sales_Data!A161)</f>
        <v>North-C1035-1160</v>
      </c>
      <c r="U161" t="str">
        <f t="shared" si="24"/>
        <v>High Value</v>
      </c>
      <c r="V161" t="str" cm="1">
        <f t="array" ref="V161">_xlfn.IFS(R161&gt;=100000,"Excellent",R161&gt;=50000,"Good",R161&gt;=20000,"Average",TRUE,"Poor")</f>
        <v>Excellent</v>
      </c>
      <c r="W161">
        <f t="shared" si="25"/>
        <v>4</v>
      </c>
      <c r="X161" t="str">
        <f t="shared" si="26"/>
        <v>November</v>
      </c>
      <c r="Y161">
        <f>HLOOKUP("Q"&amp;W161,Bonus_HLookup!$A$1:$E$2,2,FALSE)</f>
        <v>0.08</v>
      </c>
      <c r="Z161">
        <f t="shared" si="27"/>
        <v>53511.519999999997</v>
      </c>
      <c r="AA161" s="1">
        <f t="shared" si="28"/>
        <v>15126.131945646423</v>
      </c>
      <c r="AB161">
        <f t="shared" si="29"/>
        <v>97</v>
      </c>
    </row>
    <row r="162" spans="1:28" x14ac:dyDescent="0.3">
      <c r="A162">
        <v>1161</v>
      </c>
      <c r="B162" t="s">
        <v>92</v>
      </c>
      <c r="C162" t="s">
        <v>18</v>
      </c>
      <c r="D162" t="s">
        <v>33</v>
      </c>
      <c r="E162" t="s">
        <v>131</v>
      </c>
      <c r="F162" t="s">
        <v>39</v>
      </c>
      <c r="G162">
        <v>3</v>
      </c>
      <c r="H162">
        <v>7000</v>
      </c>
      <c r="I162">
        <v>10</v>
      </c>
      <c r="J162">
        <v>321187</v>
      </c>
      <c r="K162">
        <v>10</v>
      </c>
      <c r="L162">
        <v>2</v>
      </c>
      <c r="M162" t="str">
        <f>VLOOKUP(Sales_Data!F162,Product_Master!$A$2:$D$11,2)</f>
        <v>Router</v>
      </c>
      <c r="N162" t="str">
        <f>VLOOKUP(F162,Product_Master!$A$2:$C$11,3)</f>
        <v>Electronics</v>
      </c>
      <c r="O162">
        <f>VLOOKUP(F162,Product_Master!$A$2:$D$11,4,FALSE)</f>
        <v>5000</v>
      </c>
      <c r="P162">
        <f t="shared" si="20"/>
        <v>21000</v>
      </c>
      <c r="Q162">
        <f t="shared" si="21"/>
        <v>2100</v>
      </c>
      <c r="R162">
        <f t="shared" si="22"/>
        <v>18900</v>
      </c>
      <c r="S162">
        <f t="shared" si="23"/>
        <v>3900</v>
      </c>
      <c r="T162" t="str">
        <f>_xlfn.CONCAT(Sales_Data!C162,"-",Sales_Data!E162,"-",Sales_Data!A162)</f>
        <v>North-C1047-1161</v>
      </c>
      <c r="U162" t="str">
        <f t="shared" si="24"/>
        <v>Regular</v>
      </c>
      <c r="V162" t="str" cm="1">
        <f t="array" ref="V162">_xlfn.IFS(R162&gt;=100000,"Excellent",R162&gt;=50000,"Good",R162&gt;=20000,"Average",TRUE,"Poor")</f>
        <v>Poor</v>
      </c>
      <c r="W162">
        <f t="shared" si="25"/>
        <v>2</v>
      </c>
      <c r="X162" t="str">
        <f t="shared" si="26"/>
        <v>May</v>
      </c>
      <c r="Y162">
        <f>HLOOKUP("Q"&amp;W162,Bonus_HLookup!$A$1:$E$2,2,FALSE)</f>
        <v>0.04</v>
      </c>
      <c r="Z162">
        <f t="shared" si="27"/>
        <v>64237.4</v>
      </c>
      <c r="AA162" s="1">
        <f t="shared" si="28"/>
        <v>14821.150455567913</v>
      </c>
      <c r="AB162">
        <f t="shared" si="29"/>
        <v>471</v>
      </c>
    </row>
    <row r="163" spans="1:28" x14ac:dyDescent="0.3">
      <c r="A163">
        <v>1162</v>
      </c>
      <c r="B163" t="s">
        <v>170</v>
      </c>
      <c r="C163" t="s">
        <v>62</v>
      </c>
      <c r="D163" t="s">
        <v>33</v>
      </c>
      <c r="E163" t="s">
        <v>31</v>
      </c>
      <c r="F163" t="s">
        <v>52</v>
      </c>
      <c r="G163">
        <v>1</v>
      </c>
      <c r="H163">
        <v>500</v>
      </c>
      <c r="I163">
        <v>12</v>
      </c>
      <c r="J163">
        <v>422322</v>
      </c>
      <c r="K163">
        <v>10</v>
      </c>
      <c r="L163">
        <v>2</v>
      </c>
      <c r="M163" t="str">
        <f>VLOOKUP(Sales_Data!F163,Product_Master!$A$2:$D$11,2)</f>
        <v>Mouse</v>
      </c>
      <c r="N163" t="str">
        <f>VLOOKUP(F163,Product_Master!$A$2:$C$11,3)</f>
        <v>Accessories</v>
      </c>
      <c r="O163">
        <f>VLOOKUP(F163,Product_Master!$A$2:$D$11,4,FALSE)</f>
        <v>350</v>
      </c>
      <c r="P163">
        <f t="shared" si="20"/>
        <v>500</v>
      </c>
      <c r="Q163">
        <f t="shared" si="21"/>
        <v>60</v>
      </c>
      <c r="R163">
        <f t="shared" si="22"/>
        <v>440</v>
      </c>
      <c r="S163">
        <f t="shared" si="23"/>
        <v>90</v>
      </c>
      <c r="T163" t="str">
        <f>_xlfn.CONCAT(Sales_Data!C163,"-",Sales_Data!E163,"-",Sales_Data!A163)</f>
        <v>East-C1025-1162</v>
      </c>
      <c r="U163" t="str">
        <f t="shared" si="24"/>
        <v>Regular</v>
      </c>
      <c r="V163" t="str" cm="1">
        <f t="array" ref="V163">_xlfn.IFS(R163&gt;=100000,"Excellent",R163&gt;=50000,"Good",R163&gt;=20000,"Average",TRUE,"Poor")</f>
        <v>Poor</v>
      </c>
      <c r="W163">
        <f t="shared" si="25"/>
        <v>1</v>
      </c>
      <c r="X163" t="str">
        <f t="shared" si="26"/>
        <v>January</v>
      </c>
      <c r="Y163">
        <f>HLOOKUP("Q"&amp;W163,Bonus_HLookup!$A$1:$E$2,2,FALSE)</f>
        <v>0.02</v>
      </c>
      <c r="Z163">
        <f t="shared" si="27"/>
        <v>84464.4</v>
      </c>
      <c r="AA163" s="1">
        <f t="shared" si="28"/>
        <v>19488.017580712643</v>
      </c>
      <c r="AB163">
        <f t="shared" si="29"/>
        <v>997</v>
      </c>
    </row>
    <row r="164" spans="1:28" x14ac:dyDescent="0.3">
      <c r="A164">
        <v>1163</v>
      </c>
      <c r="B164" t="s">
        <v>212</v>
      </c>
      <c r="C164" t="s">
        <v>62</v>
      </c>
      <c r="D164" t="s">
        <v>19</v>
      </c>
      <c r="E164" t="s">
        <v>63</v>
      </c>
      <c r="F164" t="s">
        <v>42</v>
      </c>
      <c r="G164">
        <v>7</v>
      </c>
      <c r="H164">
        <v>8000</v>
      </c>
      <c r="I164">
        <v>0</v>
      </c>
      <c r="J164">
        <v>327206</v>
      </c>
      <c r="K164">
        <v>7</v>
      </c>
      <c r="L164">
        <v>1</v>
      </c>
      <c r="M164" t="str">
        <f>VLOOKUP(Sales_Data!F164,Product_Master!$A$2:$D$11,2)</f>
        <v>Printer</v>
      </c>
      <c r="N164" t="str">
        <f>VLOOKUP(F164,Product_Master!$A$2:$C$11,3)</f>
        <v>Electronics</v>
      </c>
      <c r="O164">
        <f>VLOOKUP(F164,Product_Master!$A$2:$D$11,4,FALSE)</f>
        <v>6500</v>
      </c>
      <c r="P164">
        <f t="shared" si="20"/>
        <v>56000</v>
      </c>
      <c r="Q164">
        <f t="shared" si="21"/>
        <v>0</v>
      </c>
      <c r="R164">
        <f t="shared" si="22"/>
        <v>56000</v>
      </c>
      <c r="S164">
        <f t="shared" si="23"/>
        <v>10500</v>
      </c>
      <c r="T164" t="str">
        <f>_xlfn.CONCAT(Sales_Data!C164,"-",Sales_Data!E164,"-",Sales_Data!A164)</f>
        <v>East-C1035-1163</v>
      </c>
      <c r="U164" t="str">
        <f t="shared" si="24"/>
        <v>High Value</v>
      </c>
      <c r="V164" t="str" cm="1">
        <f t="array" ref="V164">_xlfn.IFS(R164&gt;=100000,"Excellent",R164&gt;=50000,"Good",R164&gt;=20000,"Average",TRUE,"Poor")</f>
        <v>Good</v>
      </c>
      <c r="W164">
        <f t="shared" si="25"/>
        <v>3</v>
      </c>
      <c r="X164" t="str">
        <f t="shared" si="26"/>
        <v>September</v>
      </c>
      <c r="Y164">
        <f>HLOOKUP("Q"&amp;W164,Bonus_HLookup!$A$1:$E$2,2,FALSE)</f>
        <v>0.06</v>
      </c>
      <c r="Z164">
        <f t="shared" si="27"/>
        <v>22904.42</v>
      </c>
      <c r="AA164" s="1">
        <f t="shared" si="28"/>
        <v>28312.07048378736</v>
      </c>
      <c r="AB164">
        <f t="shared" si="29"/>
        <v>265</v>
      </c>
    </row>
    <row r="165" spans="1:28" x14ac:dyDescent="0.3">
      <c r="A165">
        <v>1164</v>
      </c>
      <c r="B165" t="s">
        <v>213</v>
      </c>
      <c r="C165" t="s">
        <v>13</v>
      </c>
      <c r="D165" t="s">
        <v>19</v>
      </c>
      <c r="E165" t="s">
        <v>63</v>
      </c>
      <c r="F165" t="s">
        <v>42</v>
      </c>
      <c r="G165">
        <v>1</v>
      </c>
      <c r="H165">
        <v>8000</v>
      </c>
      <c r="I165">
        <v>5</v>
      </c>
      <c r="J165">
        <v>105582</v>
      </c>
      <c r="K165">
        <v>8</v>
      </c>
      <c r="L165">
        <v>4</v>
      </c>
      <c r="M165" t="str">
        <f>VLOOKUP(Sales_Data!F165,Product_Master!$A$2:$D$11,2)</f>
        <v>Printer</v>
      </c>
      <c r="N165" t="str">
        <f>VLOOKUP(F165,Product_Master!$A$2:$C$11,3)</f>
        <v>Electronics</v>
      </c>
      <c r="O165">
        <f>VLOOKUP(F165,Product_Master!$A$2:$D$11,4,FALSE)</f>
        <v>6500</v>
      </c>
      <c r="P165">
        <f t="shared" si="20"/>
        <v>8000</v>
      </c>
      <c r="Q165">
        <f t="shared" si="21"/>
        <v>400</v>
      </c>
      <c r="R165">
        <f t="shared" si="22"/>
        <v>7600</v>
      </c>
      <c r="S165">
        <f t="shared" si="23"/>
        <v>1100</v>
      </c>
      <c r="T165" t="str">
        <f>_xlfn.CONCAT(Sales_Data!C165,"-",Sales_Data!E165,"-",Sales_Data!A165)</f>
        <v>West-C1035-1164</v>
      </c>
      <c r="U165" t="str">
        <f t="shared" si="24"/>
        <v>Regular</v>
      </c>
      <c r="V165" t="str" cm="1">
        <f t="array" ref="V165">_xlfn.IFS(R165&gt;=100000,"Excellent",R165&gt;=50000,"Good",R165&gt;=20000,"Average",TRUE,"Poor")</f>
        <v>Poor</v>
      </c>
      <c r="W165">
        <f t="shared" si="25"/>
        <v>2</v>
      </c>
      <c r="X165" t="str">
        <f t="shared" si="26"/>
        <v>May</v>
      </c>
      <c r="Y165">
        <f>HLOOKUP("Q"&amp;W165,Bonus_HLookup!$A$1:$E$2,2,FALSE)</f>
        <v>0.04</v>
      </c>
      <c r="Z165">
        <f t="shared" si="27"/>
        <v>33786.239999999998</v>
      </c>
      <c r="AA165" s="1">
        <f t="shared" si="28"/>
        <v>2577.5651666605154</v>
      </c>
      <c r="AB165">
        <f t="shared" si="29"/>
        <v>701</v>
      </c>
    </row>
    <row r="166" spans="1:28" x14ac:dyDescent="0.3">
      <c r="A166">
        <v>1165</v>
      </c>
      <c r="B166" t="s">
        <v>214</v>
      </c>
      <c r="C166" t="s">
        <v>30</v>
      </c>
      <c r="D166" t="s">
        <v>23</v>
      </c>
      <c r="E166" t="s">
        <v>44</v>
      </c>
      <c r="F166" t="s">
        <v>42</v>
      </c>
      <c r="G166">
        <v>7</v>
      </c>
      <c r="H166">
        <v>8000</v>
      </c>
      <c r="I166">
        <v>5</v>
      </c>
      <c r="J166">
        <v>319252</v>
      </c>
      <c r="K166">
        <v>11</v>
      </c>
      <c r="L166">
        <v>2</v>
      </c>
      <c r="M166" t="str">
        <f>VLOOKUP(Sales_Data!F166,Product_Master!$A$2:$D$11,2)</f>
        <v>Printer</v>
      </c>
      <c r="N166" t="str">
        <f>VLOOKUP(F166,Product_Master!$A$2:$C$11,3)</f>
        <v>Electronics</v>
      </c>
      <c r="O166">
        <f>VLOOKUP(F166,Product_Master!$A$2:$D$11,4,FALSE)</f>
        <v>6500</v>
      </c>
      <c r="P166">
        <f t="shared" si="20"/>
        <v>56000</v>
      </c>
      <c r="Q166">
        <f t="shared" si="21"/>
        <v>2800</v>
      </c>
      <c r="R166">
        <f t="shared" si="22"/>
        <v>53200</v>
      </c>
      <c r="S166">
        <f t="shared" si="23"/>
        <v>7700</v>
      </c>
      <c r="T166" t="str">
        <f>_xlfn.CONCAT(Sales_Data!C166,"-",Sales_Data!E166,"-",Sales_Data!A166)</f>
        <v>South-C1028-1165</v>
      </c>
      <c r="U166" t="str">
        <f t="shared" si="24"/>
        <v>High Value</v>
      </c>
      <c r="V166" t="str" cm="1">
        <f t="array" ref="V166">_xlfn.IFS(R166&gt;=100000,"Excellent",R166&gt;=50000,"Good",R166&gt;=20000,"Average",TRUE,"Poor")</f>
        <v>Good</v>
      </c>
      <c r="W166">
        <f t="shared" si="25"/>
        <v>4</v>
      </c>
      <c r="X166" t="str">
        <f t="shared" si="26"/>
        <v>December</v>
      </c>
      <c r="Y166">
        <f>HLOOKUP("Q"&amp;W166,Bonus_HLookup!$A$1:$E$2,2,FALSE)</f>
        <v>0.08</v>
      </c>
      <c r="Z166">
        <f t="shared" si="27"/>
        <v>70235.44</v>
      </c>
      <c r="AA166" s="1">
        <f t="shared" si="28"/>
        <v>14879.64555991702</v>
      </c>
      <c r="AB166">
        <f t="shared" si="29"/>
        <v>283</v>
      </c>
    </row>
    <row r="167" spans="1:28" x14ac:dyDescent="0.3">
      <c r="A167">
        <v>1166</v>
      </c>
      <c r="B167" t="s">
        <v>215</v>
      </c>
      <c r="C167" t="s">
        <v>30</v>
      </c>
      <c r="D167" t="s">
        <v>91</v>
      </c>
      <c r="E167" t="s">
        <v>165</v>
      </c>
      <c r="F167" t="s">
        <v>52</v>
      </c>
      <c r="G167">
        <v>2</v>
      </c>
      <c r="H167">
        <v>500</v>
      </c>
      <c r="I167">
        <v>8</v>
      </c>
      <c r="J167">
        <v>252090</v>
      </c>
      <c r="K167">
        <v>10</v>
      </c>
      <c r="L167">
        <v>3</v>
      </c>
      <c r="M167" t="str">
        <f>VLOOKUP(Sales_Data!F167,Product_Master!$A$2:$D$11,2)</f>
        <v>Mouse</v>
      </c>
      <c r="N167" t="str">
        <f>VLOOKUP(F167,Product_Master!$A$2:$C$11,3)</f>
        <v>Accessories</v>
      </c>
      <c r="O167">
        <f>VLOOKUP(F167,Product_Master!$A$2:$D$11,4,FALSE)</f>
        <v>350</v>
      </c>
      <c r="P167">
        <f t="shared" si="20"/>
        <v>1000</v>
      </c>
      <c r="Q167">
        <f t="shared" si="21"/>
        <v>80</v>
      </c>
      <c r="R167">
        <f t="shared" si="22"/>
        <v>920</v>
      </c>
      <c r="S167">
        <f t="shared" si="23"/>
        <v>220</v>
      </c>
      <c r="T167" t="str">
        <f>_xlfn.CONCAT(Sales_Data!C167,"-",Sales_Data!E167,"-",Sales_Data!A167)</f>
        <v>South-C1042-1166</v>
      </c>
      <c r="U167" t="str">
        <f t="shared" si="24"/>
        <v>Regular</v>
      </c>
      <c r="V167" t="str" cm="1">
        <f t="array" ref="V167">_xlfn.IFS(R167&gt;=100000,"Excellent",R167&gt;=50000,"Good",R167&gt;=20000,"Average",TRUE,"Poor")</f>
        <v>Poor</v>
      </c>
      <c r="W167">
        <f t="shared" si="25"/>
        <v>1</v>
      </c>
      <c r="X167" t="str">
        <f t="shared" si="26"/>
        <v>March</v>
      </c>
      <c r="Y167">
        <f>HLOOKUP("Q"&amp;W167,Bonus_HLookup!$A$1:$E$2,2,FALSE)</f>
        <v>0.02</v>
      </c>
      <c r="Z167">
        <f t="shared" si="27"/>
        <v>75627</v>
      </c>
      <c r="AA167" s="1">
        <f t="shared" si="28"/>
        <v>8134.2352196944912</v>
      </c>
      <c r="AB167">
        <f t="shared" si="29"/>
        <v>971</v>
      </c>
    </row>
    <row r="168" spans="1:28" x14ac:dyDescent="0.3">
      <c r="A168">
        <v>1167</v>
      </c>
      <c r="B168" t="s">
        <v>216</v>
      </c>
      <c r="C168" t="s">
        <v>18</v>
      </c>
      <c r="D168" t="s">
        <v>23</v>
      </c>
      <c r="E168" t="s">
        <v>174</v>
      </c>
      <c r="F168" t="s">
        <v>69</v>
      </c>
      <c r="G168">
        <v>7</v>
      </c>
      <c r="H168">
        <v>2000</v>
      </c>
      <c r="I168">
        <v>5</v>
      </c>
      <c r="J168">
        <v>218378</v>
      </c>
      <c r="K168">
        <v>11</v>
      </c>
      <c r="L168">
        <v>1</v>
      </c>
      <c r="M168" t="str">
        <f>VLOOKUP(Sales_Data!F168,Product_Master!$A$2:$D$11,2)</f>
        <v>Headset</v>
      </c>
      <c r="N168" t="str">
        <f>VLOOKUP(F168,Product_Master!$A$2:$C$11,3)</f>
        <v>Accessories</v>
      </c>
      <c r="O168">
        <f>VLOOKUP(F168,Product_Master!$A$2:$D$11,4,FALSE)</f>
        <v>1500</v>
      </c>
      <c r="P168">
        <f t="shared" si="20"/>
        <v>14000</v>
      </c>
      <c r="Q168">
        <f t="shared" si="21"/>
        <v>700</v>
      </c>
      <c r="R168">
        <f t="shared" si="22"/>
        <v>13300</v>
      </c>
      <c r="S168">
        <f t="shared" si="23"/>
        <v>2800</v>
      </c>
      <c r="T168" t="str">
        <f>_xlfn.CONCAT(Sales_Data!C168,"-",Sales_Data!E168,"-",Sales_Data!A168)</f>
        <v>North-C1044-1167</v>
      </c>
      <c r="U168" t="str">
        <f t="shared" si="24"/>
        <v>Regular</v>
      </c>
      <c r="V168" t="str" cm="1">
        <f t="array" ref="V168">_xlfn.IFS(R168&gt;=100000,"Excellent",R168&gt;=50000,"Good",R168&gt;=20000,"Average",TRUE,"Poor")</f>
        <v>Poor</v>
      </c>
      <c r="W168">
        <f t="shared" si="25"/>
        <v>1</v>
      </c>
      <c r="X168" t="str">
        <f t="shared" si="26"/>
        <v>February</v>
      </c>
      <c r="Y168">
        <f>HLOOKUP("Q"&amp;W168,Bonus_HLookup!$A$1:$E$2,2,FALSE)</f>
        <v>0.02</v>
      </c>
      <c r="Z168">
        <f t="shared" si="27"/>
        <v>24021.58</v>
      </c>
      <c r="AA168" s="1">
        <f t="shared" si="28"/>
        <v>19300.609824630847</v>
      </c>
      <c r="AB168">
        <f t="shared" si="29"/>
        <v>559</v>
      </c>
    </row>
    <row r="169" spans="1:28" x14ac:dyDescent="0.3">
      <c r="A169">
        <v>1168</v>
      </c>
      <c r="B169" t="s">
        <v>217</v>
      </c>
      <c r="C169" t="s">
        <v>13</v>
      </c>
      <c r="D169" t="s">
        <v>50</v>
      </c>
      <c r="E169" t="s">
        <v>54</v>
      </c>
      <c r="F169" t="s">
        <v>52</v>
      </c>
      <c r="G169">
        <v>3</v>
      </c>
      <c r="H169">
        <v>500</v>
      </c>
      <c r="I169">
        <v>8</v>
      </c>
      <c r="J169">
        <v>304510</v>
      </c>
      <c r="K169">
        <v>9</v>
      </c>
      <c r="L169">
        <v>1</v>
      </c>
      <c r="M169" t="str">
        <f>VLOOKUP(Sales_Data!F169,Product_Master!$A$2:$D$11,2)</f>
        <v>Mouse</v>
      </c>
      <c r="N169" t="str">
        <f>VLOOKUP(F169,Product_Master!$A$2:$C$11,3)</f>
        <v>Accessories</v>
      </c>
      <c r="O169">
        <f>VLOOKUP(F169,Product_Master!$A$2:$D$11,4,FALSE)</f>
        <v>350</v>
      </c>
      <c r="P169">
        <f t="shared" si="20"/>
        <v>1500</v>
      </c>
      <c r="Q169">
        <f t="shared" si="21"/>
        <v>120</v>
      </c>
      <c r="R169">
        <f t="shared" si="22"/>
        <v>1380</v>
      </c>
      <c r="S169">
        <f t="shared" si="23"/>
        <v>330</v>
      </c>
      <c r="T169" t="str">
        <f>_xlfn.CONCAT(Sales_Data!C169,"-",Sales_Data!E169,"-",Sales_Data!A169)</f>
        <v>West-C1034-1168</v>
      </c>
      <c r="U169" t="str">
        <f t="shared" si="24"/>
        <v>Regular</v>
      </c>
      <c r="V169" t="str" cm="1">
        <f t="array" ref="V169">_xlfn.IFS(R169&gt;=100000,"Excellent",R169&gt;=50000,"Good",R169&gt;=20000,"Average",TRUE,"Poor")</f>
        <v>Poor</v>
      </c>
      <c r="W169">
        <f t="shared" si="25"/>
        <v>3</v>
      </c>
      <c r="X169" t="str">
        <f t="shared" si="26"/>
        <v>August</v>
      </c>
      <c r="Y169">
        <f>HLOOKUP("Q"&amp;W169,Bonus_HLookup!$A$1:$E$2,2,FALSE)</f>
        <v>0.06</v>
      </c>
      <c r="Z169">
        <f t="shared" si="27"/>
        <v>27405.9</v>
      </c>
      <c r="AA169" s="1">
        <f t="shared" si="28"/>
        <v>26629.849191208774</v>
      </c>
      <c r="AB169">
        <f t="shared" si="29"/>
        <v>954</v>
      </c>
    </row>
    <row r="170" spans="1:28" x14ac:dyDescent="0.3">
      <c r="A170">
        <v>1169</v>
      </c>
      <c r="B170" t="s">
        <v>136</v>
      </c>
      <c r="C170" t="s">
        <v>18</v>
      </c>
      <c r="D170" t="s">
        <v>46</v>
      </c>
      <c r="E170" t="s">
        <v>174</v>
      </c>
      <c r="F170" t="s">
        <v>21</v>
      </c>
      <c r="G170">
        <v>2</v>
      </c>
      <c r="H170">
        <v>12000</v>
      </c>
      <c r="I170">
        <v>5</v>
      </c>
      <c r="J170">
        <v>237989</v>
      </c>
      <c r="K170">
        <v>9</v>
      </c>
      <c r="L170">
        <v>3</v>
      </c>
      <c r="M170" t="str">
        <f>VLOOKUP(Sales_Data!F170,Product_Master!$A$2:$D$11,2)</f>
        <v>Monitor</v>
      </c>
      <c r="N170" t="str">
        <f>VLOOKUP(F170,Product_Master!$A$2:$C$11,3)</f>
        <v>Electronics</v>
      </c>
      <c r="O170">
        <f>VLOOKUP(F170,Product_Master!$A$2:$D$11,4,FALSE)</f>
        <v>9000</v>
      </c>
      <c r="P170">
        <f t="shared" si="20"/>
        <v>24000</v>
      </c>
      <c r="Q170">
        <f t="shared" si="21"/>
        <v>1200</v>
      </c>
      <c r="R170">
        <f t="shared" si="22"/>
        <v>22800</v>
      </c>
      <c r="S170">
        <f t="shared" si="23"/>
        <v>4800</v>
      </c>
      <c r="T170" t="str">
        <f>_xlfn.CONCAT(Sales_Data!C170,"-",Sales_Data!E170,"-",Sales_Data!A170)</f>
        <v>North-C1044-1169</v>
      </c>
      <c r="U170" t="str">
        <f t="shared" si="24"/>
        <v>Regular</v>
      </c>
      <c r="V170" t="str" cm="1">
        <f t="array" ref="V170">_xlfn.IFS(R170&gt;=100000,"Excellent",R170&gt;=50000,"Good",R170&gt;=20000,"Average",TRUE,"Poor")</f>
        <v>Average</v>
      </c>
      <c r="W170">
        <f t="shared" si="25"/>
        <v>2</v>
      </c>
      <c r="X170" t="str">
        <f t="shared" si="26"/>
        <v>May</v>
      </c>
      <c r="Y170">
        <f>HLOOKUP("Q"&amp;W170,Bonus_HLookup!$A$1:$E$2,2,FALSE)</f>
        <v>0.04</v>
      </c>
      <c r="Z170">
        <f t="shared" si="27"/>
        <v>64257.03</v>
      </c>
      <c r="AA170" s="1">
        <f t="shared" si="28"/>
        <v>7567.9865760066241</v>
      </c>
      <c r="AB170">
        <f t="shared" si="29"/>
        <v>410</v>
      </c>
    </row>
    <row r="171" spans="1:28" x14ac:dyDescent="0.3">
      <c r="A171">
        <v>1170</v>
      </c>
      <c r="B171" t="s">
        <v>137</v>
      </c>
      <c r="C171" t="s">
        <v>30</v>
      </c>
      <c r="D171" t="s">
        <v>14</v>
      </c>
      <c r="E171" t="s">
        <v>169</v>
      </c>
      <c r="F171" t="s">
        <v>36</v>
      </c>
      <c r="G171">
        <v>8</v>
      </c>
      <c r="H171">
        <v>55000</v>
      </c>
      <c r="I171">
        <v>0</v>
      </c>
      <c r="J171">
        <v>318145</v>
      </c>
      <c r="K171">
        <v>9</v>
      </c>
      <c r="L171">
        <v>4</v>
      </c>
      <c r="M171" t="str">
        <f>VLOOKUP(Sales_Data!F171,Product_Master!$A$2:$D$11,2)</f>
        <v>Laptop</v>
      </c>
      <c r="N171" t="str">
        <f>VLOOKUP(F171,Product_Master!$A$2:$C$11,3)</f>
        <v>Electronics</v>
      </c>
      <c r="O171">
        <f>VLOOKUP(F171,Product_Master!$A$2:$D$11,4,FALSE)</f>
        <v>45000</v>
      </c>
      <c r="P171">
        <f t="shared" si="20"/>
        <v>440000</v>
      </c>
      <c r="Q171">
        <f t="shared" si="21"/>
        <v>0</v>
      </c>
      <c r="R171">
        <f t="shared" si="22"/>
        <v>440000</v>
      </c>
      <c r="S171">
        <f t="shared" si="23"/>
        <v>80000</v>
      </c>
      <c r="T171" t="str">
        <f>_xlfn.CONCAT(Sales_Data!C171,"-",Sales_Data!E171,"-",Sales_Data!A171)</f>
        <v>South-C1038-1170</v>
      </c>
      <c r="U171" t="str">
        <f t="shared" si="24"/>
        <v>High Value</v>
      </c>
      <c r="V171" t="str" cm="1">
        <f t="array" ref="V171">_xlfn.IFS(R171&gt;=100000,"Excellent",R171&gt;=50000,"Good",R171&gt;=20000,"Average",TRUE,"Poor")</f>
        <v>Excellent</v>
      </c>
      <c r="W171">
        <f t="shared" si="25"/>
        <v>1</v>
      </c>
      <c r="X171" t="str">
        <f t="shared" si="26"/>
        <v>February</v>
      </c>
      <c r="Y171">
        <f>HLOOKUP("Q"&amp;W171,Bonus_HLookup!$A$1:$E$2,2,FALSE)</f>
        <v>0.02</v>
      </c>
      <c r="Z171">
        <f t="shared" si="27"/>
        <v>114532.2</v>
      </c>
      <c r="AA171" s="1">
        <f t="shared" si="28"/>
        <v>7917.0518060552986</v>
      </c>
      <c r="AB171">
        <f t="shared" si="29"/>
        <v>17</v>
      </c>
    </row>
    <row r="172" spans="1:28" x14ac:dyDescent="0.3">
      <c r="A172">
        <v>1171</v>
      </c>
      <c r="B172" t="s">
        <v>218</v>
      </c>
      <c r="C172" t="s">
        <v>18</v>
      </c>
      <c r="D172" t="s">
        <v>59</v>
      </c>
      <c r="E172" t="s">
        <v>187</v>
      </c>
      <c r="F172" t="s">
        <v>52</v>
      </c>
      <c r="G172">
        <v>2</v>
      </c>
      <c r="H172">
        <v>500</v>
      </c>
      <c r="I172">
        <v>8</v>
      </c>
      <c r="J172">
        <v>131069</v>
      </c>
      <c r="K172">
        <v>11</v>
      </c>
      <c r="L172">
        <v>4</v>
      </c>
      <c r="M172" t="str">
        <f>VLOOKUP(Sales_Data!F172,Product_Master!$A$2:$D$11,2)</f>
        <v>Mouse</v>
      </c>
      <c r="N172" t="str">
        <f>VLOOKUP(F172,Product_Master!$A$2:$C$11,3)</f>
        <v>Accessories</v>
      </c>
      <c r="O172">
        <f>VLOOKUP(F172,Product_Master!$A$2:$D$11,4,FALSE)</f>
        <v>350</v>
      </c>
      <c r="P172">
        <f t="shared" si="20"/>
        <v>1000</v>
      </c>
      <c r="Q172">
        <f t="shared" si="21"/>
        <v>80</v>
      </c>
      <c r="R172">
        <f t="shared" si="22"/>
        <v>920</v>
      </c>
      <c r="S172">
        <f t="shared" si="23"/>
        <v>220</v>
      </c>
      <c r="T172" t="str">
        <f>_xlfn.CONCAT(Sales_Data!C172,"-",Sales_Data!E172,"-",Sales_Data!A172)</f>
        <v>North-C1041-1171</v>
      </c>
      <c r="U172" t="str">
        <f t="shared" si="24"/>
        <v>Regular</v>
      </c>
      <c r="V172" t="str" cm="1">
        <f t="array" ref="V172">_xlfn.IFS(R172&gt;=100000,"Excellent",R172&gt;=50000,"Good",R172&gt;=20000,"Average",TRUE,"Poor")</f>
        <v>Poor</v>
      </c>
      <c r="W172">
        <f t="shared" si="25"/>
        <v>3</v>
      </c>
      <c r="X172" t="str">
        <f t="shared" si="26"/>
        <v>July</v>
      </c>
      <c r="Y172">
        <f>HLOOKUP("Q"&amp;W172,Bonus_HLookup!$A$1:$E$2,2,FALSE)</f>
        <v>0.06</v>
      </c>
      <c r="Z172">
        <f t="shared" si="27"/>
        <v>57670.36</v>
      </c>
      <c r="AA172" s="1">
        <f t="shared" si="28"/>
        <v>3387.5468031605087</v>
      </c>
      <c r="AB172">
        <f t="shared" si="29"/>
        <v>971</v>
      </c>
    </row>
    <row r="173" spans="1:28" x14ac:dyDescent="0.3">
      <c r="A173">
        <v>1172</v>
      </c>
      <c r="B173" t="s">
        <v>219</v>
      </c>
      <c r="C173" t="s">
        <v>13</v>
      </c>
      <c r="D173" t="s">
        <v>59</v>
      </c>
      <c r="E173" t="s">
        <v>34</v>
      </c>
      <c r="F173" t="s">
        <v>28</v>
      </c>
      <c r="G173">
        <v>5</v>
      </c>
      <c r="H173">
        <v>950</v>
      </c>
      <c r="I173">
        <v>12</v>
      </c>
      <c r="J173">
        <v>435340</v>
      </c>
      <c r="K173">
        <v>11</v>
      </c>
      <c r="L173">
        <v>1</v>
      </c>
      <c r="M173" t="str">
        <f>VLOOKUP(Sales_Data!F173,Product_Master!$A$2:$D$11,2)</f>
        <v>Webcam</v>
      </c>
      <c r="N173" t="str">
        <f>VLOOKUP(F173,Product_Master!$A$2:$C$11,3)</f>
        <v>Accessories</v>
      </c>
      <c r="O173">
        <f>VLOOKUP(F173,Product_Master!$A$2:$D$11,4,FALSE)</f>
        <v>700</v>
      </c>
      <c r="P173">
        <f t="shared" si="20"/>
        <v>4750</v>
      </c>
      <c r="Q173">
        <f t="shared" si="21"/>
        <v>570</v>
      </c>
      <c r="R173">
        <f t="shared" si="22"/>
        <v>4180</v>
      </c>
      <c r="S173">
        <f t="shared" si="23"/>
        <v>680</v>
      </c>
      <c r="T173" t="str">
        <f>_xlfn.CONCAT(Sales_Data!C173,"-",Sales_Data!E173,"-",Sales_Data!A173)</f>
        <v>West-C1036-1172</v>
      </c>
      <c r="U173" t="str">
        <f t="shared" si="24"/>
        <v>Regular</v>
      </c>
      <c r="V173" t="str" cm="1">
        <f t="array" ref="V173">_xlfn.IFS(R173&gt;=100000,"Excellent",R173&gt;=50000,"Good",R173&gt;=20000,"Average",TRUE,"Poor")</f>
        <v>Poor</v>
      </c>
      <c r="W173">
        <f t="shared" si="25"/>
        <v>3</v>
      </c>
      <c r="X173" t="str">
        <f t="shared" si="26"/>
        <v>September</v>
      </c>
      <c r="Y173">
        <f>HLOOKUP("Q"&amp;W173,Bonus_HLookup!$A$1:$E$2,2,FALSE)</f>
        <v>0.06</v>
      </c>
      <c r="Z173">
        <f t="shared" si="27"/>
        <v>47887.4</v>
      </c>
      <c r="AA173" s="1">
        <f t="shared" si="28"/>
        <v>38476.0712207951</v>
      </c>
      <c r="AB173">
        <f t="shared" si="29"/>
        <v>827</v>
      </c>
    </row>
    <row r="174" spans="1:28" x14ac:dyDescent="0.3">
      <c r="A174">
        <v>1173</v>
      </c>
      <c r="B174" t="s">
        <v>220</v>
      </c>
      <c r="C174" t="s">
        <v>13</v>
      </c>
      <c r="D174" t="s">
        <v>50</v>
      </c>
      <c r="E174" t="s">
        <v>196</v>
      </c>
      <c r="F174" t="s">
        <v>39</v>
      </c>
      <c r="G174">
        <v>10</v>
      </c>
      <c r="H174">
        <v>7000</v>
      </c>
      <c r="I174">
        <v>15</v>
      </c>
      <c r="J174">
        <v>124815</v>
      </c>
      <c r="K174">
        <v>8</v>
      </c>
      <c r="L174">
        <v>5</v>
      </c>
      <c r="M174" t="str">
        <f>VLOOKUP(Sales_Data!F174,Product_Master!$A$2:$D$11,2)</f>
        <v>Router</v>
      </c>
      <c r="N174" t="str">
        <f>VLOOKUP(F174,Product_Master!$A$2:$C$11,3)</f>
        <v>Electronics</v>
      </c>
      <c r="O174">
        <f>VLOOKUP(F174,Product_Master!$A$2:$D$11,4,FALSE)</f>
        <v>5000</v>
      </c>
      <c r="P174">
        <f t="shared" si="20"/>
        <v>70000</v>
      </c>
      <c r="Q174">
        <f t="shared" si="21"/>
        <v>10500</v>
      </c>
      <c r="R174">
        <f t="shared" si="22"/>
        <v>59500</v>
      </c>
      <c r="S174">
        <f t="shared" si="23"/>
        <v>9500</v>
      </c>
      <c r="T174" t="str">
        <f>_xlfn.CONCAT(Sales_Data!C174,"-",Sales_Data!E174,"-",Sales_Data!A174)</f>
        <v>West-C1032-1173</v>
      </c>
      <c r="U174" t="str">
        <f t="shared" si="24"/>
        <v>High Value</v>
      </c>
      <c r="V174" t="str" cm="1">
        <f t="array" ref="V174">_xlfn.IFS(R174&gt;=100000,"Excellent",R174&gt;=50000,"Good",R174&gt;=20000,"Average",TRUE,"Poor")</f>
        <v>Good</v>
      </c>
      <c r="W174">
        <f t="shared" si="25"/>
        <v>4</v>
      </c>
      <c r="X174" t="str">
        <f t="shared" si="26"/>
        <v>October</v>
      </c>
      <c r="Y174">
        <f>HLOOKUP("Q"&amp;W174,Bonus_HLookup!$A$1:$E$2,2,FALSE)</f>
        <v>0.08</v>
      </c>
      <c r="Z174">
        <f t="shared" si="27"/>
        <v>49926</v>
      </c>
      <c r="AA174" s="1">
        <f t="shared" si="28"/>
        <v>2530.7981531083533</v>
      </c>
      <c r="AB174">
        <f t="shared" si="29"/>
        <v>257</v>
      </c>
    </row>
    <row r="175" spans="1:28" x14ac:dyDescent="0.3">
      <c r="A175">
        <v>1174</v>
      </c>
      <c r="B175" t="s">
        <v>197</v>
      </c>
      <c r="C175" t="s">
        <v>13</v>
      </c>
      <c r="D175" t="s">
        <v>59</v>
      </c>
      <c r="E175" t="s">
        <v>131</v>
      </c>
      <c r="F175" t="s">
        <v>42</v>
      </c>
      <c r="G175">
        <v>2</v>
      </c>
      <c r="H175">
        <v>8000</v>
      </c>
      <c r="I175">
        <v>12</v>
      </c>
      <c r="J175">
        <v>300977</v>
      </c>
      <c r="K175">
        <v>9</v>
      </c>
      <c r="L175">
        <v>4</v>
      </c>
      <c r="M175" t="str">
        <f>VLOOKUP(Sales_Data!F175,Product_Master!$A$2:$D$11,2)</f>
        <v>Printer</v>
      </c>
      <c r="N175" t="str">
        <f>VLOOKUP(F175,Product_Master!$A$2:$C$11,3)</f>
        <v>Electronics</v>
      </c>
      <c r="O175">
        <f>VLOOKUP(F175,Product_Master!$A$2:$D$11,4,FALSE)</f>
        <v>6500</v>
      </c>
      <c r="P175">
        <f t="shared" si="20"/>
        <v>16000</v>
      </c>
      <c r="Q175">
        <f t="shared" si="21"/>
        <v>1920</v>
      </c>
      <c r="R175">
        <f t="shared" si="22"/>
        <v>14080</v>
      </c>
      <c r="S175">
        <f t="shared" si="23"/>
        <v>1080</v>
      </c>
      <c r="T175" t="str">
        <f>_xlfn.CONCAT(Sales_Data!C175,"-",Sales_Data!E175,"-",Sales_Data!A175)</f>
        <v>West-C1047-1174</v>
      </c>
      <c r="U175" t="str">
        <f t="shared" si="24"/>
        <v>Regular</v>
      </c>
      <c r="V175" t="str" cm="1">
        <f t="array" ref="V175">_xlfn.IFS(R175&gt;=100000,"Excellent",R175&gt;=50000,"Good",R175&gt;=20000,"Average",TRUE,"Poor")</f>
        <v>Poor</v>
      </c>
      <c r="W175">
        <f t="shared" si="25"/>
        <v>1</v>
      </c>
      <c r="X175" t="str">
        <f t="shared" si="26"/>
        <v>February</v>
      </c>
      <c r="Y175">
        <f>HLOOKUP("Q"&amp;W175,Bonus_HLookup!$A$1:$E$2,2,FALSE)</f>
        <v>0.02</v>
      </c>
      <c r="Z175">
        <f t="shared" si="27"/>
        <v>108351.72</v>
      </c>
      <c r="AA175" s="1">
        <f t="shared" si="28"/>
        <v>7489.8253985795964</v>
      </c>
      <c r="AB175">
        <f t="shared" si="29"/>
        <v>537</v>
      </c>
    </row>
    <row r="176" spans="1:28" x14ac:dyDescent="0.3">
      <c r="A176">
        <v>1175</v>
      </c>
      <c r="B176" t="s">
        <v>221</v>
      </c>
      <c r="C176" t="s">
        <v>18</v>
      </c>
      <c r="D176" t="s">
        <v>46</v>
      </c>
      <c r="E176" t="s">
        <v>63</v>
      </c>
      <c r="F176" t="s">
        <v>36</v>
      </c>
      <c r="G176">
        <v>5</v>
      </c>
      <c r="H176">
        <v>55000</v>
      </c>
      <c r="I176">
        <v>10</v>
      </c>
      <c r="J176">
        <v>451007</v>
      </c>
      <c r="K176">
        <v>10</v>
      </c>
      <c r="L176">
        <v>2</v>
      </c>
      <c r="M176" t="str">
        <f>VLOOKUP(Sales_Data!F176,Product_Master!$A$2:$D$11,2)</f>
        <v>Laptop</v>
      </c>
      <c r="N176" t="str">
        <f>VLOOKUP(F176,Product_Master!$A$2:$C$11,3)</f>
        <v>Electronics</v>
      </c>
      <c r="O176">
        <f>VLOOKUP(F176,Product_Master!$A$2:$D$11,4,FALSE)</f>
        <v>45000</v>
      </c>
      <c r="P176">
        <f t="shared" si="20"/>
        <v>275000</v>
      </c>
      <c r="Q176">
        <f t="shared" si="21"/>
        <v>27500</v>
      </c>
      <c r="R176">
        <f t="shared" si="22"/>
        <v>247500</v>
      </c>
      <c r="S176">
        <f t="shared" si="23"/>
        <v>22500</v>
      </c>
      <c r="T176" t="str">
        <f>_xlfn.CONCAT(Sales_Data!C176,"-",Sales_Data!E176,"-",Sales_Data!A176)</f>
        <v>North-C1035-1175</v>
      </c>
      <c r="U176" t="str">
        <f t="shared" si="24"/>
        <v>High Value</v>
      </c>
      <c r="V176" t="str" cm="1">
        <f t="array" ref="V176">_xlfn.IFS(R176&gt;=100000,"Excellent",R176&gt;=50000,"Good",R176&gt;=20000,"Average",TRUE,"Poor")</f>
        <v>Excellent</v>
      </c>
      <c r="W176">
        <f t="shared" si="25"/>
        <v>3</v>
      </c>
      <c r="X176" t="str">
        <f t="shared" si="26"/>
        <v>August</v>
      </c>
      <c r="Y176">
        <f>HLOOKUP("Q"&amp;W176,Bonus_HLookup!$A$1:$E$2,2,FALSE)</f>
        <v>0.06</v>
      </c>
      <c r="Z176">
        <f t="shared" si="27"/>
        <v>90201.4</v>
      </c>
      <c r="AA176" s="1">
        <f t="shared" si="28"/>
        <v>20811.684792704305</v>
      </c>
      <c r="AB176">
        <f t="shared" si="29"/>
        <v>81</v>
      </c>
    </row>
    <row r="177" spans="1:28" x14ac:dyDescent="0.3">
      <c r="A177">
        <v>1176</v>
      </c>
      <c r="B177" t="s">
        <v>222</v>
      </c>
      <c r="C177" t="s">
        <v>13</v>
      </c>
      <c r="D177" t="s">
        <v>50</v>
      </c>
      <c r="E177" t="s">
        <v>203</v>
      </c>
      <c r="F177" t="s">
        <v>25</v>
      </c>
      <c r="G177">
        <v>4</v>
      </c>
      <c r="H177">
        <v>1500</v>
      </c>
      <c r="I177">
        <v>8</v>
      </c>
      <c r="J177">
        <v>280728</v>
      </c>
      <c r="K177">
        <v>10</v>
      </c>
      <c r="L177">
        <v>3</v>
      </c>
      <c r="M177" t="str">
        <f>VLOOKUP(Sales_Data!F177,Product_Master!$A$2:$D$11,2)</f>
        <v>Keyboard</v>
      </c>
      <c r="N177" t="str">
        <f>VLOOKUP(F177,Product_Master!$A$2:$C$11,3)</f>
        <v>Accessories</v>
      </c>
      <c r="O177">
        <f>VLOOKUP(F177,Product_Master!$A$2:$D$11,4,FALSE)</f>
        <v>1200</v>
      </c>
      <c r="P177">
        <f t="shared" si="20"/>
        <v>6000</v>
      </c>
      <c r="Q177">
        <f t="shared" si="21"/>
        <v>480</v>
      </c>
      <c r="R177">
        <f t="shared" si="22"/>
        <v>5520</v>
      </c>
      <c r="S177">
        <f t="shared" si="23"/>
        <v>720</v>
      </c>
      <c r="T177" t="str">
        <f>_xlfn.CONCAT(Sales_Data!C177,"-",Sales_Data!E177,"-",Sales_Data!A177)</f>
        <v>West-C1037-1176</v>
      </c>
      <c r="U177" t="str">
        <f t="shared" si="24"/>
        <v>Regular</v>
      </c>
      <c r="V177" t="str" cm="1">
        <f t="array" ref="V177">_xlfn.IFS(R177&gt;=100000,"Excellent",R177&gt;=50000,"Good",R177&gt;=20000,"Average",TRUE,"Poor")</f>
        <v>Poor</v>
      </c>
      <c r="W177">
        <f t="shared" si="25"/>
        <v>2</v>
      </c>
      <c r="X177" t="str">
        <f t="shared" si="26"/>
        <v>June</v>
      </c>
      <c r="Y177">
        <f>HLOOKUP("Q"&amp;W177,Bonus_HLookup!$A$1:$E$2,2,FALSE)</f>
        <v>0.04</v>
      </c>
      <c r="Z177">
        <f t="shared" si="27"/>
        <v>84218.4</v>
      </c>
      <c r="AA177" s="1">
        <f t="shared" si="28"/>
        <v>9058.3029265516088</v>
      </c>
      <c r="AB177">
        <f t="shared" si="29"/>
        <v>771</v>
      </c>
    </row>
    <row r="178" spans="1:28" x14ac:dyDescent="0.3">
      <c r="A178">
        <v>1177</v>
      </c>
      <c r="B178" t="s">
        <v>223</v>
      </c>
      <c r="C178" t="s">
        <v>13</v>
      </c>
      <c r="D178" t="s">
        <v>50</v>
      </c>
      <c r="E178" t="s">
        <v>128</v>
      </c>
      <c r="F178" t="s">
        <v>42</v>
      </c>
      <c r="G178">
        <v>5</v>
      </c>
      <c r="H178">
        <v>8000</v>
      </c>
      <c r="I178">
        <v>10</v>
      </c>
      <c r="J178">
        <v>163199</v>
      </c>
      <c r="K178">
        <v>9</v>
      </c>
      <c r="L178">
        <v>5</v>
      </c>
      <c r="M178" t="str">
        <f>VLOOKUP(Sales_Data!F178,Product_Master!$A$2:$D$11,2)</f>
        <v>Printer</v>
      </c>
      <c r="N178" t="str">
        <f>VLOOKUP(F178,Product_Master!$A$2:$C$11,3)</f>
        <v>Electronics</v>
      </c>
      <c r="O178">
        <f>VLOOKUP(F178,Product_Master!$A$2:$D$11,4,FALSE)</f>
        <v>6500</v>
      </c>
      <c r="P178">
        <f t="shared" si="20"/>
        <v>40000</v>
      </c>
      <c r="Q178">
        <f t="shared" si="21"/>
        <v>4000</v>
      </c>
      <c r="R178">
        <f t="shared" si="22"/>
        <v>36000</v>
      </c>
      <c r="S178">
        <f t="shared" si="23"/>
        <v>3500</v>
      </c>
      <c r="T178" t="str">
        <f>_xlfn.CONCAT(Sales_Data!C178,"-",Sales_Data!E178,"-",Sales_Data!A178)</f>
        <v>West-C1013-1177</v>
      </c>
      <c r="U178" t="str">
        <f t="shared" si="24"/>
        <v>Regular</v>
      </c>
      <c r="V178" t="str" cm="1">
        <f t="array" ref="V178">_xlfn.IFS(R178&gt;=100000,"Excellent",R178&gt;=50000,"Good",R178&gt;=20000,"Average",TRUE,"Poor")</f>
        <v>Average</v>
      </c>
      <c r="W178">
        <f t="shared" si="25"/>
        <v>2</v>
      </c>
      <c r="X178" t="str">
        <f t="shared" si="26"/>
        <v>April</v>
      </c>
      <c r="Y178">
        <f>HLOOKUP("Q"&amp;W178,Bonus_HLookup!$A$1:$E$2,2,FALSE)</f>
        <v>0.04</v>
      </c>
      <c r="Z178">
        <f t="shared" si="27"/>
        <v>73439.55</v>
      </c>
      <c r="AA178" s="1">
        <f t="shared" si="28"/>
        <v>3387.7428145857475</v>
      </c>
      <c r="AB178">
        <f t="shared" si="29"/>
        <v>344</v>
      </c>
    </row>
    <row r="179" spans="1:28" x14ac:dyDescent="0.3">
      <c r="A179">
        <v>1178</v>
      </c>
      <c r="B179" t="s">
        <v>224</v>
      </c>
      <c r="C179" t="s">
        <v>13</v>
      </c>
      <c r="D179" t="s">
        <v>59</v>
      </c>
      <c r="E179" t="s">
        <v>183</v>
      </c>
      <c r="F179" t="s">
        <v>36</v>
      </c>
      <c r="G179">
        <v>1</v>
      </c>
      <c r="H179">
        <v>55000</v>
      </c>
      <c r="I179">
        <v>0</v>
      </c>
      <c r="J179">
        <v>180510</v>
      </c>
      <c r="K179">
        <v>8</v>
      </c>
      <c r="L179">
        <v>1</v>
      </c>
      <c r="M179" t="str">
        <f>VLOOKUP(Sales_Data!F179,Product_Master!$A$2:$D$11,2)</f>
        <v>Laptop</v>
      </c>
      <c r="N179" t="str">
        <f>VLOOKUP(F179,Product_Master!$A$2:$C$11,3)</f>
        <v>Electronics</v>
      </c>
      <c r="O179">
        <f>VLOOKUP(F179,Product_Master!$A$2:$D$11,4,FALSE)</f>
        <v>45000</v>
      </c>
      <c r="P179">
        <f t="shared" si="20"/>
        <v>55000</v>
      </c>
      <c r="Q179">
        <f t="shared" si="21"/>
        <v>0</v>
      </c>
      <c r="R179">
        <f t="shared" si="22"/>
        <v>55000</v>
      </c>
      <c r="S179">
        <f t="shared" si="23"/>
        <v>10000</v>
      </c>
      <c r="T179" t="str">
        <f>_xlfn.CONCAT(Sales_Data!C179,"-",Sales_Data!E179,"-",Sales_Data!A179)</f>
        <v>West-C1008-1178</v>
      </c>
      <c r="U179" t="str">
        <f t="shared" si="24"/>
        <v>High Value</v>
      </c>
      <c r="V179" t="str" cm="1">
        <f t="array" ref="V179">_xlfn.IFS(R179&gt;=100000,"Excellent",R179&gt;=50000,"Good",R179&gt;=20000,"Average",TRUE,"Poor")</f>
        <v>Good</v>
      </c>
      <c r="W179">
        <f t="shared" si="25"/>
        <v>4</v>
      </c>
      <c r="X179" t="str">
        <f t="shared" si="26"/>
        <v>November</v>
      </c>
      <c r="Y179">
        <f>HLOOKUP("Q"&amp;W179,Bonus_HLookup!$A$1:$E$2,2,FALSE)</f>
        <v>0.08</v>
      </c>
      <c r="Z179">
        <f t="shared" si="27"/>
        <v>14440.8</v>
      </c>
      <c r="AA179" s="1">
        <f t="shared" si="28"/>
        <v>15702.281334209356</v>
      </c>
      <c r="AB179">
        <f t="shared" si="29"/>
        <v>271</v>
      </c>
    </row>
    <row r="180" spans="1:28" x14ac:dyDescent="0.3">
      <c r="A180">
        <v>1179</v>
      </c>
      <c r="B180" t="s">
        <v>188</v>
      </c>
      <c r="C180" t="s">
        <v>62</v>
      </c>
      <c r="D180" t="s">
        <v>33</v>
      </c>
      <c r="E180" t="s">
        <v>60</v>
      </c>
      <c r="F180" t="s">
        <v>16</v>
      </c>
      <c r="G180">
        <v>8</v>
      </c>
      <c r="H180">
        <v>2500</v>
      </c>
      <c r="I180">
        <v>12</v>
      </c>
      <c r="J180">
        <v>217786</v>
      </c>
      <c r="K180">
        <v>12</v>
      </c>
      <c r="L180">
        <v>4</v>
      </c>
      <c r="M180" t="str">
        <f>VLOOKUP(Sales_Data!F180,Product_Master!$A$2:$D$11,2)</f>
        <v>Speaker</v>
      </c>
      <c r="N180" t="str">
        <f>VLOOKUP(F180,Product_Master!$A$2:$C$11,3)</f>
        <v>Accessories</v>
      </c>
      <c r="O180">
        <f>VLOOKUP(F180,Product_Master!$A$2:$D$11,4,FALSE)</f>
        <v>1800</v>
      </c>
      <c r="P180">
        <f t="shared" si="20"/>
        <v>20000</v>
      </c>
      <c r="Q180">
        <f t="shared" si="21"/>
        <v>2400</v>
      </c>
      <c r="R180">
        <f t="shared" si="22"/>
        <v>17600</v>
      </c>
      <c r="S180">
        <f t="shared" si="23"/>
        <v>3200</v>
      </c>
      <c r="T180" t="str">
        <f>_xlfn.CONCAT(Sales_Data!C180,"-",Sales_Data!E180,"-",Sales_Data!A180)</f>
        <v>East-C1018-1179</v>
      </c>
      <c r="U180" t="str">
        <f t="shared" si="24"/>
        <v>Regular</v>
      </c>
      <c r="V180" t="str" cm="1">
        <f t="array" ref="V180">_xlfn.IFS(R180&gt;=100000,"Excellent",R180&gt;=50000,"Good",R180&gt;=20000,"Average",TRUE,"Poor")</f>
        <v>Poor</v>
      </c>
      <c r="W180">
        <f t="shared" si="25"/>
        <v>4</v>
      </c>
      <c r="X180" t="str">
        <f t="shared" si="26"/>
        <v>November</v>
      </c>
      <c r="Y180">
        <f>HLOOKUP("Q"&amp;W180,Bonus_HLookup!$A$1:$E$2,2,FALSE)</f>
        <v>0.08</v>
      </c>
      <c r="Z180">
        <f t="shared" si="27"/>
        <v>104537.28</v>
      </c>
      <c r="AA180" s="1">
        <f t="shared" si="28"/>
        <v>5735.140683377821</v>
      </c>
      <c r="AB180">
        <f t="shared" si="29"/>
        <v>491</v>
      </c>
    </row>
    <row r="181" spans="1:28" x14ac:dyDescent="0.3">
      <c r="A181">
        <v>1180</v>
      </c>
      <c r="B181" t="s">
        <v>119</v>
      </c>
      <c r="C181" t="s">
        <v>62</v>
      </c>
      <c r="D181" t="s">
        <v>23</v>
      </c>
      <c r="E181" t="s">
        <v>44</v>
      </c>
      <c r="F181" t="s">
        <v>25</v>
      </c>
      <c r="G181">
        <v>1</v>
      </c>
      <c r="H181">
        <v>1500</v>
      </c>
      <c r="I181">
        <v>2</v>
      </c>
      <c r="J181">
        <v>310296</v>
      </c>
      <c r="K181">
        <v>12</v>
      </c>
      <c r="L181">
        <v>3</v>
      </c>
      <c r="M181" t="str">
        <f>VLOOKUP(Sales_Data!F181,Product_Master!$A$2:$D$11,2)</f>
        <v>Keyboard</v>
      </c>
      <c r="N181" t="str">
        <f>VLOOKUP(F181,Product_Master!$A$2:$C$11,3)</f>
        <v>Accessories</v>
      </c>
      <c r="O181">
        <f>VLOOKUP(F181,Product_Master!$A$2:$D$11,4,FALSE)</f>
        <v>1200</v>
      </c>
      <c r="P181">
        <f t="shared" si="20"/>
        <v>1500</v>
      </c>
      <c r="Q181">
        <f t="shared" si="21"/>
        <v>30</v>
      </c>
      <c r="R181">
        <f t="shared" si="22"/>
        <v>1470</v>
      </c>
      <c r="S181">
        <f t="shared" si="23"/>
        <v>270</v>
      </c>
      <c r="T181" t="str">
        <f>_xlfn.CONCAT(Sales_Data!C181,"-",Sales_Data!E181,"-",Sales_Data!A181)</f>
        <v>East-C1028-1180</v>
      </c>
      <c r="U181" t="str">
        <f t="shared" si="24"/>
        <v>Regular</v>
      </c>
      <c r="V181" t="str" cm="1">
        <f t="array" ref="V181">_xlfn.IFS(R181&gt;=100000,"Excellent",R181&gt;=50000,"Good",R181&gt;=20000,"Average",TRUE,"Poor")</f>
        <v>Poor</v>
      </c>
      <c r="W181">
        <f t="shared" si="25"/>
        <v>1</v>
      </c>
      <c r="X181" t="str">
        <f t="shared" si="26"/>
        <v>January</v>
      </c>
      <c r="Y181">
        <f>HLOOKUP("Q"&amp;W181,Bonus_HLookup!$A$1:$E$2,2,FALSE)</f>
        <v>0.02</v>
      </c>
      <c r="Z181">
        <f t="shared" si="27"/>
        <v>111706.56</v>
      </c>
      <c r="AA181" s="1">
        <f t="shared" si="28"/>
        <v>10306.267477688472</v>
      </c>
      <c r="AB181">
        <f t="shared" si="29"/>
        <v>950</v>
      </c>
    </row>
    <row r="182" spans="1:28" x14ac:dyDescent="0.3">
      <c r="A182">
        <v>1181</v>
      </c>
      <c r="B182" t="s">
        <v>225</v>
      </c>
      <c r="C182" t="s">
        <v>30</v>
      </c>
      <c r="D182" t="s">
        <v>23</v>
      </c>
      <c r="E182" t="s">
        <v>146</v>
      </c>
      <c r="F182" t="s">
        <v>69</v>
      </c>
      <c r="G182">
        <v>10</v>
      </c>
      <c r="H182">
        <v>2000</v>
      </c>
      <c r="I182">
        <v>8</v>
      </c>
      <c r="J182">
        <v>268680</v>
      </c>
      <c r="K182">
        <v>9</v>
      </c>
      <c r="L182">
        <v>1</v>
      </c>
      <c r="M182" t="str">
        <f>VLOOKUP(Sales_Data!F182,Product_Master!$A$2:$D$11,2)</f>
        <v>Headset</v>
      </c>
      <c r="N182" t="str">
        <f>VLOOKUP(F182,Product_Master!$A$2:$C$11,3)</f>
        <v>Accessories</v>
      </c>
      <c r="O182">
        <f>VLOOKUP(F182,Product_Master!$A$2:$D$11,4,FALSE)</f>
        <v>1500</v>
      </c>
      <c r="P182">
        <f t="shared" si="20"/>
        <v>20000</v>
      </c>
      <c r="Q182">
        <f t="shared" si="21"/>
        <v>1600</v>
      </c>
      <c r="R182">
        <f t="shared" si="22"/>
        <v>18400</v>
      </c>
      <c r="S182">
        <f t="shared" si="23"/>
        <v>3400</v>
      </c>
      <c r="T182" t="str">
        <f>_xlfn.CONCAT(Sales_Data!C182,"-",Sales_Data!E182,"-",Sales_Data!A182)</f>
        <v>South-C1017-1181</v>
      </c>
      <c r="U182" t="str">
        <f t="shared" si="24"/>
        <v>Regular</v>
      </c>
      <c r="V182" t="str" cm="1">
        <f t="array" ref="V182">_xlfn.IFS(R182&gt;=100000,"Excellent",R182&gt;=50000,"Good",R182&gt;=20000,"Average",TRUE,"Poor")</f>
        <v>Poor</v>
      </c>
      <c r="W182">
        <f t="shared" si="25"/>
        <v>3</v>
      </c>
      <c r="X182" t="str">
        <f t="shared" si="26"/>
        <v>September</v>
      </c>
      <c r="Y182">
        <f>HLOOKUP("Q"&amp;W182,Bonus_HLookup!$A$1:$E$2,2,FALSE)</f>
        <v>0.06</v>
      </c>
      <c r="Z182">
        <f t="shared" si="27"/>
        <v>24181.200000000001</v>
      </c>
      <c r="AA182" s="1">
        <f t="shared" si="28"/>
        <v>23496.462778542489</v>
      </c>
      <c r="AB182">
        <f t="shared" si="29"/>
        <v>473</v>
      </c>
    </row>
    <row r="183" spans="1:28" x14ac:dyDescent="0.3">
      <c r="A183">
        <v>1182</v>
      </c>
      <c r="B183" t="s">
        <v>178</v>
      </c>
      <c r="C183" t="s">
        <v>62</v>
      </c>
      <c r="D183" t="s">
        <v>33</v>
      </c>
      <c r="E183" t="s">
        <v>106</v>
      </c>
      <c r="F183" t="s">
        <v>21</v>
      </c>
      <c r="G183">
        <v>9</v>
      </c>
      <c r="H183">
        <v>12000</v>
      </c>
      <c r="I183">
        <v>10</v>
      </c>
      <c r="J183">
        <v>238181</v>
      </c>
      <c r="K183">
        <v>7</v>
      </c>
      <c r="L183">
        <v>3</v>
      </c>
      <c r="M183" t="str">
        <f>VLOOKUP(Sales_Data!F183,Product_Master!$A$2:$D$11,2)</f>
        <v>Monitor</v>
      </c>
      <c r="N183" t="str">
        <f>VLOOKUP(F183,Product_Master!$A$2:$C$11,3)</f>
        <v>Electronics</v>
      </c>
      <c r="O183">
        <f>VLOOKUP(F183,Product_Master!$A$2:$D$11,4,FALSE)</f>
        <v>9000</v>
      </c>
      <c r="P183">
        <f t="shared" si="20"/>
        <v>108000</v>
      </c>
      <c r="Q183">
        <f t="shared" si="21"/>
        <v>10800</v>
      </c>
      <c r="R183">
        <f t="shared" si="22"/>
        <v>97200</v>
      </c>
      <c r="S183">
        <f t="shared" si="23"/>
        <v>16200</v>
      </c>
      <c r="T183" t="str">
        <f>_xlfn.CONCAT(Sales_Data!C183,"-",Sales_Data!E183,"-",Sales_Data!A183)</f>
        <v>East-C1004-1182</v>
      </c>
      <c r="U183" t="str">
        <f t="shared" si="24"/>
        <v>High Value</v>
      </c>
      <c r="V183" t="str" cm="1">
        <f t="array" ref="V183">_xlfn.IFS(R183&gt;=100000,"Excellent",R183&gt;=50000,"Good",R183&gt;=20000,"Average",TRUE,"Poor")</f>
        <v>Good</v>
      </c>
      <c r="W183">
        <f t="shared" si="25"/>
        <v>2</v>
      </c>
      <c r="X183" t="str">
        <f t="shared" si="26"/>
        <v>June</v>
      </c>
      <c r="Y183">
        <f>HLOOKUP("Q"&amp;W183,Bonus_HLookup!$A$1:$E$2,2,FALSE)</f>
        <v>0.04</v>
      </c>
      <c r="Z183">
        <f t="shared" si="27"/>
        <v>50018.01</v>
      </c>
      <c r="AA183" s="1">
        <f t="shared" si="28"/>
        <v>7354.3378084911537</v>
      </c>
      <c r="AB183">
        <f t="shared" si="29"/>
        <v>169</v>
      </c>
    </row>
    <row r="184" spans="1:28" x14ac:dyDescent="0.3">
      <c r="A184">
        <v>1183</v>
      </c>
      <c r="B184" t="s">
        <v>226</v>
      </c>
      <c r="C184" t="s">
        <v>62</v>
      </c>
      <c r="D184" t="s">
        <v>14</v>
      </c>
      <c r="E184" t="s">
        <v>38</v>
      </c>
      <c r="F184" t="s">
        <v>28</v>
      </c>
      <c r="G184">
        <v>6</v>
      </c>
      <c r="H184">
        <v>950</v>
      </c>
      <c r="I184">
        <v>12</v>
      </c>
      <c r="J184">
        <v>340270</v>
      </c>
      <c r="K184">
        <v>11</v>
      </c>
      <c r="L184">
        <v>5</v>
      </c>
      <c r="M184" t="str">
        <f>VLOOKUP(Sales_Data!F184,Product_Master!$A$2:$D$11,2)</f>
        <v>Webcam</v>
      </c>
      <c r="N184" t="str">
        <f>VLOOKUP(F184,Product_Master!$A$2:$C$11,3)</f>
        <v>Accessories</v>
      </c>
      <c r="O184">
        <f>VLOOKUP(F184,Product_Master!$A$2:$D$11,4,FALSE)</f>
        <v>700</v>
      </c>
      <c r="P184">
        <f t="shared" si="20"/>
        <v>5700</v>
      </c>
      <c r="Q184">
        <f t="shared" si="21"/>
        <v>684</v>
      </c>
      <c r="R184">
        <f t="shared" si="22"/>
        <v>5016</v>
      </c>
      <c r="S184">
        <f t="shared" si="23"/>
        <v>816</v>
      </c>
      <c r="T184" t="str">
        <f>_xlfn.CONCAT(Sales_Data!C184,"-",Sales_Data!E184,"-",Sales_Data!A184)</f>
        <v>East-C1009-1183</v>
      </c>
      <c r="U184" t="str">
        <f t="shared" si="24"/>
        <v>Regular</v>
      </c>
      <c r="V184" t="str" cm="1">
        <f t="array" ref="V184">_xlfn.IFS(R184&gt;=100000,"Excellent",R184&gt;=50000,"Good",R184&gt;=20000,"Average",TRUE,"Poor")</f>
        <v>Poor</v>
      </c>
      <c r="W184">
        <f t="shared" si="25"/>
        <v>3</v>
      </c>
      <c r="X184" t="str">
        <f t="shared" si="26"/>
        <v>July</v>
      </c>
      <c r="Y184">
        <f>HLOOKUP("Q"&amp;W184,Bonus_HLookup!$A$1:$E$2,2,FALSE)</f>
        <v>0.06</v>
      </c>
      <c r="Z184">
        <f t="shared" si="27"/>
        <v>187148.5</v>
      </c>
      <c r="AA184" s="1">
        <f t="shared" si="28"/>
        <v>7398.2942989283392</v>
      </c>
      <c r="AB184">
        <f t="shared" si="29"/>
        <v>789</v>
      </c>
    </row>
    <row r="185" spans="1:28" x14ac:dyDescent="0.3">
      <c r="A185">
        <v>1184</v>
      </c>
      <c r="B185" t="s">
        <v>227</v>
      </c>
      <c r="C185" t="s">
        <v>62</v>
      </c>
      <c r="D185" t="s">
        <v>19</v>
      </c>
      <c r="E185" t="s">
        <v>44</v>
      </c>
      <c r="F185" t="s">
        <v>42</v>
      </c>
      <c r="G185">
        <v>4</v>
      </c>
      <c r="H185">
        <v>8000</v>
      </c>
      <c r="I185">
        <v>10</v>
      </c>
      <c r="J185">
        <v>118002</v>
      </c>
      <c r="K185">
        <v>8</v>
      </c>
      <c r="L185">
        <v>1</v>
      </c>
      <c r="M185" t="str">
        <f>VLOOKUP(Sales_Data!F185,Product_Master!$A$2:$D$11,2)</f>
        <v>Printer</v>
      </c>
      <c r="N185" t="str">
        <f>VLOOKUP(F185,Product_Master!$A$2:$C$11,3)</f>
        <v>Electronics</v>
      </c>
      <c r="O185">
        <f>VLOOKUP(F185,Product_Master!$A$2:$D$11,4,FALSE)</f>
        <v>6500</v>
      </c>
      <c r="P185">
        <f t="shared" si="20"/>
        <v>32000</v>
      </c>
      <c r="Q185">
        <f t="shared" si="21"/>
        <v>3200</v>
      </c>
      <c r="R185">
        <f t="shared" si="22"/>
        <v>28800</v>
      </c>
      <c r="S185">
        <f t="shared" si="23"/>
        <v>2800</v>
      </c>
      <c r="T185" t="str">
        <f>_xlfn.CONCAT(Sales_Data!C185,"-",Sales_Data!E185,"-",Sales_Data!A185)</f>
        <v>East-C1028-1184</v>
      </c>
      <c r="U185" t="str">
        <f t="shared" si="24"/>
        <v>Regular</v>
      </c>
      <c r="V185" t="str" cm="1">
        <f t="array" ref="V185">_xlfn.IFS(R185&gt;=100000,"Excellent",R185&gt;=50000,"Good",R185&gt;=20000,"Average",TRUE,"Poor")</f>
        <v>Average</v>
      </c>
      <c r="W185">
        <f t="shared" si="25"/>
        <v>2</v>
      </c>
      <c r="X185" t="str">
        <f t="shared" si="26"/>
        <v>May</v>
      </c>
      <c r="Y185">
        <f>HLOOKUP("Q"&amp;W185,Bonus_HLookup!$A$1:$E$2,2,FALSE)</f>
        <v>0.04</v>
      </c>
      <c r="Z185">
        <f t="shared" si="27"/>
        <v>9440.16</v>
      </c>
      <c r="AA185" s="1">
        <f t="shared" si="28"/>
        <v>10264.808608937858</v>
      </c>
      <c r="AB185">
        <f t="shared" si="29"/>
        <v>384</v>
      </c>
    </row>
    <row r="186" spans="1:28" x14ac:dyDescent="0.3">
      <c r="A186">
        <v>1185</v>
      </c>
      <c r="B186" t="s">
        <v>228</v>
      </c>
      <c r="C186" t="s">
        <v>62</v>
      </c>
      <c r="D186" t="s">
        <v>50</v>
      </c>
      <c r="E186" t="s">
        <v>106</v>
      </c>
      <c r="F186" t="s">
        <v>21</v>
      </c>
      <c r="G186">
        <v>10</v>
      </c>
      <c r="H186">
        <v>12000</v>
      </c>
      <c r="I186">
        <v>0</v>
      </c>
      <c r="J186">
        <v>76299</v>
      </c>
      <c r="K186">
        <v>11</v>
      </c>
      <c r="L186">
        <v>1</v>
      </c>
      <c r="M186" t="str">
        <f>VLOOKUP(Sales_Data!F186,Product_Master!$A$2:$D$11,2)</f>
        <v>Monitor</v>
      </c>
      <c r="N186" t="str">
        <f>VLOOKUP(F186,Product_Master!$A$2:$C$11,3)</f>
        <v>Electronics</v>
      </c>
      <c r="O186">
        <f>VLOOKUP(F186,Product_Master!$A$2:$D$11,4,FALSE)</f>
        <v>9000</v>
      </c>
      <c r="P186">
        <f t="shared" si="20"/>
        <v>120000</v>
      </c>
      <c r="Q186">
        <f t="shared" si="21"/>
        <v>0</v>
      </c>
      <c r="R186">
        <f t="shared" si="22"/>
        <v>120000</v>
      </c>
      <c r="S186">
        <f t="shared" si="23"/>
        <v>30000</v>
      </c>
      <c r="T186" t="str">
        <f>_xlfn.CONCAT(Sales_Data!C186,"-",Sales_Data!E186,"-",Sales_Data!A186)</f>
        <v>East-C1004-1185</v>
      </c>
      <c r="U186" t="str">
        <f t="shared" si="24"/>
        <v>High Value</v>
      </c>
      <c r="V186" t="str" cm="1">
        <f t="array" ref="V186">_xlfn.IFS(R186&gt;=100000,"Excellent",R186&gt;=50000,"Good",R186&gt;=20000,"Average",TRUE,"Poor")</f>
        <v>Excellent</v>
      </c>
      <c r="W186">
        <f t="shared" si="25"/>
        <v>3</v>
      </c>
      <c r="X186" t="str">
        <f t="shared" si="26"/>
        <v>August</v>
      </c>
      <c r="Y186">
        <f>HLOOKUP("Q"&amp;W186,Bonus_HLookup!$A$1:$E$2,2,FALSE)</f>
        <v>0.06</v>
      </c>
      <c r="Z186">
        <f t="shared" si="27"/>
        <v>8392.89</v>
      </c>
      <c r="AA186" s="1">
        <f t="shared" si="28"/>
        <v>6743.4321635398665</v>
      </c>
      <c r="AB186">
        <f t="shared" si="29"/>
        <v>143</v>
      </c>
    </row>
    <row r="187" spans="1:28" x14ac:dyDescent="0.3">
      <c r="A187">
        <v>1186</v>
      </c>
      <c r="B187" t="s">
        <v>26</v>
      </c>
      <c r="C187" t="s">
        <v>18</v>
      </c>
      <c r="D187" t="s">
        <v>91</v>
      </c>
      <c r="E187" t="s">
        <v>82</v>
      </c>
      <c r="F187" t="s">
        <v>74</v>
      </c>
      <c r="G187">
        <v>6</v>
      </c>
      <c r="H187">
        <v>35000</v>
      </c>
      <c r="I187">
        <v>8</v>
      </c>
      <c r="J187">
        <v>178945</v>
      </c>
      <c r="K187">
        <v>8</v>
      </c>
      <c r="L187">
        <v>3</v>
      </c>
      <c r="M187" t="str">
        <f>VLOOKUP(Sales_Data!F187,Product_Master!$A$2:$D$11,2)</f>
        <v>Tablet</v>
      </c>
      <c r="N187" t="str">
        <f>VLOOKUP(F187,Product_Master!$A$2:$C$11,3)</f>
        <v>Electronics</v>
      </c>
      <c r="O187">
        <f>VLOOKUP(F187,Product_Master!$A$2:$D$11,4,FALSE)</f>
        <v>29000</v>
      </c>
      <c r="P187">
        <f t="shared" si="20"/>
        <v>210000</v>
      </c>
      <c r="Q187">
        <f t="shared" si="21"/>
        <v>16800</v>
      </c>
      <c r="R187">
        <f t="shared" si="22"/>
        <v>193200</v>
      </c>
      <c r="S187">
        <f t="shared" si="23"/>
        <v>19200</v>
      </c>
      <c r="T187" t="str">
        <f>_xlfn.CONCAT(Sales_Data!C187,"-",Sales_Data!E187,"-",Sales_Data!A187)</f>
        <v>North-C1045-1186</v>
      </c>
      <c r="U187" t="str">
        <f t="shared" si="24"/>
        <v>High Value</v>
      </c>
      <c r="V187" t="str" cm="1">
        <f t="array" ref="V187">_xlfn.IFS(R187&gt;=100000,"Excellent",R187&gt;=50000,"Good",R187&gt;=20000,"Average",TRUE,"Poor")</f>
        <v>Excellent</v>
      </c>
      <c r="W187">
        <f t="shared" si="25"/>
        <v>2</v>
      </c>
      <c r="X187" t="str">
        <f t="shared" si="26"/>
        <v>June</v>
      </c>
      <c r="Y187">
        <f>HLOOKUP("Q"&amp;W187,Bonus_HLookup!$A$1:$E$2,2,FALSE)</f>
        <v>0.04</v>
      </c>
      <c r="Z187">
        <f t="shared" si="27"/>
        <v>42946.8</v>
      </c>
      <c r="AA187" s="1">
        <f t="shared" si="28"/>
        <v>5607.4859174957437</v>
      </c>
      <c r="AB187">
        <f t="shared" si="29"/>
        <v>111</v>
      </c>
    </row>
    <row r="188" spans="1:28" x14ac:dyDescent="0.3">
      <c r="A188">
        <v>1187</v>
      </c>
      <c r="B188" t="s">
        <v>130</v>
      </c>
      <c r="C188" t="s">
        <v>62</v>
      </c>
      <c r="D188" t="s">
        <v>91</v>
      </c>
      <c r="E188" t="s">
        <v>189</v>
      </c>
      <c r="F188" t="s">
        <v>21</v>
      </c>
      <c r="G188">
        <v>6</v>
      </c>
      <c r="H188">
        <v>12000</v>
      </c>
      <c r="I188">
        <v>0</v>
      </c>
      <c r="J188">
        <v>406391</v>
      </c>
      <c r="K188">
        <v>8</v>
      </c>
      <c r="L188">
        <v>3</v>
      </c>
      <c r="M188" t="str">
        <f>VLOOKUP(Sales_Data!F188,Product_Master!$A$2:$D$11,2)</f>
        <v>Monitor</v>
      </c>
      <c r="N188" t="str">
        <f>VLOOKUP(F188,Product_Master!$A$2:$C$11,3)</f>
        <v>Electronics</v>
      </c>
      <c r="O188">
        <f>VLOOKUP(F188,Product_Master!$A$2:$D$11,4,FALSE)</f>
        <v>9000</v>
      </c>
      <c r="P188">
        <f t="shared" si="20"/>
        <v>72000</v>
      </c>
      <c r="Q188">
        <f t="shared" si="21"/>
        <v>0</v>
      </c>
      <c r="R188">
        <f t="shared" si="22"/>
        <v>72000</v>
      </c>
      <c r="S188">
        <f t="shared" si="23"/>
        <v>18000</v>
      </c>
      <c r="T188" t="str">
        <f>_xlfn.CONCAT(Sales_Data!C188,"-",Sales_Data!E188,"-",Sales_Data!A188)</f>
        <v>East-C1015-1187</v>
      </c>
      <c r="U188" t="str">
        <f t="shared" si="24"/>
        <v>High Value</v>
      </c>
      <c r="V188" t="str" cm="1">
        <f t="array" ref="V188">_xlfn.IFS(R188&gt;=100000,"Excellent",R188&gt;=50000,"Good",R188&gt;=20000,"Average",TRUE,"Poor")</f>
        <v>Good</v>
      </c>
      <c r="W188">
        <f t="shared" si="25"/>
        <v>3</v>
      </c>
      <c r="X188" t="str">
        <f t="shared" si="26"/>
        <v>July</v>
      </c>
      <c r="Y188">
        <f>HLOOKUP("Q"&amp;W188,Bonus_HLookup!$A$1:$E$2,2,FALSE)</f>
        <v>0.06</v>
      </c>
      <c r="Z188">
        <f t="shared" si="27"/>
        <v>97533.84</v>
      </c>
      <c r="AA188" s="1">
        <f t="shared" si="28"/>
        <v>12734.816896236343</v>
      </c>
      <c r="AB188">
        <f t="shared" si="29"/>
        <v>210</v>
      </c>
    </row>
    <row r="189" spans="1:28" x14ac:dyDescent="0.3">
      <c r="A189">
        <v>1188</v>
      </c>
      <c r="B189" t="s">
        <v>229</v>
      </c>
      <c r="C189" t="s">
        <v>62</v>
      </c>
      <c r="D189" t="s">
        <v>19</v>
      </c>
      <c r="E189" t="s">
        <v>169</v>
      </c>
      <c r="F189" t="s">
        <v>39</v>
      </c>
      <c r="G189">
        <v>4</v>
      </c>
      <c r="H189">
        <v>7000</v>
      </c>
      <c r="I189">
        <v>5</v>
      </c>
      <c r="J189">
        <v>130708</v>
      </c>
      <c r="K189">
        <v>10</v>
      </c>
      <c r="L189">
        <v>5</v>
      </c>
      <c r="M189" t="str">
        <f>VLOOKUP(Sales_Data!F189,Product_Master!$A$2:$D$11,2)</f>
        <v>Router</v>
      </c>
      <c r="N189" t="str">
        <f>VLOOKUP(F189,Product_Master!$A$2:$C$11,3)</f>
        <v>Electronics</v>
      </c>
      <c r="O189">
        <f>VLOOKUP(F189,Product_Master!$A$2:$D$11,4,FALSE)</f>
        <v>5000</v>
      </c>
      <c r="P189">
        <f t="shared" si="20"/>
        <v>28000</v>
      </c>
      <c r="Q189">
        <f t="shared" si="21"/>
        <v>1400</v>
      </c>
      <c r="R189">
        <f t="shared" si="22"/>
        <v>26600</v>
      </c>
      <c r="S189">
        <f t="shared" si="23"/>
        <v>6600</v>
      </c>
      <c r="T189" t="str">
        <f>_xlfn.CONCAT(Sales_Data!C189,"-",Sales_Data!E189,"-",Sales_Data!A189)</f>
        <v>East-C1038-1188</v>
      </c>
      <c r="U189" t="str">
        <f t="shared" si="24"/>
        <v>Regular</v>
      </c>
      <c r="V189" t="str" cm="1">
        <f t="array" ref="V189">_xlfn.IFS(R189&gt;=100000,"Excellent",R189&gt;=50000,"Good",R189&gt;=20000,"Average",TRUE,"Poor")</f>
        <v>Average</v>
      </c>
      <c r="W189">
        <f t="shared" si="25"/>
        <v>1</v>
      </c>
      <c r="X189" t="str">
        <f t="shared" si="26"/>
        <v>January</v>
      </c>
      <c r="Y189">
        <f>HLOOKUP("Q"&amp;W189,Bonus_HLookup!$A$1:$E$2,2,FALSE)</f>
        <v>0.02</v>
      </c>
      <c r="Z189">
        <f t="shared" si="27"/>
        <v>65354</v>
      </c>
      <c r="AA189" s="1">
        <f t="shared" si="28"/>
        <v>2777.1587201204538</v>
      </c>
      <c r="AB189">
        <f t="shared" si="29"/>
        <v>391</v>
      </c>
    </row>
    <row r="190" spans="1:28" x14ac:dyDescent="0.3">
      <c r="A190">
        <v>1189</v>
      </c>
      <c r="B190" t="s">
        <v>212</v>
      </c>
      <c r="C190" t="s">
        <v>30</v>
      </c>
      <c r="D190" t="s">
        <v>50</v>
      </c>
      <c r="E190" t="s">
        <v>73</v>
      </c>
      <c r="F190" t="s">
        <v>16</v>
      </c>
      <c r="G190">
        <v>7</v>
      </c>
      <c r="H190">
        <v>2500</v>
      </c>
      <c r="I190">
        <v>5</v>
      </c>
      <c r="J190">
        <v>85870</v>
      </c>
      <c r="K190">
        <v>8</v>
      </c>
      <c r="L190">
        <v>5</v>
      </c>
      <c r="M190" t="str">
        <f>VLOOKUP(Sales_Data!F190,Product_Master!$A$2:$D$11,2)</f>
        <v>Speaker</v>
      </c>
      <c r="N190" t="str">
        <f>VLOOKUP(F190,Product_Master!$A$2:$C$11,3)</f>
        <v>Accessories</v>
      </c>
      <c r="O190">
        <f>VLOOKUP(F190,Product_Master!$A$2:$D$11,4,FALSE)</f>
        <v>1800</v>
      </c>
      <c r="P190">
        <f t="shared" si="20"/>
        <v>17500</v>
      </c>
      <c r="Q190">
        <f t="shared" si="21"/>
        <v>875</v>
      </c>
      <c r="R190">
        <f t="shared" si="22"/>
        <v>16625</v>
      </c>
      <c r="S190">
        <f t="shared" si="23"/>
        <v>4025</v>
      </c>
      <c r="T190" t="str">
        <f>_xlfn.CONCAT(Sales_Data!C190,"-",Sales_Data!E190,"-",Sales_Data!A190)</f>
        <v>South-C1014-1189</v>
      </c>
      <c r="U190" t="str">
        <f t="shared" si="24"/>
        <v>Regular</v>
      </c>
      <c r="V190" t="str" cm="1">
        <f t="array" ref="V190">_xlfn.IFS(R190&gt;=100000,"Excellent",R190&gt;=50000,"Good",R190&gt;=20000,"Average",TRUE,"Poor")</f>
        <v>Poor</v>
      </c>
      <c r="W190">
        <f t="shared" si="25"/>
        <v>3</v>
      </c>
      <c r="X190" t="str">
        <f t="shared" si="26"/>
        <v>September</v>
      </c>
      <c r="Y190">
        <f>HLOOKUP("Q"&amp;W190,Bonus_HLookup!$A$1:$E$2,2,FALSE)</f>
        <v>0.06</v>
      </c>
      <c r="Z190">
        <f t="shared" si="27"/>
        <v>34348</v>
      </c>
      <c r="AA190" s="1">
        <f t="shared" si="28"/>
        <v>1741.1339775460829</v>
      </c>
      <c r="AB190">
        <f t="shared" si="29"/>
        <v>506</v>
      </c>
    </row>
    <row r="191" spans="1:28" x14ac:dyDescent="0.3">
      <c r="A191">
        <v>1190</v>
      </c>
      <c r="B191" t="s">
        <v>230</v>
      </c>
      <c r="C191" t="s">
        <v>30</v>
      </c>
      <c r="D191" t="s">
        <v>91</v>
      </c>
      <c r="E191" t="s">
        <v>231</v>
      </c>
      <c r="F191" t="s">
        <v>74</v>
      </c>
      <c r="G191">
        <v>8</v>
      </c>
      <c r="H191">
        <v>35000</v>
      </c>
      <c r="I191">
        <v>10</v>
      </c>
      <c r="J191">
        <v>155676</v>
      </c>
      <c r="K191">
        <v>11</v>
      </c>
      <c r="L191">
        <v>5</v>
      </c>
      <c r="M191" t="str">
        <f>VLOOKUP(Sales_Data!F191,Product_Master!$A$2:$D$11,2)</f>
        <v>Tablet</v>
      </c>
      <c r="N191" t="str">
        <f>VLOOKUP(F191,Product_Master!$A$2:$C$11,3)</f>
        <v>Electronics</v>
      </c>
      <c r="O191">
        <f>VLOOKUP(F191,Product_Master!$A$2:$D$11,4,FALSE)</f>
        <v>29000</v>
      </c>
      <c r="P191">
        <f t="shared" si="20"/>
        <v>280000</v>
      </c>
      <c r="Q191">
        <f t="shared" si="21"/>
        <v>28000</v>
      </c>
      <c r="R191">
        <f t="shared" si="22"/>
        <v>252000</v>
      </c>
      <c r="S191">
        <f t="shared" si="23"/>
        <v>20000</v>
      </c>
      <c r="T191" t="str">
        <f>_xlfn.CONCAT(Sales_Data!C191,"-",Sales_Data!E191,"-",Sales_Data!A191)</f>
        <v>South-C1006-1190</v>
      </c>
      <c r="U191" t="str">
        <f t="shared" si="24"/>
        <v>High Value</v>
      </c>
      <c r="V191" t="str" cm="1">
        <f t="array" ref="V191">_xlfn.IFS(R191&gt;=100000,"Excellent",R191&gt;=50000,"Good",R191&gt;=20000,"Average",TRUE,"Poor")</f>
        <v>Excellent</v>
      </c>
      <c r="W191">
        <f t="shared" si="25"/>
        <v>4</v>
      </c>
      <c r="X191" t="str">
        <f t="shared" si="26"/>
        <v>December</v>
      </c>
      <c r="Y191">
        <f>HLOOKUP("Q"&amp;W191,Bonus_HLookup!$A$1:$E$2,2,FALSE)</f>
        <v>0.08</v>
      </c>
      <c r="Z191">
        <f t="shared" si="27"/>
        <v>85621.8</v>
      </c>
      <c r="AA191" s="1">
        <f t="shared" si="28"/>
        <v>3384.7734542568196</v>
      </c>
      <c r="AB191">
        <f t="shared" si="29"/>
        <v>76</v>
      </c>
    </row>
    <row r="192" spans="1:28" x14ac:dyDescent="0.3">
      <c r="A192">
        <v>1191</v>
      </c>
      <c r="B192" t="s">
        <v>232</v>
      </c>
      <c r="C192" t="s">
        <v>13</v>
      </c>
      <c r="D192" t="s">
        <v>19</v>
      </c>
      <c r="E192" t="s">
        <v>60</v>
      </c>
      <c r="F192" t="s">
        <v>69</v>
      </c>
      <c r="G192">
        <v>8</v>
      </c>
      <c r="H192">
        <v>2000</v>
      </c>
      <c r="I192">
        <v>0</v>
      </c>
      <c r="J192">
        <v>146288</v>
      </c>
      <c r="K192">
        <v>10</v>
      </c>
      <c r="L192">
        <v>2</v>
      </c>
      <c r="M192" t="str">
        <f>VLOOKUP(Sales_Data!F192,Product_Master!$A$2:$D$11,2)</f>
        <v>Headset</v>
      </c>
      <c r="N192" t="str">
        <f>VLOOKUP(F192,Product_Master!$A$2:$C$11,3)</f>
        <v>Accessories</v>
      </c>
      <c r="O192">
        <f>VLOOKUP(F192,Product_Master!$A$2:$D$11,4,FALSE)</f>
        <v>1500</v>
      </c>
      <c r="P192">
        <f t="shared" si="20"/>
        <v>16000</v>
      </c>
      <c r="Q192">
        <f t="shared" si="21"/>
        <v>0</v>
      </c>
      <c r="R192">
        <f t="shared" si="22"/>
        <v>16000</v>
      </c>
      <c r="S192">
        <f t="shared" si="23"/>
        <v>4000</v>
      </c>
      <c r="T192" t="str">
        <f>_xlfn.CONCAT(Sales_Data!C192,"-",Sales_Data!E192,"-",Sales_Data!A192)</f>
        <v>West-C1018-1191</v>
      </c>
      <c r="U192" t="str">
        <f t="shared" si="24"/>
        <v>Regular</v>
      </c>
      <c r="V192" t="str" cm="1">
        <f t="array" ref="V192">_xlfn.IFS(R192&gt;=100000,"Excellent",R192&gt;=50000,"Good",R192&gt;=20000,"Average",TRUE,"Poor")</f>
        <v>Poor</v>
      </c>
      <c r="W192">
        <f t="shared" si="25"/>
        <v>2</v>
      </c>
      <c r="X192" t="str">
        <f t="shared" si="26"/>
        <v>April</v>
      </c>
      <c r="Y192">
        <f>HLOOKUP("Q"&amp;W192,Bonus_HLookup!$A$1:$E$2,2,FALSE)</f>
        <v>0.04</v>
      </c>
      <c r="Z192">
        <f t="shared" si="27"/>
        <v>29257.599999999999</v>
      </c>
      <c r="AA192" s="1">
        <f t="shared" si="28"/>
        <v>6750.4489840626147</v>
      </c>
      <c r="AB192">
        <f t="shared" si="29"/>
        <v>514</v>
      </c>
    </row>
    <row r="193" spans="1:28" x14ac:dyDescent="0.3">
      <c r="A193">
        <v>1192</v>
      </c>
      <c r="B193" t="s">
        <v>233</v>
      </c>
      <c r="C193" t="s">
        <v>13</v>
      </c>
      <c r="D193" t="s">
        <v>59</v>
      </c>
      <c r="E193" t="s">
        <v>71</v>
      </c>
      <c r="F193" t="s">
        <v>39</v>
      </c>
      <c r="G193">
        <v>6</v>
      </c>
      <c r="H193">
        <v>7000</v>
      </c>
      <c r="I193">
        <v>8</v>
      </c>
      <c r="J193">
        <v>347985</v>
      </c>
      <c r="K193">
        <v>10</v>
      </c>
      <c r="L193">
        <v>4</v>
      </c>
      <c r="M193" t="str">
        <f>VLOOKUP(Sales_Data!F193,Product_Master!$A$2:$D$11,2)</f>
        <v>Router</v>
      </c>
      <c r="N193" t="str">
        <f>VLOOKUP(F193,Product_Master!$A$2:$C$11,3)</f>
        <v>Electronics</v>
      </c>
      <c r="O193">
        <f>VLOOKUP(F193,Product_Master!$A$2:$D$11,4,FALSE)</f>
        <v>5000</v>
      </c>
      <c r="P193">
        <f t="shared" si="20"/>
        <v>42000</v>
      </c>
      <c r="Q193">
        <f t="shared" si="21"/>
        <v>3360</v>
      </c>
      <c r="R193">
        <f t="shared" si="22"/>
        <v>38640</v>
      </c>
      <c r="S193">
        <f t="shared" si="23"/>
        <v>8640</v>
      </c>
      <c r="T193" t="str">
        <f>_xlfn.CONCAT(Sales_Data!C193,"-",Sales_Data!E193,"-",Sales_Data!A193)</f>
        <v>West-C1019-1192</v>
      </c>
      <c r="U193" t="str">
        <f t="shared" si="24"/>
        <v>Regular</v>
      </c>
      <c r="V193" t="str" cm="1">
        <f t="array" ref="V193">_xlfn.IFS(R193&gt;=100000,"Excellent",R193&gt;=50000,"Good",R193&gt;=20000,"Average",TRUE,"Poor")</f>
        <v>Average</v>
      </c>
      <c r="W193">
        <f t="shared" si="25"/>
        <v>4</v>
      </c>
      <c r="X193" t="str">
        <f t="shared" si="26"/>
        <v>October</v>
      </c>
      <c r="Y193">
        <f>HLOOKUP("Q"&amp;W193,Bonus_HLookup!$A$1:$E$2,2,FALSE)</f>
        <v>0.08</v>
      </c>
      <c r="Z193">
        <f t="shared" si="27"/>
        <v>139194</v>
      </c>
      <c r="AA193" s="1">
        <f t="shared" si="28"/>
        <v>8825.7985965405005</v>
      </c>
      <c r="AB193">
        <f t="shared" si="29"/>
        <v>338</v>
      </c>
    </row>
    <row r="194" spans="1:28" x14ac:dyDescent="0.3">
      <c r="A194">
        <v>1193</v>
      </c>
      <c r="B194" t="s">
        <v>234</v>
      </c>
      <c r="C194" t="s">
        <v>62</v>
      </c>
      <c r="D194" t="s">
        <v>46</v>
      </c>
      <c r="E194" t="s">
        <v>157</v>
      </c>
      <c r="F194" t="s">
        <v>36</v>
      </c>
      <c r="G194">
        <v>8</v>
      </c>
      <c r="H194">
        <v>55000</v>
      </c>
      <c r="I194">
        <v>5</v>
      </c>
      <c r="J194">
        <v>356640</v>
      </c>
      <c r="K194">
        <v>7</v>
      </c>
      <c r="L194">
        <v>1</v>
      </c>
      <c r="M194" t="str">
        <f>VLOOKUP(Sales_Data!F194,Product_Master!$A$2:$D$11,2)</f>
        <v>Laptop</v>
      </c>
      <c r="N194" t="str">
        <f>VLOOKUP(F194,Product_Master!$A$2:$C$11,3)</f>
        <v>Electronics</v>
      </c>
      <c r="O194">
        <f>VLOOKUP(F194,Product_Master!$A$2:$D$11,4,FALSE)</f>
        <v>45000</v>
      </c>
      <c r="P194">
        <f t="shared" si="20"/>
        <v>440000</v>
      </c>
      <c r="Q194">
        <f t="shared" si="21"/>
        <v>22000</v>
      </c>
      <c r="R194">
        <f t="shared" si="22"/>
        <v>418000</v>
      </c>
      <c r="S194">
        <f t="shared" si="23"/>
        <v>58000</v>
      </c>
      <c r="T194" t="str">
        <f>_xlfn.CONCAT(Sales_Data!C194,"-",Sales_Data!E194,"-",Sales_Data!A194)</f>
        <v>East-C1024-1193</v>
      </c>
      <c r="U194" t="str">
        <f t="shared" si="24"/>
        <v>High Value</v>
      </c>
      <c r="V194" t="str" cm="1">
        <f t="array" ref="V194">_xlfn.IFS(R194&gt;=100000,"Excellent",R194&gt;=50000,"Good",R194&gt;=20000,"Average",TRUE,"Poor")</f>
        <v>Excellent</v>
      </c>
      <c r="W194">
        <f t="shared" si="25"/>
        <v>3</v>
      </c>
      <c r="X194" t="str">
        <f t="shared" si="26"/>
        <v>September</v>
      </c>
      <c r="Y194">
        <f>HLOOKUP("Q"&amp;W194,Bonus_HLookup!$A$1:$E$2,2,FALSE)</f>
        <v>0.06</v>
      </c>
      <c r="Z194">
        <f t="shared" si="27"/>
        <v>24964.799999999999</v>
      </c>
      <c r="AA194" s="1">
        <f t="shared" si="28"/>
        <v>30858.898728439955</v>
      </c>
      <c r="AB194">
        <f t="shared" si="29"/>
        <v>23</v>
      </c>
    </row>
    <row r="195" spans="1:28" x14ac:dyDescent="0.3">
      <c r="A195">
        <v>1194</v>
      </c>
      <c r="B195" t="s">
        <v>235</v>
      </c>
      <c r="C195" t="s">
        <v>18</v>
      </c>
      <c r="D195" t="s">
        <v>33</v>
      </c>
      <c r="E195" t="s">
        <v>31</v>
      </c>
      <c r="F195" t="s">
        <v>42</v>
      </c>
      <c r="G195">
        <v>3</v>
      </c>
      <c r="H195">
        <v>8000</v>
      </c>
      <c r="I195">
        <v>10</v>
      </c>
      <c r="J195">
        <v>472929</v>
      </c>
      <c r="K195">
        <v>8</v>
      </c>
      <c r="L195">
        <v>5</v>
      </c>
      <c r="M195" t="str">
        <f>VLOOKUP(Sales_Data!F195,Product_Master!$A$2:$D$11,2)</f>
        <v>Printer</v>
      </c>
      <c r="N195" t="str">
        <f>VLOOKUP(F195,Product_Master!$A$2:$C$11,3)</f>
        <v>Electronics</v>
      </c>
      <c r="O195">
        <f>VLOOKUP(F195,Product_Master!$A$2:$D$11,4,FALSE)</f>
        <v>6500</v>
      </c>
      <c r="P195">
        <f t="shared" ref="P195:P258" si="30">H195*G195</f>
        <v>24000</v>
      </c>
      <c r="Q195">
        <f t="shared" ref="Q195:Q258" si="31">P195*(I195/100)</f>
        <v>2400</v>
      </c>
      <c r="R195">
        <f t="shared" ref="R195:R258" si="32">P195-Q195</f>
        <v>21600</v>
      </c>
      <c r="S195">
        <f t="shared" ref="S195:S258" si="33">R195-(G195*O195)</f>
        <v>2100</v>
      </c>
      <c r="T195" t="str">
        <f>_xlfn.CONCAT(Sales_Data!C195,"-",Sales_Data!E195,"-",Sales_Data!A195)</f>
        <v>North-C1025-1194</v>
      </c>
      <c r="U195" t="str">
        <f t="shared" ref="U195:U258" si="34">IF(R195&gt;=50000,"High Value","Regular")</f>
        <v>Regular</v>
      </c>
      <c r="V195" t="str" cm="1">
        <f t="array" ref="V195">_xlfn.IFS(R195&gt;=100000,"Excellent",R195&gt;=50000,"Good",R195&gt;=20000,"Average",TRUE,"Poor")</f>
        <v>Average</v>
      </c>
      <c r="W195">
        <f t="shared" ref="W195:W258" si="35">ROUNDUP(MONTH(B195)/3,0)</f>
        <v>1</v>
      </c>
      <c r="X195" t="str">
        <f t="shared" ref="X195:X258" si="36">TEXT(B195,"mmmm")</f>
        <v>February</v>
      </c>
      <c r="Y195">
        <f>HLOOKUP("Q"&amp;W195,Bonus_HLookup!$A$1:$E$2,2,FALSE)</f>
        <v>0.02</v>
      </c>
      <c r="Z195">
        <f t="shared" ref="Z195:Z258" si="37">(J195*K195*L195)/100</f>
        <v>189171.6</v>
      </c>
      <c r="AA195" s="1">
        <f t="shared" ref="AA195:AA258" si="38">PMT(K195/1200,L195*12,-J195)</f>
        <v>9589.2948744251935</v>
      </c>
      <c r="AB195">
        <f t="shared" ref="AB195:AB258" si="39">RANK(R195,$R$2:$R$1001)</f>
        <v>424</v>
      </c>
    </row>
    <row r="196" spans="1:28" x14ac:dyDescent="0.3">
      <c r="A196">
        <v>1195</v>
      </c>
      <c r="B196" t="s">
        <v>236</v>
      </c>
      <c r="C196" t="s">
        <v>13</v>
      </c>
      <c r="D196" t="s">
        <v>33</v>
      </c>
      <c r="E196" t="s">
        <v>128</v>
      </c>
      <c r="F196" t="s">
        <v>39</v>
      </c>
      <c r="G196">
        <v>3</v>
      </c>
      <c r="H196">
        <v>7000</v>
      </c>
      <c r="I196">
        <v>0</v>
      </c>
      <c r="J196">
        <v>467913</v>
      </c>
      <c r="K196">
        <v>10</v>
      </c>
      <c r="L196">
        <v>5</v>
      </c>
      <c r="M196" t="str">
        <f>VLOOKUP(Sales_Data!F196,Product_Master!$A$2:$D$11,2)</f>
        <v>Router</v>
      </c>
      <c r="N196" t="str">
        <f>VLOOKUP(F196,Product_Master!$A$2:$C$11,3)</f>
        <v>Electronics</v>
      </c>
      <c r="O196">
        <f>VLOOKUP(F196,Product_Master!$A$2:$D$11,4,FALSE)</f>
        <v>5000</v>
      </c>
      <c r="P196">
        <f t="shared" si="30"/>
        <v>21000</v>
      </c>
      <c r="Q196">
        <f t="shared" si="31"/>
        <v>0</v>
      </c>
      <c r="R196">
        <f t="shared" si="32"/>
        <v>21000</v>
      </c>
      <c r="S196">
        <f t="shared" si="33"/>
        <v>6000</v>
      </c>
      <c r="T196" t="str">
        <f>_xlfn.CONCAT(Sales_Data!C196,"-",Sales_Data!E196,"-",Sales_Data!A196)</f>
        <v>West-C1013-1195</v>
      </c>
      <c r="U196" t="str">
        <f t="shared" si="34"/>
        <v>Regular</v>
      </c>
      <c r="V196" t="str" cm="1">
        <f t="array" ref="V196">_xlfn.IFS(R196&gt;=100000,"Excellent",R196&gt;=50000,"Good",R196&gt;=20000,"Average",TRUE,"Poor")</f>
        <v>Average</v>
      </c>
      <c r="W196">
        <f t="shared" si="35"/>
        <v>2</v>
      </c>
      <c r="X196" t="str">
        <f t="shared" si="36"/>
        <v>April</v>
      </c>
      <c r="Y196">
        <f>HLOOKUP("Q"&amp;W196,Bonus_HLookup!$A$1:$E$2,2,FALSE)</f>
        <v>0.04</v>
      </c>
      <c r="Z196">
        <f t="shared" si="37"/>
        <v>233956.5</v>
      </c>
      <c r="AA196" s="1">
        <f t="shared" si="38"/>
        <v>9941.7684319836735</v>
      </c>
      <c r="AB196">
        <f t="shared" si="39"/>
        <v>436</v>
      </c>
    </row>
    <row r="197" spans="1:28" x14ac:dyDescent="0.3">
      <c r="A197">
        <v>1196</v>
      </c>
      <c r="B197" t="s">
        <v>237</v>
      </c>
      <c r="C197" t="s">
        <v>18</v>
      </c>
      <c r="D197" t="s">
        <v>14</v>
      </c>
      <c r="E197" t="s">
        <v>196</v>
      </c>
      <c r="F197" t="s">
        <v>21</v>
      </c>
      <c r="G197">
        <v>6</v>
      </c>
      <c r="H197">
        <v>12000</v>
      </c>
      <c r="I197">
        <v>0</v>
      </c>
      <c r="J197">
        <v>308324</v>
      </c>
      <c r="K197">
        <v>8</v>
      </c>
      <c r="L197">
        <v>1</v>
      </c>
      <c r="M197" t="str">
        <f>VLOOKUP(Sales_Data!F197,Product_Master!$A$2:$D$11,2)</f>
        <v>Monitor</v>
      </c>
      <c r="N197" t="str">
        <f>VLOOKUP(F197,Product_Master!$A$2:$C$11,3)</f>
        <v>Electronics</v>
      </c>
      <c r="O197">
        <f>VLOOKUP(F197,Product_Master!$A$2:$D$11,4,FALSE)</f>
        <v>9000</v>
      </c>
      <c r="P197">
        <f t="shared" si="30"/>
        <v>72000</v>
      </c>
      <c r="Q197">
        <f t="shared" si="31"/>
        <v>0</v>
      </c>
      <c r="R197">
        <f t="shared" si="32"/>
        <v>72000</v>
      </c>
      <c r="S197">
        <f t="shared" si="33"/>
        <v>18000</v>
      </c>
      <c r="T197" t="str">
        <f>_xlfn.CONCAT(Sales_Data!C197,"-",Sales_Data!E197,"-",Sales_Data!A197)</f>
        <v>North-C1032-1196</v>
      </c>
      <c r="U197" t="str">
        <f t="shared" si="34"/>
        <v>High Value</v>
      </c>
      <c r="V197" t="str" cm="1">
        <f t="array" ref="V197">_xlfn.IFS(R197&gt;=100000,"Excellent",R197&gt;=50000,"Good",R197&gt;=20000,"Average",TRUE,"Poor")</f>
        <v>Good</v>
      </c>
      <c r="W197">
        <f t="shared" si="35"/>
        <v>2</v>
      </c>
      <c r="X197" t="str">
        <f t="shared" si="36"/>
        <v>April</v>
      </c>
      <c r="Y197">
        <f>HLOOKUP("Q"&amp;W197,Bonus_HLookup!$A$1:$E$2,2,FALSE)</f>
        <v>0.04</v>
      </c>
      <c r="Z197">
        <f t="shared" si="37"/>
        <v>24665.919999999998</v>
      </c>
      <c r="AA197" s="1">
        <f t="shared" si="38"/>
        <v>26820.620409333362</v>
      </c>
      <c r="AB197">
        <f t="shared" si="39"/>
        <v>210</v>
      </c>
    </row>
    <row r="198" spans="1:28" x14ac:dyDescent="0.3">
      <c r="A198">
        <v>1197</v>
      </c>
      <c r="B198" t="s">
        <v>238</v>
      </c>
      <c r="C198" t="s">
        <v>30</v>
      </c>
      <c r="D198" t="s">
        <v>50</v>
      </c>
      <c r="E198" t="s">
        <v>133</v>
      </c>
      <c r="F198" t="s">
        <v>39</v>
      </c>
      <c r="G198">
        <v>5</v>
      </c>
      <c r="H198">
        <v>7000</v>
      </c>
      <c r="I198">
        <v>8</v>
      </c>
      <c r="J198">
        <v>133404</v>
      </c>
      <c r="K198">
        <v>10</v>
      </c>
      <c r="L198">
        <v>4</v>
      </c>
      <c r="M198" t="str">
        <f>VLOOKUP(Sales_Data!F198,Product_Master!$A$2:$D$11,2)</f>
        <v>Router</v>
      </c>
      <c r="N198" t="str">
        <f>VLOOKUP(F198,Product_Master!$A$2:$C$11,3)</f>
        <v>Electronics</v>
      </c>
      <c r="O198">
        <f>VLOOKUP(F198,Product_Master!$A$2:$D$11,4,FALSE)</f>
        <v>5000</v>
      </c>
      <c r="P198">
        <f t="shared" si="30"/>
        <v>35000</v>
      </c>
      <c r="Q198">
        <f t="shared" si="31"/>
        <v>2800</v>
      </c>
      <c r="R198">
        <f t="shared" si="32"/>
        <v>32200</v>
      </c>
      <c r="S198">
        <f t="shared" si="33"/>
        <v>7200</v>
      </c>
      <c r="T198" t="str">
        <f>_xlfn.CONCAT(Sales_Data!C198,"-",Sales_Data!E198,"-",Sales_Data!A198)</f>
        <v>South-C1021-1197</v>
      </c>
      <c r="U198" t="str">
        <f t="shared" si="34"/>
        <v>Regular</v>
      </c>
      <c r="V198" t="str" cm="1">
        <f t="array" ref="V198">_xlfn.IFS(R198&gt;=100000,"Excellent",R198&gt;=50000,"Good",R198&gt;=20000,"Average",TRUE,"Poor")</f>
        <v>Average</v>
      </c>
      <c r="W198">
        <f t="shared" si="35"/>
        <v>1</v>
      </c>
      <c r="X198" t="str">
        <f t="shared" si="36"/>
        <v>February</v>
      </c>
      <c r="Y198">
        <f>HLOOKUP("Q"&amp;W198,Bonus_HLookup!$A$1:$E$2,2,FALSE)</f>
        <v>0.02</v>
      </c>
      <c r="Z198">
        <f t="shared" si="37"/>
        <v>53361.599999999999</v>
      </c>
      <c r="AA198" s="1">
        <f t="shared" si="38"/>
        <v>3383.470080529014</v>
      </c>
      <c r="AB198">
        <f t="shared" si="39"/>
        <v>359</v>
      </c>
    </row>
    <row r="199" spans="1:28" x14ac:dyDescent="0.3">
      <c r="A199">
        <v>1198</v>
      </c>
      <c r="B199" t="s">
        <v>67</v>
      </c>
      <c r="C199" t="s">
        <v>30</v>
      </c>
      <c r="D199" t="s">
        <v>91</v>
      </c>
      <c r="E199" t="s">
        <v>183</v>
      </c>
      <c r="F199" t="s">
        <v>36</v>
      </c>
      <c r="G199">
        <v>3</v>
      </c>
      <c r="H199">
        <v>55000</v>
      </c>
      <c r="I199">
        <v>5</v>
      </c>
      <c r="J199">
        <v>167905</v>
      </c>
      <c r="K199">
        <v>9</v>
      </c>
      <c r="L199">
        <v>2</v>
      </c>
      <c r="M199" t="str">
        <f>VLOOKUP(Sales_Data!F199,Product_Master!$A$2:$D$11,2)</f>
        <v>Laptop</v>
      </c>
      <c r="N199" t="str">
        <f>VLOOKUP(F199,Product_Master!$A$2:$C$11,3)</f>
        <v>Electronics</v>
      </c>
      <c r="O199">
        <f>VLOOKUP(F199,Product_Master!$A$2:$D$11,4,FALSE)</f>
        <v>45000</v>
      </c>
      <c r="P199">
        <f t="shared" si="30"/>
        <v>165000</v>
      </c>
      <c r="Q199">
        <f t="shared" si="31"/>
        <v>8250</v>
      </c>
      <c r="R199">
        <f t="shared" si="32"/>
        <v>156750</v>
      </c>
      <c r="S199">
        <f t="shared" si="33"/>
        <v>21750</v>
      </c>
      <c r="T199" t="str">
        <f>_xlfn.CONCAT(Sales_Data!C199,"-",Sales_Data!E199,"-",Sales_Data!A199)</f>
        <v>South-C1008-1198</v>
      </c>
      <c r="U199" t="str">
        <f t="shared" si="34"/>
        <v>High Value</v>
      </c>
      <c r="V199" t="str" cm="1">
        <f t="array" ref="V199">_xlfn.IFS(R199&gt;=100000,"Excellent",R199&gt;=50000,"Good",R199&gt;=20000,"Average",TRUE,"Poor")</f>
        <v>Excellent</v>
      </c>
      <c r="W199">
        <f t="shared" si="35"/>
        <v>2</v>
      </c>
      <c r="X199" t="str">
        <f t="shared" si="36"/>
        <v>May</v>
      </c>
      <c r="Y199">
        <f>HLOOKUP("Q"&amp;W199,Bonus_HLookup!$A$1:$E$2,2,FALSE)</f>
        <v>0.04</v>
      </c>
      <c r="Z199">
        <f t="shared" si="37"/>
        <v>30222.9</v>
      </c>
      <c r="AA199" s="1">
        <f t="shared" si="38"/>
        <v>7670.6966523845585</v>
      </c>
      <c r="AB199">
        <f t="shared" si="39"/>
        <v>129</v>
      </c>
    </row>
    <row r="200" spans="1:28" x14ac:dyDescent="0.3">
      <c r="A200">
        <v>1199</v>
      </c>
      <c r="B200" t="s">
        <v>239</v>
      </c>
      <c r="C200" t="s">
        <v>18</v>
      </c>
      <c r="D200" t="s">
        <v>14</v>
      </c>
      <c r="E200" t="s">
        <v>85</v>
      </c>
      <c r="F200" t="s">
        <v>25</v>
      </c>
      <c r="G200">
        <v>3</v>
      </c>
      <c r="H200">
        <v>1500</v>
      </c>
      <c r="I200">
        <v>10</v>
      </c>
      <c r="J200">
        <v>275915</v>
      </c>
      <c r="K200">
        <v>7</v>
      </c>
      <c r="L200">
        <v>5</v>
      </c>
      <c r="M200" t="str">
        <f>VLOOKUP(Sales_Data!F200,Product_Master!$A$2:$D$11,2)</f>
        <v>Keyboard</v>
      </c>
      <c r="N200" t="str">
        <f>VLOOKUP(F200,Product_Master!$A$2:$C$11,3)</f>
        <v>Accessories</v>
      </c>
      <c r="O200">
        <f>VLOOKUP(F200,Product_Master!$A$2:$D$11,4,FALSE)</f>
        <v>1200</v>
      </c>
      <c r="P200">
        <f t="shared" si="30"/>
        <v>4500</v>
      </c>
      <c r="Q200">
        <f t="shared" si="31"/>
        <v>450</v>
      </c>
      <c r="R200">
        <f t="shared" si="32"/>
        <v>4050</v>
      </c>
      <c r="S200">
        <f t="shared" si="33"/>
        <v>450</v>
      </c>
      <c r="T200" t="str">
        <f>_xlfn.CONCAT(Sales_Data!C200,"-",Sales_Data!E200,"-",Sales_Data!A200)</f>
        <v>North-C1005-1199</v>
      </c>
      <c r="U200" t="str">
        <f t="shared" si="34"/>
        <v>Regular</v>
      </c>
      <c r="V200" t="str" cm="1">
        <f t="array" ref="V200">_xlfn.IFS(R200&gt;=100000,"Excellent",R200&gt;=50000,"Good",R200&gt;=20000,"Average",TRUE,"Poor")</f>
        <v>Poor</v>
      </c>
      <c r="W200">
        <f t="shared" si="35"/>
        <v>4</v>
      </c>
      <c r="X200" t="str">
        <f t="shared" si="36"/>
        <v>November</v>
      </c>
      <c r="Y200">
        <f>HLOOKUP("Q"&amp;W200,Bonus_HLookup!$A$1:$E$2,2,FALSE)</f>
        <v>0.08</v>
      </c>
      <c r="Z200">
        <f t="shared" si="37"/>
        <v>96570.25</v>
      </c>
      <c r="AA200" s="1">
        <f t="shared" si="38"/>
        <v>5463.4476952605428</v>
      </c>
      <c r="AB200">
        <f t="shared" si="39"/>
        <v>832</v>
      </c>
    </row>
    <row r="201" spans="1:28" x14ac:dyDescent="0.3">
      <c r="A201">
        <v>1200</v>
      </c>
      <c r="B201" t="s">
        <v>126</v>
      </c>
      <c r="C201" t="s">
        <v>62</v>
      </c>
      <c r="D201" t="s">
        <v>23</v>
      </c>
      <c r="E201" t="s">
        <v>57</v>
      </c>
      <c r="F201" t="s">
        <v>21</v>
      </c>
      <c r="G201">
        <v>4</v>
      </c>
      <c r="H201">
        <v>12000</v>
      </c>
      <c r="I201">
        <v>10</v>
      </c>
      <c r="J201">
        <v>189961</v>
      </c>
      <c r="K201">
        <v>12</v>
      </c>
      <c r="L201">
        <v>2</v>
      </c>
      <c r="M201" t="str">
        <f>VLOOKUP(Sales_Data!F201,Product_Master!$A$2:$D$11,2)</f>
        <v>Monitor</v>
      </c>
      <c r="N201" t="str">
        <f>VLOOKUP(F201,Product_Master!$A$2:$C$11,3)</f>
        <v>Electronics</v>
      </c>
      <c r="O201">
        <f>VLOOKUP(F201,Product_Master!$A$2:$D$11,4,FALSE)</f>
        <v>9000</v>
      </c>
      <c r="P201">
        <f t="shared" si="30"/>
        <v>48000</v>
      </c>
      <c r="Q201">
        <f t="shared" si="31"/>
        <v>4800</v>
      </c>
      <c r="R201">
        <f t="shared" si="32"/>
        <v>43200</v>
      </c>
      <c r="S201">
        <f t="shared" si="33"/>
        <v>7200</v>
      </c>
      <c r="T201" t="str">
        <f>_xlfn.CONCAT(Sales_Data!C201,"-",Sales_Data!E201,"-",Sales_Data!A201)</f>
        <v>East-C1012-1200</v>
      </c>
      <c r="U201" t="str">
        <f t="shared" si="34"/>
        <v>Regular</v>
      </c>
      <c r="V201" t="str" cm="1">
        <f t="array" ref="V201">_xlfn.IFS(R201&gt;=100000,"Excellent",R201&gt;=50000,"Good",R201&gt;=20000,"Average",TRUE,"Poor")</f>
        <v>Average</v>
      </c>
      <c r="W201">
        <f t="shared" si="35"/>
        <v>2</v>
      </c>
      <c r="X201" t="str">
        <f t="shared" si="36"/>
        <v>June</v>
      </c>
      <c r="Y201">
        <f>HLOOKUP("Q"&amp;W201,Bonus_HLookup!$A$1:$E$2,2,FALSE)</f>
        <v>0.04</v>
      </c>
      <c r="Z201">
        <f t="shared" si="37"/>
        <v>45590.64</v>
      </c>
      <c r="AA201" s="1">
        <f t="shared" si="38"/>
        <v>8942.1238570035857</v>
      </c>
      <c r="AB201">
        <f t="shared" si="39"/>
        <v>323</v>
      </c>
    </row>
    <row r="202" spans="1:28" x14ac:dyDescent="0.3">
      <c r="A202">
        <v>1201</v>
      </c>
      <c r="B202" t="s">
        <v>105</v>
      </c>
      <c r="C202" t="s">
        <v>13</v>
      </c>
      <c r="D202" t="s">
        <v>59</v>
      </c>
      <c r="E202" t="s">
        <v>47</v>
      </c>
      <c r="F202" t="s">
        <v>16</v>
      </c>
      <c r="G202">
        <v>7</v>
      </c>
      <c r="H202">
        <v>2500</v>
      </c>
      <c r="I202">
        <v>10</v>
      </c>
      <c r="J202">
        <v>266510</v>
      </c>
      <c r="K202">
        <v>11</v>
      </c>
      <c r="L202">
        <v>4</v>
      </c>
      <c r="M202" t="str">
        <f>VLOOKUP(Sales_Data!F202,Product_Master!$A$2:$D$11,2)</f>
        <v>Speaker</v>
      </c>
      <c r="N202" t="str">
        <f>VLOOKUP(F202,Product_Master!$A$2:$C$11,3)</f>
        <v>Accessories</v>
      </c>
      <c r="O202">
        <f>VLOOKUP(F202,Product_Master!$A$2:$D$11,4,FALSE)</f>
        <v>1800</v>
      </c>
      <c r="P202">
        <f t="shared" si="30"/>
        <v>17500</v>
      </c>
      <c r="Q202">
        <f t="shared" si="31"/>
        <v>1750</v>
      </c>
      <c r="R202">
        <f t="shared" si="32"/>
        <v>15750</v>
      </c>
      <c r="S202">
        <f t="shared" si="33"/>
        <v>3150</v>
      </c>
      <c r="T202" t="str">
        <f>_xlfn.CONCAT(Sales_Data!C202,"-",Sales_Data!E202,"-",Sales_Data!A202)</f>
        <v>West-C1030-1201</v>
      </c>
      <c r="U202" t="str">
        <f t="shared" si="34"/>
        <v>Regular</v>
      </c>
      <c r="V202" t="str" cm="1">
        <f t="array" ref="V202">_xlfn.IFS(R202&gt;=100000,"Excellent",R202&gt;=50000,"Good",R202&gt;=20000,"Average",TRUE,"Poor")</f>
        <v>Poor</v>
      </c>
      <c r="W202">
        <f t="shared" si="35"/>
        <v>2</v>
      </c>
      <c r="X202" t="str">
        <f t="shared" si="36"/>
        <v>May</v>
      </c>
      <c r="Y202">
        <f>HLOOKUP("Q"&amp;W202,Bonus_HLookup!$A$1:$E$2,2,FALSE)</f>
        <v>0.04</v>
      </c>
      <c r="Z202">
        <f t="shared" si="37"/>
        <v>117264.4</v>
      </c>
      <c r="AA202" s="1">
        <f t="shared" si="38"/>
        <v>6888.0902311782893</v>
      </c>
      <c r="AB202">
        <f t="shared" si="39"/>
        <v>518</v>
      </c>
    </row>
    <row r="203" spans="1:28" x14ac:dyDescent="0.3">
      <c r="A203">
        <v>1202</v>
      </c>
      <c r="B203" t="s">
        <v>240</v>
      </c>
      <c r="C203" t="s">
        <v>13</v>
      </c>
      <c r="D203" t="s">
        <v>91</v>
      </c>
      <c r="E203" t="s">
        <v>82</v>
      </c>
      <c r="F203" t="s">
        <v>42</v>
      </c>
      <c r="G203">
        <v>6</v>
      </c>
      <c r="H203">
        <v>8000</v>
      </c>
      <c r="I203">
        <v>10</v>
      </c>
      <c r="J203">
        <v>127264</v>
      </c>
      <c r="K203">
        <v>10</v>
      </c>
      <c r="L203">
        <v>1</v>
      </c>
      <c r="M203" t="str">
        <f>VLOOKUP(Sales_Data!F203,Product_Master!$A$2:$D$11,2)</f>
        <v>Printer</v>
      </c>
      <c r="N203" t="str">
        <f>VLOOKUP(F203,Product_Master!$A$2:$C$11,3)</f>
        <v>Electronics</v>
      </c>
      <c r="O203">
        <f>VLOOKUP(F203,Product_Master!$A$2:$D$11,4,FALSE)</f>
        <v>6500</v>
      </c>
      <c r="P203">
        <f t="shared" si="30"/>
        <v>48000</v>
      </c>
      <c r="Q203">
        <f t="shared" si="31"/>
        <v>4800</v>
      </c>
      <c r="R203">
        <f t="shared" si="32"/>
        <v>43200</v>
      </c>
      <c r="S203">
        <f t="shared" si="33"/>
        <v>4200</v>
      </c>
      <c r="T203" t="str">
        <f>_xlfn.CONCAT(Sales_Data!C203,"-",Sales_Data!E203,"-",Sales_Data!A203)</f>
        <v>West-C1045-1202</v>
      </c>
      <c r="U203" t="str">
        <f t="shared" si="34"/>
        <v>Regular</v>
      </c>
      <c r="V203" t="str" cm="1">
        <f t="array" ref="V203">_xlfn.IFS(R203&gt;=100000,"Excellent",R203&gt;=50000,"Good",R203&gt;=20000,"Average",TRUE,"Poor")</f>
        <v>Average</v>
      </c>
      <c r="W203">
        <f t="shared" si="35"/>
        <v>3</v>
      </c>
      <c r="X203" t="str">
        <f t="shared" si="36"/>
        <v>July</v>
      </c>
      <c r="Y203">
        <f>HLOOKUP("Q"&amp;W203,Bonus_HLookup!$A$1:$E$2,2,FALSE)</f>
        <v>0.06</v>
      </c>
      <c r="Z203">
        <f t="shared" si="37"/>
        <v>12726.4</v>
      </c>
      <c r="AA203" s="1">
        <f t="shared" si="38"/>
        <v>11188.527472439942</v>
      </c>
      <c r="AB203">
        <f t="shared" si="39"/>
        <v>323</v>
      </c>
    </row>
    <row r="204" spans="1:28" x14ac:dyDescent="0.3">
      <c r="A204">
        <v>1203</v>
      </c>
      <c r="B204" t="s">
        <v>241</v>
      </c>
      <c r="C204" t="s">
        <v>30</v>
      </c>
      <c r="D204" t="s">
        <v>59</v>
      </c>
      <c r="E204" t="s">
        <v>165</v>
      </c>
      <c r="F204" t="s">
        <v>42</v>
      </c>
      <c r="G204">
        <v>9</v>
      </c>
      <c r="H204">
        <v>8000</v>
      </c>
      <c r="I204">
        <v>10</v>
      </c>
      <c r="J204">
        <v>335838</v>
      </c>
      <c r="K204">
        <v>8</v>
      </c>
      <c r="L204">
        <v>3</v>
      </c>
      <c r="M204" t="str">
        <f>VLOOKUP(Sales_Data!F204,Product_Master!$A$2:$D$11,2)</f>
        <v>Printer</v>
      </c>
      <c r="N204" t="str">
        <f>VLOOKUP(F204,Product_Master!$A$2:$C$11,3)</f>
        <v>Electronics</v>
      </c>
      <c r="O204">
        <f>VLOOKUP(F204,Product_Master!$A$2:$D$11,4,FALSE)</f>
        <v>6500</v>
      </c>
      <c r="P204">
        <f t="shared" si="30"/>
        <v>72000</v>
      </c>
      <c r="Q204">
        <f t="shared" si="31"/>
        <v>7200</v>
      </c>
      <c r="R204">
        <f t="shared" si="32"/>
        <v>64800</v>
      </c>
      <c r="S204">
        <f t="shared" si="33"/>
        <v>6300</v>
      </c>
      <c r="T204" t="str">
        <f>_xlfn.CONCAT(Sales_Data!C204,"-",Sales_Data!E204,"-",Sales_Data!A204)</f>
        <v>South-C1042-1203</v>
      </c>
      <c r="U204" t="str">
        <f t="shared" si="34"/>
        <v>High Value</v>
      </c>
      <c r="V204" t="str" cm="1">
        <f t="array" ref="V204">_xlfn.IFS(R204&gt;=100000,"Excellent",R204&gt;=50000,"Good",R204&gt;=20000,"Average",TRUE,"Poor")</f>
        <v>Good</v>
      </c>
      <c r="W204">
        <f t="shared" si="35"/>
        <v>4</v>
      </c>
      <c r="X204" t="str">
        <f t="shared" si="36"/>
        <v>December</v>
      </c>
      <c r="Y204">
        <f>HLOOKUP("Q"&amp;W204,Bonus_HLookup!$A$1:$E$2,2,FALSE)</f>
        <v>0.08</v>
      </c>
      <c r="Z204">
        <f t="shared" si="37"/>
        <v>80601.119999999995</v>
      </c>
      <c r="AA204" s="1">
        <f t="shared" si="38"/>
        <v>10523.942303836015</v>
      </c>
      <c r="AB204">
        <f t="shared" si="39"/>
        <v>231</v>
      </c>
    </row>
    <row r="205" spans="1:28" x14ac:dyDescent="0.3">
      <c r="A205">
        <v>1204</v>
      </c>
      <c r="B205" t="s">
        <v>242</v>
      </c>
      <c r="C205" t="s">
        <v>62</v>
      </c>
      <c r="D205" t="s">
        <v>59</v>
      </c>
      <c r="E205" t="s">
        <v>38</v>
      </c>
      <c r="F205" t="s">
        <v>16</v>
      </c>
      <c r="G205">
        <v>3</v>
      </c>
      <c r="H205">
        <v>2500</v>
      </c>
      <c r="I205">
        <v>12</v>
      </c>
      <c r="J205">
        <v>147701</v>
      </c>
      <c r="K205">
        <v>11</v>
      </c>
      <c r="L205">
        <v>2</v>
      </c>
      <c r="M205" t="str">
        <f>VLOOKUP(Sales_Data!F205,Product_Master!$A$2:$D$11,2)</f>
        <v>Speaker</v>
      </c>
      <c r="N205" t="str">
        <f>VLOOKUP(F205,Product_Master!$A$2:$C$11,3)</f>
        <v>Accessories</v>
      </c>
      <c r="O205">
        <f>VLOOKUP(F205,Product_Master!$A$2:$D$11,4,FALSE)</f>
        <v>1800</v>
      </c>
      <c r="P205">
        <f t="shared" si="30"/>
        <v>7500</v>
      </c>
      <c r="Q205">
        <f t="shared" si="31"/>
        <v>900</v>
      </c>
      <c r="R205">
        <f t="shared" si="32"/>
        <v>6600</v>
      </c>
      <c r="S205">
        <f t="shared" si="33"/>
        <v>1200</v>
      </c>
      <c r="T205" t="str">
        <f>_xlfn.CONCAT(Sales_Data!C205,"-",Sales_Data!E205,"-",Sales_Data!A205)</f>
        <v>East-C1009-1204</v>
      </c>
      <c r="U205" t="str">
        <f t="shared" si="34"/>
        <v>Regular</v>
      </c>
      <c r="V205" t="str" cm="1">
        <f t="array" ref="V205">_xlfn.IFS(R205&gt;=100000,"Excellent",R205&gt;=50000,"Good",R205&gt;=20000,"Average",TRUE,"Poor")</f>
        <v>Poor</v>
      </c>
      <c r="W205">
        <f t="shared" si="35"/>
        <v>2</v>
      </c>
      <c r="X205" t="str">
        <f t="shared" si="36"/>
        <v>April</v>
      </c>
      <c r="Y205">
        <f>HLOOKUP("Q"&amp;W205,Bonus_HLookup!$A$1:$E$2,2,FALSE)</f>
        <v>0.04</v>
      </c>
      <c r="Z205">
        <f t="shared" si="37"/>
        <v>32494.22</v>
      </c>
      <c r="AA205" s="1">
        <f t="shared" si="38"/>
        <v>6884.0243094649477</v>
      </c>
      <c r="AB205">
        <f t="shared" si="39"/>
        <v>738</v>
      </c>
    </row>
    <row r="206" spans="1:28" x14ac:dyDescent="0.3">
      <c r="A206">
        <v>1205</v>
      </c>
      <c r="B206" t="s">
        <v>243</v>
      </c>
      <c r="C206" t="s">
        <v>62</v>
      </c>
      <c r="D206" t="s">
        <v>59</v>
      </c>
      <c r="E206" t="s">
        <v>112</v>
      </c>
      <c r="F206" t="s">
        <v>25</v>
      </c>
      <c r="G206">
        <v>3</v>
      </c>
      <c r="H206">
        <v>1500</v>
      </c>
      <c r="I206">
        <v>10</v>
      </c>
      <c r="J206">
        <v>480280</v>
      </c>
      <c r="K206">
        <v>9</v>
      </c>
      <c r="L206">
        <v>3</v>
      </c>
      <c r="M206" t="str">
        <f>VLOOKUP(Sales_Data!F206,Product_Master!$A$2:$D$11,2)</f>
        <v>Keyboard</v>
      </c>
      <c r="N206" t="str">
        <f>VLOOKUP(F206,Product_Master!$A$2:$C$11,3)</f>
        <v>Accessories</v>
      </c>
      <c r="O206">
        <f>VLOOKUP(F206,Product_Master!$A$2:$D$11,4,FALSE)</f>
        <v>1200</v>
      </c>
      <c r="P206">
        <f t="shared" si="30"/>
        <v>4500</v>
      </c>
      <c r="Q206">
        <f t="shared" si="31"/>
        <v>450</v>
      </c>
      <c r="R206">
        <f t="shared" si="32"/>
        <v>4050</v>
      </c>
      <c r="S206">
        <f t="shared" si="33"/>
        <v>450</v>
      </c>
      <c r="T206" t="str">
        <f>_xlfn.CONCAT(Sales_Data!C206,"-",Sales_Data!E206,"-",Sales_Data!A206)</f>
        <v>East-C1048-1205</v>
      </c>
      <c r="U206" t="str">
        <f t="shared" si="34"/>
        <v>Regular</v>
      </c>
      <c r="V206" t="str" cm="1">
        <f t="array" ref="V206">_xlfn.IFS(R206&gt;=100000,"Excellent",R206&gt;=50000,"Good",R206&gt;=20000,"Average",TRUE,"Poor")</f>
        <v>Poor</v>
      </c>
      <c r="W206">
        <f t="shared" si="35"/>
        <v>2</v>
      </c>
      <c r="X206" t="str">
        <f t="shared" si="36"/>
        <v>April</v>
      </c>
      <c r="Y206">
        <f>HLOOKUP("Q"&amp;W206,Bonus_HLookup!$A$1:$E$2,2,FALSE)</f>
        <v>0.04</v>
      </c>
      <c r="Z206">
        <f t="shared" si="37"/>
        <v>129675.6</v>
      </c>
      <c r="AA206" s="1">
        <f t="shared" si="38"/>
        <v>15272.775601916313</v>
      </c>
      <c r="AB206">
        <f t="shared" si="39"/>
        <v>832</v>
      </c>
    </row>
    <row r="207" spans="1:28" x14ac:dyDescent="0.3">
      <c r="A207">
        <v>1206</v>
      </c>
      <c r="B207" t="s">
        <v>244</v>
      </c>
      <c r="C207" t="s">
        <v>30</v>
      </c>
      <c r="D207" t="s">
        <v>59</v>
      </c>
      <c r="E207" t="s">
        <v>54</v>
      </c>
      <c r="F207" t="s">
        <v>52</v>
      </c>
      <c r="G207">
        <v>4</v>
      </c>
      <c r="H207">
        <v>500</v>
      </c>
      <c r="I207">
        <v>15</v>
      </c>
      <c r="J207">
        <v>237482</v>
      </c>
      <c r="K207">
        <v>11</v>
      </c>
      <c r="L207">
        <v>1</v>
      </c>
      <c r="M207" t="str">
        <f>VLOOKUP(Sales_Data!F207,Product_Master!$A$2:$D$11,2)</f>
        <v>Mouse</v>
      </c>
      <c r="N207" t="str">
        <f>VLOOKUP(F207,Product_Master!$A$2:$C$11,3)</f>
        <v>Accessories</v>
      </c>
      <c r="O207">
        <f>VLOOKUP(F207,Product_Master!$A$2:$D$11,4,FALSE)</f>
        <v>350</v>
      </c>
      <c r="P207">
        <f t="shared" si="30"/>
        <v>2000</v>
      </c>
      <c r="Q207">
        <f t="shared" si="31"/>
        <v>300</v>
      </c>
      <c r="R207">
        <f t="shared" si="32"/>
        <v>1700</v>
      </c>
      <c r="S207">
        <f t="shared" si="33"/>
        <v>300</v>
      </c>
      <c r="T207" t="str">
        <f>_xlfn.CONCAT(Sales_Data!C207,"-",Sales_Data!E207,"-",Sales_Data!A207)</f>
        <v>South-C1034-1206</v>
      </c>
      <c r="U207" t="str">
        <f t="shared" si="34"/>
        <v>Regular</v>
      </c>
      <c r="V207" t="str" cm="1">
        <f t="array" ref="V207">_xlfn.IFS(R207&gt;=100000,"Excellent",R207&gt;=50000,"Good",R207&gt;=20000,"Average",TRUE,"Poor")</f>
        <v>Poor</v>
      </c>
      <c r="W207">
        <f t="shared" si="35"/>
        <v>1</v>
      </c>
      <c r="X207" t="str">
        <f t="shared" si="36"/>
        <v>March</v>
      </c>
      <c r="Y207">
        <f>HLOOKUP("Q"&amp;W207,Bonus_HLookup!$A$1:$E$2,2,FALSE)</f>
        <v>0.02</v>
      </c>
      <c r="Z207">
        <f t="shared" si="37"/>
        <v>26123.02</v>
      </c>
      <c r="AA207" s="1">
        <f t="shared" si="38"/>
        <v>20989.053029027567</v>
      </c>
      <c r="AB207">
        <f t="shared" si="39"/>
        <v>947</v>
      </c>
    </row>
    <row r="208" spans="1:28" x14ac:dyDescent="0.3">
      <c r="A208">
        <v>1207</v>
      </c>
      <c r="B208" t="s">
        <v>114</v>
      </c>
      <c r="C208" t="s">
        <v>18</v>
      </c>
      <c r="D208" t="s">
        <v>91</v>
      </c>
      <c r="E208" t="s">
        <v>108</v>
      </c>
      <c r="F208" t="s">
        <v>52</v>
      </c>
      <c r="G208">
        <v>1</v>
      </c>
      <c r="H208">
        <v>500</v>
      </c>
      <c r="I208">
        <v>0</v>
      </c>
      <c r="J208">
        <v>141235</v>
      </c>
      <c r="K208">
        <v>10</v>
      </c>
      <c r="L208">
        <v>3</v>
      </c>
      <c r="M208" t="str">
        <f>VLOOKUP(Sales_Data!F208,Product_Master!$A$2:$D$11,2)</f>
        <v>Mouse</v>
      </c>
      <c r="N208" t="str">
        <f>VLOOKUP(F208,Product_Master!$A$2:$C$11,3)</f>
        <v>Accessories</v>
      </c>
      <c r="O208">
        <f>VLOOKUP(F208,Product_Master!$A$2:$D$11,4,FALSE)</f>
        <v>350</v>
      </c>
      <c r="P208">
        <f t="shared" si="30"/>
        <v>500</v>
      </c>
      <c r="Q208">
        <f t="shared" si="31"/>
        <v>0</v>
      </c>
      <c r="R208">
        <f t="shared" si="32"/>
        <v>500</v>
      </c>
      <c r="S208">
        <f t="shared" si="33"/>
        <v>150</v>
      </c>
      <c r="T208" t="str">
        <f>_xlfn.CONCAT(Sales_Data!C208,"-",Sales_Data!E208,"-",Sales_Data!A208)</f>
        <v>North-C1031-1207</v>
      </c>
      <c r="U208" t="str">
        <f t="shared" si="34"/>
        <v>Regular</v>
      </c>
      <c r="V208" t="str" cm="1">
        <f t="array" ref="V208">_xlfn.IFS(R208&gt;=100000,"Excellent",R208&gt;=50000,"Good",R208&gt;=20000,"Average",TRUE,"Poor")</f>
        <v>Poor</v>
      </c>
      <c r="W208">
        <f t="shared" si="35"/>
        <v>4</v>
      </c>
      <c r="X208" t="str">
        <f t="shared" si="36"/>
        <v>November</v>
      </c>
      <c r="Y208">
        <f>HLOOKUP("Q"&amp;W208,Bonus_HLookup!$A$1:$E$2,2,FALSE)</f>
        <v>0.08</v>
      </c>
      <c r="Z208">
        <f t="shared" si="37"/>
        <v>42370.5</v>
      </c>
      <c r="AA208" s="1">
        <f t="shared" si="38"/>
        <v>4557.2561833216369</v>
      </c>
      <c r="AB208">
        <f t="shared" si="39"/>
        <v>993</v>
      </c>
    </row>
    <row r="209" spans="1:28" x14ac:dyDescent="0.3">
      <c r="A209">
        <v>1208</v>
      </c>
      <c r="B209" t="s">
        <v>93</v>
      </c>
      <c r="C209" t="s">
        <v>62</v>
      </c>
      <c r="D209" t="s">
        <v>14</v>
      </c>
      <c r="E209" t="s">
        <v>44</v>
      </c>
      <c r="F209" t="s">
        <v>16</v>
      </c>
      <c r="G209">
        <v>10</v>
      </c>
      <c r="H209">
        <v>2500</v>
      </c>
      <c r="I209">
        <v>0</v>
      </c>
      <c r="J209">
        <v>386243</v>
      </c>
      <c r="K209">
        <v>9</v>
      </c>
      <c r="L209">
        <v>5</v>
      </c>
      <c r="M209" t="str">
        <f>VLOOKUP(Sales_Data!F209,Product_Master!$A$2:$D$11,2)</f>
        <v>Speaker</v>
      </c>
      <c r="N209" t="str">
        <f>VLOOKUP(F209,Product_Master!$A$2:$C$11,3)</f>
        <v>Accessories</v>
      </c>
      <c r="O209">
        <f>VLOOKUP(F209,Product_Master!$A$2:$D$11,4,FALSE)</f>
        <v>1800</v>
      </c>
      <c r="P209">
        <f t="shared" si="30"/>
        <v>25000</v>
      </c>
      <c r="Q209">
        <f t="shared" si="31"/>
        <v>0</v>
      </c>
      <c r="R209">
        <f t="shared" si="32"/>
        <v>25000</v>
      </c>
      <c r="S209">
        <f t="shared" si="33"/>
        <v>7000</v>
      </c>
      <c r="T209" t="str">
        <f>_xlfn.CONCAT(Sales_Data!C209,"-",Sales_Data!E209,"-",Sales_Data!A209)</f>
        <v>East-C1028-1208</v>
      </c>
      <c r="U209" t="str">
        <f t="shared" si="34"/>
        <v>Regular</v>
      </c>
      <c r="V209" t="str" cm="1">
        <f t="array" ref="V209">_xlfn.IFS(R209&gt;=100000,"Excellent",R209&gt;=50000,"Good",R209&gt;=20000,"Average",TRUE,"Poor")</f>
        <v>Average</v>
      </c>
      <c r="W209">
        <f t="shared" si="35"/>
        <v>4</v>
      </c>
      <c r="X209" t="str">
        <f t="shared" si="36"/>
        <v>November</v>
      </c>
      <c r="Y209">
        <f>HLOOKUP("Q"&amp;W209,Bonus_HLookup!$A$1:$E$2,2,FALSE)</f>
        <v>0.08</v>
      </c>
      <c r="Z209">
        <f t="shared" si="37"/>
        <v>173809.35</v>
      </c>
      <c r="AA209" s="1">
        <f t="shared" si="38"/>
        <v>8017.7693976926512</v>
      </c>
      <c r="AB209">
        <f t="shared" si="39"/>
        <v>397</v>
      </c>
    </row>
    <row r="210" spans="1:28" x14ac:dyDescent="0.3">
      <c r="A210">
        <v>1209</v>
      </c>
      <c r="B210" t="s">
        <v>245</v>
      </c>
      <c r="C210" t="s">
        <v>13</v>
      </c>
      <c r="D210" t="s">
        <v>23</v>
      </c>
      <c r="E210" t="s">
        <v>172</v>
      </c>
      <c r="F210" t="s">
        <v>69</v>
      </c>
      <c r="G210">
        <v>3</v>
      </c>
      <c r="H210">
        <v>2000</v>
      </c>
      <c r="I210">
        <v>0</v>
      </c>
      <c r="J210">
        <v>456482</v>
      </c>
      <c r="K210">
        <v>11</v>
      </c>
      <c r="L210">
        <v>2</v>
      </c>
      <c r="M210" t="str">
        <f>VLOOKUP(Sales_Data!F210,Product_Master!$A$2:$D$11,2)</f>
        <v>Headset</v>
      </c>
      <c r="N210" t="str">
        <f>VLOOKUP(F210,Product_Master!$A$2:$C$11,3)</f>
        <v>Accessories</v>
      </c>
      <c r="O210">
        <f>VLOOKUP(F210,Product_Master!$A$2:$D$11,4,FALSE)</f>
        <v>1500</v>
      </c>
      <c r="P210">
        <f t="shared" si="30"/>
        <v>6000</v>
      </c>
      <c r="Q210">
        <f t="shared" si="31"/>
        <v>0</v>
      </c>
      <c r="R210">
        <f t="shared" si="32"/>
        <v>6000</v>
      </c>
      <c r="S210">
        <f t="shared" si="33"/>
        <v>1500</v>
      </c>
      <c r="T210" t="str">
        <f>_xlfn.CONCAT(Sales_Data!C210,"-",Sales_Data!E210,"-",Sales_Data!A210)</f>
        <v>West-C1033-1209</v>
      </c>
      <c r="U210" t="str">
        <f t="shared" si="34"/>
        <v>Regular</v>
      </c>
      <c r="V210" t="str" cm="1">
        <f t="array" ref="V210">_xlfn.IFS(R210&gt;=100000,"Excellent",R210&gt;=50000,"Good",R210&gt;=20000,"Average",TRUE,"Poor")</f>
        <v>Poor</v>
      </c>
      <c r="W210">
        <f t="shared" si="35"/>
        <v>1</v>
      </c>
      <c r="X210" t="str">
        <f t="shared" si="36"/>
        <v>February</v>
      </c>
      <c r="Y210">
        <f>HLOOKUP("Q"&amp;W210,Bonus_HLookup!$A$1:$E$2,2,FALSE)</f>
        <v>0.02</v>
      </c>
      <c r="Z210">
        <f t="shared" si="37"/>
        <v>100426.04</v>
      </c>
      <c r="AA210" s="1">
        <f t="shared" si="38"/>
        <v>21275.639195626154</v>
      </c>
      <c r="AB210">
        <f t="shared" si="39"/>
        <v>759</v>
      </c>
    </row>
    <row r="211" spans="1:28" x14ac:dyDescent="0.3">
      <c r="A211">
        <v>1210</v>
      </c>
      <c r="B211" t="s">
        <v>246</v>
      </c>
      <c r="C211" t="s">
        <v>13</v>
      </c>
      <c r="D211" t="s">
        <v>14</v>
      </c>
      <c r="E211" t="s">
        <v>172</v>
      </c>
      <c r="F211" t="s">
        <v>69</v>
      </c>
      <c r="G211">
        <v>10</v>
      </c>
      <c r="H211">
        <v>2000</v>
      </c>
      <c r="I211">
        <v>10</v>
      </c>
      <c r="J211">
        <v>51548</v>
      </c>
      <c r="K211">
        <v>7</v>
      </c>
      <c r="L211">
        <v>1</v>
      </c>
      <c r="M211" t="str">
        <f>VLOOKUP(Sales_Data!F211,Product_Master!$A$2:$D$11,2)</f>
        <v>Headset</v>
      </c>
      <c r="N211" t="str">
        <f>VLOOKUP(F211,Product_Master!$A$2:$C$11,3)</f>
        <v>Accessories</v>
      </c>
      <c r="O211">
        <f>VLOOKUP(F211,Product_Master!$A$2:$D$11,4,FALSE)</f>
        <v>1500</v>
      </c>
      <c r="P211">
        <f t="shared" si="30"/>
        <v>20000</v>
      </c>
      <c r="Q211">
        <f t="shared" si="31"/>
        <v>2000</v>
      </c>
      <c r="R211">
        <f t="shared" si="32"/>
        <v>18000</v>
      </c>
      <c r="S211">
        <f t="shared" si="33"/>
        <v>3000</v>
      </c>
      <c r="T211" t="str">
        <f>_xlfn.CONCAT(Sales_Data!C211,"-",Sales_Data!E211,"-",Sales_Data!A211)</f>
        <v>West-C1033-1210</v>
      </c>
      <c r="U211" t="str">
        <f t="shared" si="34"/>
        <v>Regular</v>
      </c>
      <c r="V211" t="str" cm="1">
        <f t="array" ref="V211">_xlfn.IFS(R211&gt;=100000,"Excellent",R211&gt;=50000,"Good",R211&gt;=20000,"Average",TRUE,"Poor")</f>
        <v>Poor</v>
      </c>
      <c r="W211">
        <f t="shared" si="35"/>
        <v>3</v>
      </c>
      <c r="X211" t="str">
        <f t="shared" si="36"/>
        <v>September</v>
      </c>
      <c r="Y211">
        <f>HLOOKUP("Q"&amp;W211,Bonus_HLookup!$A$1:$E$2,2,FALSE)</f>
        <v>0.06</v>
      </c>
      <c r="Z211">
        <f t="shared" si="37"/>
        <v>3608.36</v>
      </c>
      <c r="AA211" s="1">
        <f t="shared" si="38"/>
        <v>4460.2807078668202</v>
      </c>
      <c r="AB211">
        <f t="shared" si="39"/>
        <v>480</v>
      </c>
    </row>
    <row r="212" spans="1:28" x14ac:dyDescent="0.3">
      <c r="A212">
        <v>1211</v>
      </c>
      <c r="B212" t="s">
        <v>247</v>
      </c>
      <c r="C212" t="s">
        <v>13</v>
      </c>
      <c r="D212" t="s">
        <v>19</v>
      </c>
      <c r="E212" t="s">
        <v>187</v>
      </c>
      <c r="F212" t="s">
        <v>42</v>
      </c>
      <c r="G212">
        <v>3</v>
      </c>
      <c r="H212">
        <v>8000</v>
      </c>
      <c r="I212">
        <v>8</v>
      </c>
      <c r="J212">
        <v>116258</v>
      </c>
      <c r="K212">
        <v>8</v>
      </c>
      <c r="L212">
        <v>4</v>
      </c>
      <c r="M212" t="str">
        <f>VLOOKUP(Sales_Data!F212,Product_Master!$A$2:$D$11,2)</f>
        <v>Printer</v>
      </c>
      <c r="N212" t="str">
        <f>VLOOKUP(F212,Product_Master!$A$2:$C$11,3)</f>
        <v>Electronics</v>
      </c>
      <c r="O212">
        <f>VLOOKUP(F212,Product_Master!$A$2:$D$11,4,FALSE)</f>
        <v>6500</v>
      </c>
      <c r="P212">
        <f t="shared" si="30"/>
        <v>24000</v>
      </c>
      <c r="Q212">
        <f t="shared" si="31"/>
        <v>1920</v>
      </c>
      <c r="R212">
        <f t="shared" si="32"/>
        <v>22080</v>
      </c>
      <c r="S212">
        <f t="shared" si="33"/>
        <v>2580</v>
      </c>
      <c r="T212" t="str">
        <f>_xlfn.CONCAT(Sales_Data!C212,"-",Sales_Data!E212,"-",Sales_Data!A212)</f>
        <v>West-C1041-1211</v>
      </c>
      <c r="U212" t="str">
        <f t="shared" si="34"/>
        <v>Regular</v>
      </c>
      <c r="V212" t="str" cm="1">
        <f t="array" ref="V212">_xlfn.IFS(R212&gt;=100000,"Excellent",R212&gt;=50000,"Good",R212&gt;=20000,"Average",TRUE,"Poor")</f>
        <v>Average</v>
      </c>
      <c r="W212">
        <f t="shared" si="35"/>
        <v>1</v>
      </c>
      <c r="X212" t="str">
        <f t="shared" si="36"/>
        <v>March</v>
      </c>
      <c r="Y212">
        <f>HLOOKUP("Q"&amp;W212,Bonus_HLookup!$A$1:$E$2,2,FALSE)</f>
        <v>0.02</v>
      </c>
      <c r="Z212">
        <f t="shared" si="37"/>
        <v>37202.559999999998</v>
      </c>
      <c r="AA212" s="1">
        <f t="shared" si="38"/>
        <v>2838.1975255783955</v>
      </c>
      <c r="AB212">
        <f t="shared" si="39"/>
        <v>418</v>
      </c>
    </row>
    <row r="213" spans="1:28" x14ac:dyDescent="0.3">
      <c r="A213">
        <v>1212</v>
      </c>
      <c r="B213" t="s">
        <v>248</v>
      </c>
      <c r="C213" t="s">
        <v>18</v>
      </c>
      <c r="D213" t="s">
        <v>46</v>
      </c>
      <c r="E213" t="s">
        <v>73</v>
      </c>
      <c r="F213" t="s">
        <v>42</v>
      </c>
      <c r="G213">
        <v>4</v>
      </c>
      <c r="H213">
        <v>8000</v>
      </c>
      <c r="I213">
        <v>5</v>
      </c>
      <c r="J213">
        <v>238584</v>
      </c>
      <c r="K213">
        <v>12</v>
      </c>
      <c r="L213">
        <v>5</v>
      </c>
      <c r="M213" t="str">
        <f>VLOOKUP(Sales_Data!F213,Product_Master!$A$2:$D$11,2)</f>
        <v>Printer</v>
      </c>
      <c r="N213" t="str">
        <f>VLOOKUP(F213,Product_Master!$A$2:$C$11,3)</f>
        <v>Electronics</v>
      </c>
      <c r="O213">
        <f>VLOOKUP(F213,Product_Master!$A$2:$D$11,4,FALSE)</f>
        <v>6500</v>
      </c>
      <c r="P213">
        <f t="shared" si="30"/>
        <v>32000</v>
      </c>
      <c r="Q213">
        <f t="shared" si="31"/>
        <v>1600</v>
      </c>
      <c r="R213">
        <f t="shared" si="32"/>
        <v>30400</v>
      </c>
      <c r="S213">
        <f t="shared" si="33"/>
        <v>4400</v>
      </c>
      <c r="T213" t="str">
        <f>_xlfn.CONCAT(Sales_Data!C213,"-",Sales_Data!E213,"-",Sales_Data!A213)</f>
        <v>North-C1014-1212</v>
      </c>
      <c r="U213" t="str">
        <f t="shared" si="34"/>
        <v>Regular</v>
      </c>
      <c r="V213" t="str" cm="1">
        <f t="array" ref="V213">_xlfn.IFS(R213&gt;=100000,"Excellent",R213&gt;=50000,"Good",R213&gt;=20000,"Average",TRUE,"Poor")</f>
        <v>Average</v>
      </c>
      <c r="W213">
        <f t="shared" si="35"/>
        <v>2</v>
      </c>
      <c r="X213" t="str">
        <f t="shared" si="36"/>
        <v>April</v>
      </c>
      <c r="Y213">
        <f>HLOOKUP("Q"&amp;W213,Bonus_HLookup!$A$1:$E$2,2,FALSE)</f>
        <v>0.04</v>
      </c>
      <c r="Z213">
        <f t="shared" si="37"/>
        <v>143150.39999999999</v>
      </c>
      <c r="AA213" s="1">
        <f t="shared" si="38"/>
        <v>5307.1693064546052</v>
      </c>
      <c r="AB213">
        <f t="shared" si="39"/>
        <v>375</v>
      </c>
    </row>
    <row r="214" spans="1:28" x14ac:dyDescent="0.3">
      <c r="A214">
        <v>1213</v>
      </c>
      <c r="B214" t="s">
        <v>200</v>
      </c>
      <c r="C214" t="s">
        <v>18</v>
      </c>
      <c r="D214" t="s">
        <v>50</v>
      </c>
      <c r="E214" t="s">
        <v>133</v>
      </c>
      <c r="F214" t="s">
        <v>42</v>
      </c>
      <c r="G214">
        <v>3</v>
      </c>
      <c r="H214">
        <v>8000</v>
      </c>
      <c r="I214">
        <v>5</v>
      </c>
      <c r="J214">
        <v>412521</v>
      </c>
      <c r="K214">
        <v>12</v>
      </c>
      <c r="L214">
        <v>1</v>
      </c>
      <c r="M214" t="str">
        <f>VLOOKUP(Sales_Data!F214,Product_Master!$A$2:$D$11,2)</f>
        <v>Printer</v>
      </c>
      <c r="N214" t="str">
        <f>VLOOKUP(F214,Product_Master!$A$2:$C$11,3)</f>
        <v>Electronics</v>
      </c>
      <c r="O214">
        <f>VLOOKUP(F214,Product_Master!$A$2:$D$11,4,FALSE)</f>
        <v>6500</v>
      </c>
      <c r="P214">
        <f t="shared" si="30"/>
        <v>24000</v>
      </c>
      <c r="Q214">
        <f t="shared" si="31"/>
        <v>1200</v>
      </c>
      <c r="R214">
        <f t="shared" si="32"/>
        <v>22800</v>
      </c>
      <c r="S214">
        <f t="shared" si="33"/>
        <v>3300</v>
      </c>
      <c r="T214" t="str">
        <f>_xlfn.CONCAT(Sales_Data!C214,"-",Sales_Data!E214,"-",Sales_Data!A214)</f>
        <v>North-C1021-1213</v>
      </c>
      <c r="U214" t="str">
        <f t="shared" si="34"/>
        <v>Regular</v>
      </c>
      <c r="V214" t="str" cm="1">
        <f t="array" ref="V214">_xlfn.IFS(R214&gt;=100000,"Excellent",R214&gt;=50000,"Good",R214&gt;=20000,"Average",TRUE,"Poor")</f>
        <v>Average</v>
      </c>
      <c r="W214">
        <f t="shared" si="35"/>
        <v>2</v>
      </c>
      <c r="X214" t="str">
        <f t="shared" si="36"/>
        <v>May</v>
      </c>
      <c r="Y214">
        <f>HLOOKUP("Q"&amp;W214,Bonus_HLookup!$A$1:$E$2,2,FALSE)</f>
        <v>0.04</v>
      </c>
      <c r="Z214">
        <f t="shared" si="37"/>
        <v>49502.52</v>
      </c>
      <c r="AA214" s="1">
        <f t="shared" si="38"/>
        <v>36651.991154378193</v>
      </c>
      <c r="AB214">
        <f t="shared" si="39"/>
        <v>410</v>
      </c>
    </row>
    <row r="215" spans="1:28" x14ac:dyDescent="0.3">
      <c r="A215">
        <v>1214</v>
      </c>
      <c r="B215" t="s">
        <v>249</v>
      </c>
      <c r="C215" t="s">
        <v>13</v>
      </c>
      <c r="D215" t="s">
        <v>14</v>
      </c>
      <c r="E215" t="s">
        <v>165</v>
      </c>
      <c r="F215" t="s">
        <v>16</v>
      </c>
      <c r="G215">
        <v>1</v>
      </c>
      <c r="H215">
        <v>2500</v>
      </c>
      <c r="I215">
        <v>2</v>
      </c>
      <c r="J215">
        <v>95275</v>
      </c>
      <c r="K215">
        <v>12</v>
      </c>
      <c r="L215">
        <v>1</v>
      </c>
      <c r="M215" t="str">
        <f>VLOOKUP(Sales_Data!F215,Product_Master!$A$2:$D$11,2)</f>
        <v>Speaker</v>
      </c>
      <c r="N215" t="str">
        <f>VLOOKUP(F215,Product_Master!$A$2:$C$11,3)</f>
        <v>Accessories</v>
      </c>
      <c r="O215">
        <f>VLOOKUP(F215,Product_Master!$A$2:$D$11,4,FALSE)</f>
        <v>1800</v>
      </c>
      <c r="P215">
        <f t="shared" si="30"/>
        <v>2500</v>
      </c>
      <c r="Q215">
        <f t="shared" si="31"/>
        <v>50</v>
      </c>
      <c r="R215">
        <f t="shared" si="32"/>
        <v>2450</v>
      </c>
      <c r="S215">
        <f t="shared" si="33"/>
        <v>650</v>
      </c>
      <c r="T215" t="str">
        <f>_xlfn.CONCAT(Sales_Data!C215,"-",Sales_Data!E215,"-",Sales_Data!A215)</f>
        <v>West-C1042-1214</v>
      </c>
      <c r="U215" t="str">
        <f t="shared" si="34"/>
        <v>Regular</v>
      </c>
      <c r="V215" t="str" cm="1">
        <f t="array" ref="V215">_xlfn.IFS(R215&gt;=100000,"Excellent",R215&gt;=50000,"Good",R215&gt;=20000,"Average",TRUE,"Poor")</f>
        <v>Poor</v>
      </c>
      <c r="W215">
        <f t="shared" si="35"/>
        <v>4</v>
      </c>
      <c r="X215" t="str">
        <f t="shared" si="36"/>
        <v>December</v>
      </c>
      <c r="Y215">
        <f>HLOOKUP("Q"&amp;W215,Bonus_HLookup!$A$1:$E$2,2,FALSE)</f>
        <v>0.08</v>
      </c>
      <c r="Z215">
        <f t="shared" si="37"/>
        <v>11433</v>
      </c>
      <c r="AA215" s="1">
        <f t="shared" si="38"/>
        <v>8465.0683413290044</v>
      </c>
      <c r="AB215">
        <f t="shared" si="39"/>
        <v>908</v>
      </c>
    </row>
    <row r="216" spans="1:28" x14ac:dyDescent="0.3">
      <c r="A216">
        <v>1215</v>
      </c>
      <c r="B216" t="s">
        <v>250</v>
      </c>
      <c r="C216" t="s">
        <v>18</v>
      </c>
      <c r="D216" t="s">
        <v>46</v>
      </c>
      <c r="E216" t="s">
        <v>99</v>
      </c>
      <c r="F216" t="s">
        <v>16</v>
      </c>
      <c r="G216">
        <v>2</v>
      </c>
      <c r="H216">
        <v>2500</v>
      </c>
      <c r="I216">
        <v>15</v>
      </c>
      <c r="J216">
        <v>93158</v>
      </c>
      <c r="K216">
        <v>8</v>
      </c>
      <c r="L216">
        <v>1</v>
      </c>
      <c r="M216" t="str">
        <f>VLOOKUP(Sales_Data!F216,Product_Master!$A$2:$D$11,2)</f>
        <v>Speaker</v>
      </c>
      <c r="N216" t="str">
        <f>VLOOKUP(F216,Product_Master!$A$2:$C$11,3)</f>
        <v>Accessories</v>
      </c>
      <c r="O216">
        <f>VLOOKUP(F216,Product_Master!$A$2:$D$11,4,FALSE)</f>
        <v>1800</v>
      </c>
      <c r="P216">
        <f t="shared" si="30"/>
        <v>5000</v>
      </c>
      <c r="Q216">
        <f t="shared" si="31"/>
        <v>750</v>
      </c>
      <c r="R216">
        <f t="shared" si="32"/>
        <v>4250</v>
      </c>
      <c r="S216">
        <f t="shared" si="33"/>
        <v>650</v>
      </c>
      <c r="T216" t="str">
        <f>_xlfn.CONCAT(Sales_Data!C216,"-",Sales_Data!E216,"-",Sales_Data!A216)</f>
        <v>North-C1050-1215</v>
      </c>
      <c r="U216" t="str">
        <f t="shared" si="34"/>
        <v>Regular</v>
      </c>
      <c r="V216" t="str" cm="1">
        <f t="array" ref="V216">_xlfn.IFS(R216&gt;=100000,"Excellent",R216&gt;=50000,"Good",R216&gt;=20000,"Average",TRUE,"Poor")</f>
        <v>Poor</v>
      </c>
      <c r="W216">
        <f t="shared" si="35"/>
        <v>2</v>
      </c>
      <c r="X216" t="str">
        <f t="shared" si="36"/>
        <v>April</v>
      </c>
      <c r="Y216">
        <f>HLOOKUP("Q"&amp;W216,Bonus_HLookup!$A$1:$E$2,2,FALSE)</f>
        <v>0.04</v>
      </c>
      <c r="Z216">
        <f t="shared" si="37"/>
        <v>7452.64</v>
      </c>
      <c r="AA216" s="1">
        <f t="shared" si="38"/>
        <v>8103.6680767396565</v>
      </c>
      <c r="AB216">
        <f t="shared" si="39"/>
        <v>825</v>
      </c>
    </row>
    <row r="217" spans="1:28" x14ac:dyDescent="0.3">
      <c r="A217">
        <v>1216</v>
      </c>
      <c r="B217" t="s">
        <v>118</v>
      </c>
      <c r="C217" t="s">
        <v>30</v>
      </c>
      <c r="D217" t="s">
        <v>19</v>
      </c>
      <c r="E217" t="s">
        <v>165</v>
      </c>
      <c r="F217" t="s">
        <v>25</v>
      </c>
      <c r="G217">
        <v>8</v>
      </c>
      <c r="H217">
        <v>1500</v>
      </c>
      <c r="I217">
        <v>10</v>
      </c>
      <c r="J217">
        <v>422678</v>
      </c>
      <c r="K217">
        <v>11</v>
      </c>
      <c r="L217">
        <v>4</v>
      </c>
      <c r="M217" t="str">
        <f>VLOOKUP(Sales_Data!F217,Product_Master!$A$2:$D$11,2)</f>
        <v>Keyboard</v>
      </c>
      <c r="N217" t="str">
        <f>VLOOKUP(F217,Product_Master!$A$2:$C$11,3)</f>
        <v>Accessories</v>
      </c>
      <c r="O217">
        <f>VLOOKUP(F217,Product_Master!$A$2:$D$11,4,FALSE)</f>
        <v>1200</v>
      </c>
      <c r="P217">
        <f t="shared" si="30"/>
        <v>12000</v>
      </c>
      <c r="Q217">
        <f t="shared" si="31"/>
        <v>1200</v>
      </c>
      <c r="R217">
        <f t="shared" si="32"/>
        <v>10800</v>
      </c>
      <c r="S217">
        <f t="shared" si="33"/>
        <v>1200</v>
      </c>
      <c r="T217" t="str">
        <f>_xlfn.CONCAT(Sales_Data!C217,"-",Sales_Data!E217,"-",Sales_Data!A217)</f>
        <v>South-C1042-1216</v>
      </c>
      <c r="U217" t="str">
        <f t="shared" si="34"/>
        <v>Regular</v>
      </c>
      <c r="V217" t="str" cm="1">
        <f t="array" ref="V217">_xlfn.IFS(R217&gt;=100000,"Excellent",R217&gt;=50000,"Good",R217&gt;=20000,"Average",TRUE,"Poor")</f>
        <v>Poor</v>
      </c>
      <c r="W217">
        <f t="shared" si="35"/>
        <v>1</v>
      </c>
      <c r="X217" t="str">
        <f t="shared" si="36"/>
        <v>March</v>
      </c>
      <c r="Y217">
        <f>HLOOKUP("Q"&amp;W217,Bonus_HLookup!$A$1:$E$2,2,FALSE)</f>
        <v>0.02</v>
      </c>
      <c r="Z217">
        <f t="shared" si="37"/>
        <v>185978.32</v>
      </c>
      <c r="AA217" s="1">
        <f t="shared" si="38"/>
        <v>10924.333806363653</v>
      </c>
      <c r="AB217">
        <f t="shared" si="39"/>
        <v>619</v>
      </c>
    </row>
    <row r="218" spans="1:28" x14ac:dyDescent="0.3">
      <c r="A218">
        <v>1217</v>
      </c>
      <c r="B218" t="s">
        <v>251</v>
      </c>
      <c r="C218" t="s">
        <v>18</v>
      </c>
      <c r="D218" t="s">
        <v>46</v>
      </c>
      <c r="E218" t="s">
        <v>102</v>
      </c>
      <c r="F218" t="s">
        <v>25</v>
      </c>
      <c r="G218">
        <v>4</v>
      </c>
      <c r="H218">
        <v>1500</v>
      </c>
      <c r="I218">
        <v>12</v>
      </c>
      <c r="J218">
        <v>198657</v>
      </c>
      <c r="K218">
        <v>10</v>
      </c>
      <c r="L218">
        <v>3</v>
      </c>
      <c r="M218" t="str">
        <f>VLOOKUP(Sales_Data!F218,Product_Master!$A$2:$D$11,2)</f>
        <v>Keyboard</v>
      </c>
      <c r="N218" t="str">
        <f>VLOOKUP(F218,Product_Master!$A$2:$C$11,3)</f>
        <v>Accessories</v>
      </c>
      <c r="O218">
        <f>VLOOKUP(F218,Product_Master!$A$2:$D$11,4,FALSE)</f>
        <v>1200</v>
      </c>
      <c r="P218">
        <f t="shared" si="30"/>
        <v>6000</v>
      </c>
      <c r="Q218">
        <f t="shared" si="31"/>
        <v>720</v>
      </c>
      <c r="R218">
        <f t="shared" si="32"/>
        <v>5280</v>
      </c>
      <c r="S218">
        <f t="shared" si="33"/>
        <v>480</v>
      </c>
      <c r="T218" t="str">
        <f>_xlfn.CONCAT(Sales_Data!C218,"-",Sales_Data!E218,"-",Sales_Data!A218)</f>
        <v>North-C1049-1217</v>
      </c>
      <c r="U218" t="str">
        <f t="shared" si="34"/>
        <v>Regular</v>
      </c>
      <c r="V218" t="str" cm="1">
        <f t="array" ref="V218">_xlfn.IFS(R218&gt;=100000,"Excellent",R218&gt;=50000,"Good",R218&gt;=20000,"Average",TRUE,"Poor")</f>
        <v>Poor</v>
      </c>
      <c r="W218">
        <f t="shared" si="35"/>
        <v>3</v>
      </c>
      <c r="X218" t="str">
        <f t="shared" si="36"/>
        <v>August</v>
      </c>
      <c r="Y218">
        <f>HLOOKUP("Q"&amp;W218,Bonus_HLookup!$A$1:$E$2,2,FALSE)</f>
        <v>0.06</v>
      </c>
      <c r="Z218">
        <f t="shared" si="37"/>
        <v>59597.1</v>
      </c>
      <c r="AA218" s="1">
        <f t="shared" si="38"/>
        <v>6410.1026063661729</v>
      </c>
      <c r="AB218">
        <f t="shared" si="39"/>
        <v>779</v>
      </c>
    </row>
    <row r="219" spans="1:28" x14ac:dyDescent="0.3">
      <c r="A219">
        <v>1218</v>
      </c>
      <c r="B219" t="s">
        <v>153</v>
      </c>
      <c r="C219" t="s">
        <v>30</v>
      </c>
      <c r="D219" t="s">
        <v>46</v>
      </c>
      <c r="E219" t="s">
        <v>112</v>
      </c>
      <c r="F219" t="s">
        <v>69</v>
      </c>
      <c r="G219">
        <v>10</v>
      </c>
      <c r="H219">
        <v>2000</v>
      </c>
      <c r="I219">
        <v>15</v>
      </c>
      <c r="J219">
        <v>170855</v>
      </c>
      <c r="K219">
        <v>8</v>
      </c>
      <c r="L219">
        <v>4</v>
      </c>
      <c r="M219" t="str">
        <f>VLOOKUP(Sales_Data!F219,Product_Master!$A$2:$D$11,2)</f>
        <v>Headset</v>
      </c>
      <c r="N219" t="str">
        <f>VLOOKUP(F219,Product_Master!$A$2:$C$11,3)</f>
        <v>Accessories</v>
      </c>
      <c r="O219">
        <f>VLOOKUP(F219,Product_Master!$A$2:$D$11,4,FALSE)</f>
        <v>1500</v>
      </c>
      <c r="P219">
        <f t="shared" si="30"/>
        <v>20000</v>
      </c>
      <c r="Q219">
        <f t="shared" si="31"/>
        <v>3000</v>
      </c>
      <c r="R219">
        <f t="shared" si="32"/>
        <v>17000</v>
      </c>
      <c r="S219">
        <f t="shared" si="33"/>
        <v>2000</v>
      </c>
      <c r="T219" t="str">
        <f>_xlfn.CONCAT(Sales_Data!C219,"-",Sales_Data!E219,"-",Sales_Data!A219)</f>
        <v>South-C1048-1218</v>
      </c>
      <c r="U219" t="str">
        <f t="shared" si="34"/>
        <v>Regular</v>
      </c>
      <c r="V219" t="str" cm="1">
        <f t="array" ref="V219">_xlfn.IFS(R219&gt;=100000,"Excellent",R219&gt;=50000,"Good",R219&gt;=20000,"Average",TRUE,"Poor")</f>
        <v>Poor</v>
      </c>
      <c r="W219">
        <f t="shared" si="35"/>
        <v>2</v>
      </c>
      <c r="X219" t="str">
        <f t="shared" si="36"/>
        <v>June</v>
      </c>
      <c r="Y219">
        <f>HLOOKUP("Q"&amp;W219,Bonus_HLookup!$A$1:$E$2,2,FALSE)</f>
        <v>0.04</v>
      </c>
      <c r="Z219">
        <f t="shared" si="37"/>
        <v>54673.599999999999</v>
      </c>
      <c r="AA219" s="1">
        <f t="shared" si="38"/>
        <v>4171.0698466574067</v>
      </c>
      <c r="AB219">
        <f t="shared" si="39"/>
        <v>503</v>
      </c>
    </row>
    <row r="220" spans="1:28" x14ac:dyDescent="0.3">
      <c r="A220">
        <v>1219</v>
      </c>
      <c r="B220" t="s">
        <v>109</v>
      </c>
      <c r="C220" t="s">
        <v>62</v>
      </c>
      <c r="D220" t="s">
        <v>91</v>
      </c>
      <c r="E220" t="s">
        <v>196</v>
      </c>
      <c r="F220" t="s">
        <v>16</v>
      </c>
      <c r="G220">
        <v>9</v>
      </c>
      <c r="H220">
        <v>2500</v>
      </c>
      <c r="I220">
        <v>10</v>
      </c>
      <c r="J220">
        <v>85398</v>
      </c>
      <c r="K220">
        <v>8</v>
      </c>
      <c r="L220">
        <v>1</v>
      </c>
      <c r="M220" t="str">
        <f>VLOOKUP(Sales_Data!F220,Product_Master!$A$2:$D$11,2)</f>
        <v>Speaker</v>
      </c>
      <c r="N220" t="str">
        <f>VLOOKUP(F220,Product_Master!$A$2:$C$11,3)</f>
        <v>Accessories</v>
      </c>
      <c r="O220">
        <f>VLOOKUP(F220,Product_Master!$A$2:$D$11,4,FALSE)</f>
        <v>1800</v>
      </c>
      <c r="P220">
        <f t="shared" si="30"/>
        <v>22500</v>
      </c>
      <c r="Q220">
        <f t="shared" si="31"/>
        <v>2250</v>
      </c>
      <c r="R220">
        <f t="shared" si="32"/>
        <v>20250</v>
      </c>
      <c r="S220">
        <f t="shared" si="33"/>
        <v>4050</v>
      </c>
      <c r="T220" t="str">
        <f>_xlfn.CONCAT(Sales_Data!C220,"-",Sales_Data!E220,"-",Sales_Data!A220)</f>
        <v>East-C1032-1219</v>
      </c>
      <c r="U220" t="str">
        <f t="shared" si="34"/>
        <v>Regular</v>
      </c>
      <c r="V220" t="str" cm="1">
        <f t="array" ref="V220">_xlfn.IFS(R220&gt;=100000,"Excellent",R220&gt;=50000,"Good",R220&gt;=20000,"Average",TRUE,"Poor")</f>
        <v>Average</v>
      </c>
      <c r="W220">
        <f t="shared" si="35"/>
        <v>2</v>
      </c>
      <c r="X220" t="str">
        <f t="shared" si="36"/>
        <v>May</v>
      </c>
      <c r="Y220">
        <f>HLOOKUP("Q"&amp;W220,Bonus_HLookup!$A$1:$E$2,2,FALSE)</f>
        <v>0.04</v>
      </c>
      <c r="Z220">
        <f t="shared" si="37"/>
        <v>6831.84</v>
      </c>
      <c r="AA220" s="1">
        <f t="shared" si="38"/>
        <v>7428.6378670367885</v>
      </c>
      <c r="AB220">
        <f t="shared" si="39"/>
        <v>449</v>
      </c>
    </row>
    <row r="221" spans="1:28" x14ac:dyDescent="0.3">
      <c r="A221">
        <v>1220</v>
      </c>
      <c r="B221" t="s">
        <v>252</v>
      </c>
      <c r="C221" t="s">
        <v>18</v>
      </c>
      <c r="D221" t="s">
        <v>59</v>
      </c>
      <c r="E221" t="s">
        <v>189</v>
      </c>
      <c r="F221" t="s">
        <v>21</v>
      </c>
      <c r="G221">
        <v>8</v>
      </c>
      <c r="H221">
        <v>12000</v>
      </c>
      <c r="I221">
        <v>10</v>
      </c>
      <c r="J221">
        <v>417213</v>
      </c>
      <c r="K221">
        <v>7</v>
      </c>
      <c r="L221">
        <v>2</v>
      </c>
      <c r="M221" t="str">
        <f>VLOOKUP(Sales_Data!F221,Product_Master!$A$2:$D$11,2)</f>
        <v>Monitor</v>
      </c>
      <c r="N221" t="str">
        <f>VLOOKUP(F221,Product_Master!$A$2:$C$11,3)</f>
        <v>Electronics</v>
      </c>
      <c r="O221">
        <f>VLOOKUP(F221,Product_Master!$A$2:$D$11,4,FALSE)</f>
        <v>9000</v>
      </c>
      <c r="P221">
        <f t="shared" si="30"/>
        <v>96000</v>
      </c>
      <c r="Q221">
        <f t="shared" si="31"/>
        <v>9600</v>
      </c>
      <c r="R221">
        <f t="shared" si="32"/>
        <v>86400</v>
      </c>
      <c r="S221">
        <f t="shared" si="33"/>
        <v>14400</v>
      </c>
      <c r="T221" t="str">
        <f>_xlfn.CONCAT(Sales_Data!C221,"-",Sales_Data!E221,"-",Sales_Data!A221)</f>
        <v>North-C1015-1220</v>
      </c>
      <c r="U221" t="str">
        <f t="shared" si="34"/>
        <v>High Value</v>
      </c>
      <c r="V221" t="str" cm="1">
        <f t="array" ref="V221">_xlfn.IFS(R221&gt;=100000,"Excellent",R221&gt;=50000,"Good",R221&gt;=20000,"Average",TRUE,"Poor")</f>
        <v>Good</v>
      </c>
      <c r="W221">
        <f t="shared" si="35"/>
        <v>4</v>
      </c>
      <c r="X221" t="str">
        <f t="shared" si="36"/>
        <v>November</v>
      </c>
      <c r="Y221">
        <f>HLOOKUP("Q"&amp;W221,Bonus_HLookup!$A$1:$E$2,2,FALSE)</f>
        <v>0.08</v>
      </c>
      <c r="Z221">
        <f t="shared" si="37"/>
        <v>58409.82</v>
      </c>
      <c r="AA221" s="1">
        <f t="shared" si="38"/>
        <v>18679.702045360609</v>
      </c>
      <c r="AB221">
        <f t="shared" si="39"/>
        <v>189</v>
      </c>
    </row>
    <row r="222" spans="1:28" x14ac:dyDescent="0.3">
      <c r="A222">
        <v>1221</v>
      </c>
      <c r="B222" t="s">
        <v>253</v>
      </c>
      <c r="C222" t="s">
        <v>18</v>
      </c>
      <c r="D222" t="s">
        <v>14</v>
      </c>
      <c r="E222" t="s">
        <v>34</v>
      </c>
      <c r="F222" t="s">
        <v>25</v>
      </c>
      <c r="G222">
        <v>7</v>
      </c>
      <c r="H222">
        <v>1500</v>
      </c>
      <c r="I222">
        <v>8</v>
      </c>
      <c r="J222">
        <v>281205</v>
      </c>
      <c r="K222">
        <v>7</v>
      </c>
      <c r="L222">
        <v>5</v>
      </c>
      <c r="M222" t="str">
        <f>VLOOKUP(Sales_Data!F222,Product_Master!$A$2:$D$11,2)</f>
        <v>Keyboard</v>
      </c>
      <c r="N222" t="str">
        <f>VLOOKUP(F222,Product_Master!$A$2:$C$11,3)</f>
        <v>Accessories</v>
      </c>
      <c r="O222">
        <f>VLOOKUP(F222,Product_Master!$A$2:$D$11,4,FALSE)</f>
        <v>1200</v>
      </c>
      <c r="P222">
        <f t="shared" si="30"/>
        <v>10500</v>
      </c>
      <c r="Q222">
        <f t="shared" si="31"/>
        <v>840</v>
      </c>
      <c r="R222">
        <f t="shared" si="32"/>
        <v>9660</v>
      </c>
      <c r="S222">
        <f t="shared" si="33"/>
        <v>1260</v>
      </c>
      <c r="T222" t="str">
        <f>_xlfn.CONCAT(Sales_Data!C222,"-",Sales_Data!E222,"-",Sales_Data!A222)</f>
        <v>North-C1036-1221</v>
      </c>
      <c r="U222" t="str">
        <f t="shared" si="34"/>
        <v>Regular</v>
      </c>
      <c r="V222" t="str" cm="1">
        <f t="array" ref="V222">_xlfn.IFS(R222&gt;=100000,"Excellent",R222&gt;=50000,"Good",R222&gt;=20000,"Average",TRUE,"Poor")</f>
        <v>Poor</v>
      </c>
      <c r="W222">
        <f t="shared" si="35"/>
        <v>3</v>
      </c>
      <c r="X222" t="str">
        <f t="shared" si="36"/>
        <v>September</v>
      </c>
      <c r="Y222">
        <f>HLOOKUP("Q"&amp;W222,Bonus_HLookup!$A$1:$E$2,2,FALSE)</f>
        <v>0.06</v>
      </c>
      <c r="Z222">
        <f t="shared" si="37"/>
        <v>98421.75</v>
      </c>
      <c r="AA222" s="1">
        <f t="shared" si="38"/>
        <v>5568.1960355389911</v>
      </c>
      <c r="AB222">
        <f t="shared" si="39"/>
        <v>650</v>
      </c>
    </row>
    <row r="223" spans="1:28" x14ac:dyDescent="0.3">
      <c r="A223">
        <v>1222</v>
      </c>
      <c r="B223" t="s">
        <v>230</v>
      </c>
      <c r="C223" t="s">
        <v>30</v>
      </c>
      <c r="D223" t="s">
        <v>23</v>
      </c>
      <c r="E223" t="s">
        <v>157</v>
      </c>
      <c r="F223" t="s">
        <v>42</v>
      </c>
      <c r="G223">
        <v>10</v>
      </c>
      <c r="H223">
        <v>8000</v>
      </c>
      <c r="I223">
        <v>8</v>
      </c>
      <c r="J223">
        <v>487820</v>
      </c>
      <c r="K223">
        <v>12</v>
      </c>
      <c r="L223">
        <v>2</v>
      </c>
      <c r="M223" t="str">
        <f>VLOOKUP(Sales_Data!F223,Product_Master!$A$2:$D$11,2)</f>
        <v>Printer</v>
      </c>
      <c r="N223" t="str">
        <f>VLOOKUP(F223,Product_Master!$A$2:$C$11,3)</f>
        <v>Electronics</v>
      </c>
      <c r="O223">
        <f>VLOOKUP(F223,Product_Master!$A$2:$D$11,4,FALSE)</f>
        <v>6500</v>
      </c>
      <c r="P223">
        <f t="shared" si="30"/>
        <v>80000</v>
      </c>
      <c r="Q223">
        <f t="shared" si="31"/>
        <v>6400</v>
      </c>
      <c r="R223">
        <f t="shared" si="32"/>
        <v>73600</v>
      </c>
      <c r="S223">
        <f t="shared" si="33"/>
        <v>8600</v>
      </c>
      <c r="T223" t="str">
        <f>_xlfn.CONCAT(Sales_Data!C223,"-",Sales_Data!E223,"-",Sales_Data!A223)</f>
        <v>South-C1024-1222</v>
      </c>
      <c r="U223" t="str">
        <f t="shared" si="34"/>
        <v>High Value</v>
      </c>
      <c r="V223" t="str" cm="1">
        <f t="array" ref="V223">_xlfn.IFS(R223&gt;=100000,"Excellent",R223&gt;=50000,"Good",R223&gt;=20000,"Average",TRUE,"Poor")</f>
        <v>Good</v>
      </c>
      <c r="W223">
        <f t="shared" si="35"/>
        <v>4</v>
      </c>
      <c r="X223" t="str">
        <f t="shared" si="36"/>
        <v>December</v>
      </c>
      <c r="Y223">
        <f>HLOOKUP("Q"&amp;W223,Bonus_HLookup!$A$1:$E$2,2,FALSE)</f>
        <v>0.08</v>
      </c>
      <c r="Z223">
        <f t="shared" si="37"/>
        <v>117076.8</v>
      </c>
      <c r="AA223" s="1">
        <f t="shared" si="38"/>
        <v>22963.381219952986</v>
      </c>
      <c r="AB223">
        <f t="shared" si="39"/>
        <v>207</v>
      </c>
    </row>
    <row r="224" spans="1:28" x14ac:dyDescent="0.3">
      <c r="A224">
        <v>1223</v>
      </c>
      <c r="B224" t="s">
        <v>226</v>
      </c>
      <c r="C224" t="s">
        <v>62</v>
      </c>
      <c r="D224" t="s">
        <v>59</v>
      </c>
      <c r="E224" t="s">
        <v>187</v>
      </c>
      <c r="F224" t="s">
        <v>52</v>
      </c>
      <c r="G224">
        <v>6</v>
      </c>
      <c r="H224">
        <v>500</v>
      </c>
      <c r="I224">
        <v>15</v>
      </c>
      <c r="J224">
        <v>136169</v>
      </c>
      <c r="K224">
        <v>10</v>
      </c>
      <c r="L224">
        <v>1</v>
      </c>
      <c r="M224" t="str">
        <f>VLOOKUP(Sales_Data!F224,Product_Master!$A$2:$D$11,2)</f>
        <v>Mouse</v>
      </c>
      <c r="N224" t="str">
        <f>VLOOKUP(F224,Product_Master!$A$2:$C$11,3)</f>
        <v>Accessories</v>
      </c>
      <c r="O224">
        <f>VLOOKUP(F224,Product_Master!$A$2:$D$11,4,FALSE)</f>
        <v>350</v>
      </c>
      <c r="P224">
        <f t="shared" si="30"/>
        <v>3000</v>
      </c>
      <c r="Q224">
        <f t="shared" si="31"/>
        <v>450</v>
      </c>
      <c r="R224">
        <f t="shared" si="32"/>
        <v>2550</v>
      </c>
      <c r="S224">
        <f t="shared" si="33"/>
        <v>450</v>
      </c>
      <c r="T224" t="str">
        <f>_xlfn.CONCAT(Sales_Data!C224,"-",Sales_Data!E224,"-",Sales_Data!A224)</f>
        <v>East-C1041-1223</v>
      </c>
      <c r="U224" t="str">
        <f t="shared" si="34"/>
        <v>Regular</v>
      </c>
      <c r="V224" t="str" cm="1">
        <f t="array" ref="V224">_xlfn.IFS(R224&gt;=100000,"Excellent",R224&gt;=50000,"Good",R224&gt;=20000,"Average",TRUE,"Poor")</f>
        <v>Poor</v>
      </c>
      <c r="W224">
        <f t="shared" si="35"/>
        <v>3</v>
      </c>
      <c r="X224" t="str">
        <f t="shared" si="36"/>
        <v>July</v>
      </c>
      <c r="Y224">
        <f>HLOOKUP("Q"&amp;W224,Bonus_HLookup!$A$1:$E$2,2,FALSE)</f>
        <v>0.06</v>
      </c>
      <c r="Z224">
        <f t="shared" si="37"/>
        <v>13616.9</v>
      </c>
      <c r="AA224" s="1">
        <f t="shared" si="38"/>
        <v>11971.418448223178</v>
      </c>
      <c r="AB224">
        <f t="shared" si="39"/>
        <v>905</v>
      </c>
    </row>
    <row r="225" spans="1:28" x14ac:dyDescent="0.3">
      <c r="A225">
        <v>1224</v>
      </c>
      <c r="B225" t="s">
        <v>254</v>
      </c>
      <c r="C225" t="s">
        <v>62</v>
      </c>
      <c r="D225" t="s">
        <v>14</v>
      </c>
      <c r="E225" t="s">
        <v>106</v>
      </c>
      <c r="F225" t="s">
        <v>52</v>
      </c>
      <c r="G225">
        <v>8</v>
      </c>
      <c r="H225">
        <v>500</v>
      </c>
      <c r="I225">
        <v>2</v>
      </c>
      <c r="J225">
        <v>368368</v>
      </c>
      <c r="K225">
        <v>8</v>
      </c>
      <c r="L225">
        <v>5</v>
      </c>
      <c r="M225" t="str">
        <f>VLOOKUP(Sales_Data!F225,Product_Master!$A$2:$D$11,2)</f>
        <v>Mouse</v>
      </c>
      <c r="N225" t="str">
        <f>VLOOKUP(F225,Product_Master!$A$2:$C$11,3)</f>
        <v>Accessories</v>
      </c>
      <c r="O225">
        <f>VLOOKUP(F225,Product_Master!$A$2:$D$11,4,FALSE)</f>
        <v>350</v>
      </c>
      <c r="P225">
        <f t="shared" si="30"/>
        <v>4000</v>
      </c>
      <c r="Q225">
        <f t="shared" si="31"/>
        <v>80</v>
      </c>
      <c r="R225">
        <f t="shared" si="32"/>
        <v>3920</v>
      </c>
      <c r="S225">
        <f t="shared" si="33"/>
        <v>1120</v>
      </c>
      <c r="T225" t="str">
        <f>_xlfn.CONCAT(Sales_Data!C225,"-",Sales_Data!E225,"-",Sales_Data!A225)</f>
        <v>East-C1004-1224</v>
      </c>
      <c r="U225" t="str">
        <f t="shared" si="34"/>
        <v>Regular</v>
      </c>
      <c r="V225" t="str" cm="1">
        <f t="array" ref="V225">_xlfn.IFS(R225&gt;=100000,"Excellent",R225&gt;=50000,"Good",R225&gt;=20000,"Average",TRUE,"Poor")</f>
        <v>Poor</v>
      </c>
      <c r="W225">
        <f t="shared" si="35"/>
        <v>3</v>
      </c>
      <c r="X225" t="str">
        <f t="shared" si="36"/>
        <v>August</v>
      </c>
      <c r="Y225">
        <f>HLOOKUP("Q"&amp;W225,Bonus_HLookup!$A$1:$E$2,2,FALSE)</f>
        <v>0.06</v>
      </c>
      <c r="Z225">
        <f t="shared" si="37"/>
        <v>147347.20000000001</v>
      </c>
      <c r="AA225" s="1">
        <f t="shared" si="38"/>
        <v>7469.1748112343703</v>
      </c>
      <c r="AB225">
        <f t="shared" si="39"/>
        <v>846</v>
      </c>
    </row>
    <row r="226" spans="1:28" x14ac:dyDescent="0.3">
      <c r="A226">
        <v>1225</v>
      </c>
      <c r="B226" t="s">
        <v>255</v>
      </c>
      <c r="C226" t="s">
        <v>30</v>
      </c>
      <c r="D226" t="s">
        <v>23</v>
      </c>
      <c r="E226" t="s">
        <v>112</v>
      </c>
      <c r="F226" t="s">
        <v>69</v>
      </c>
      <c r="G226">
        <v>5</v>
      </c>
      <c r="H226">
        <v>2000</v>
      </c>
      <c r="I226">
        <v>10</v>
      </c>
      <c r="J226">
        <v>319549</v>
      </c>
      <c r="K226">
        <v>8</v>
      </c>
      <c r="L226">
        <v>3</v>
      </c>
      <c r="M226" t="str">
        <f>VLOOKUP(Sales_Data!F226,Product_Master!$A$2:$D$11,2)</f>
        <v>Headset</v>
      </c>
      <c r="N226" t="str">
        <f>VLOOKUP(F226,Product_Master!$A$2:$C$11,3)</f>
        <v>Accessories</v>
      </c>
      <c r="O226">
        <f>VLOOKUP(F226,Product_Master!$A$2:$D$11,4,FALSE)</f>
        <v>1500</v>
      </c>
      <c r="P226">
        <f t="shared" si="30"/>
        <v>10000</v>
      </c>
      <c r="Q226">
        <f t="shared" si="31"/>
        <v>1000</v>
      </c>
      <c r="R226">
        <f t="shared" si="32"/>
        <v>9000</v>
      </c>
      <c r="S226">
        <f t="shared" si="33"/>
        <v>1500</v>
      </c>
      <c r="T226" t="str">
        <f>_xlfn.CONCAT(Sales_Data!C226,"-",Sales_Data!E226,"-",Sales_Data!A226)</f>
        <v>South-C1048-1225</v>
      </c>
      <c r="U226" t="str">
        <f t="shared" si="34"/>
        <v>Regular</v>
      </c>
      <c r="V226" t="str" cm="1">
        <f t="array" ref="V226">_xlfn.IFS(R226&gt;=100000,"Excellent",R226&gt;=50000,"Good",R226&gt;=20000,"Average",TRUE,"Poor")</f>
        <v>Poor</v>
      </c>
      <c r="W226">
        <f t="shared" si="35"/>
        <v>2</v>
      </c>
      <c r="X226" t="str">
        <f t="shared" si="36"/>
        <v>June</v>
      </c>
      <c r="Y226">
        <f>HLOOKUP("Q"&amp;W226,Bonus_HLookup!$A$1:$E$2,2,FALSE)</f>
        <v>0.04</v>
      </c>
      <c r="Z226">
        <f t="shared" si="37"/>
        <v>76691.759999999995</v>
      </c>
      <c r="AA226" s="1">
        <f t="shared" si="38"/>
        <v>10013.504246834767</v>
      </c>
      <c r="AB226">
        <f t="shared" si="39"/>
        <v>663</v>
      </c>
    </row>
    <row r="227" spans="1:28" x14ac:dyDescent="0.3">
      <c r="A227">
        <v>1226</v>
      </c>
      <c r="B227" t="s">
        <v>173</v>
      </c>
      <c r="C227" t="s">
        <v>30</v>
      </c>
      <c r="D227" t="s">
        <v>91</v>
      </c>
      <c r="E227" t="s">
        <v>89</v>
      </c>
      <c r="F227" t="s">
        <v>21</v>
      </c>
      <c r="G227">
        <v>3</v>
      </c>
      <c r="H227">
        <v>12000</v>
      </c>
      <c r="I227">
        <v>12</v>
      </c>
      <c r="J227">
        <v>281010</v>
      </c>
      <c r="K227">
        <v>7</v>
      </c>
      <c r="L227">
        <v>2</v>
      </c>
      <c r="M227" t="str">
        <f>VLOOKUP(Sales_Data!F227,Product_Master!$A$2:$D$11,2)</f>
        <v>Monitor</v>
      </c>
      <c r="N227" t="str">
        <f>VLOOKUP(F227,Product_Master!$A$2:$C$11,3)</f>
        <v>Electronics</v>
      </c>
      <c r="O227">
        <f>VLOOKUP(F227,Product_Master!$A$2:$D$11,4,FALSE)</f>
        <v>9000</v>
      </c>
      <c r="P227">
        <f t="shared" si="30"/>
        <v>36000</v>
      </c>
      <c r="Q227">
        <f t="shared" si="31"/>
        <v>4320</v>
      </c>
      <c r="R227">
        <f t="shared" si="32"/>
        <v>31680</v>
      </c>
      <c r="S227">
        <f t="shared" si="33"/>
        <v>4680</v>
      </c>
      <c r="T227" t="str">
        <f>_xlfn.CONCAT(Sales_Data!C227,"-",Sales_Data!E227,"-",Sales_Data!A227)</f>
        <v>South-C1022-1226</v>
      </c>
      <c r="U227" t="str">
        <f t="shared" si="34"/>
        <v>Regular</v>
      </c>
      <c r="V227" t="str" cm="1">
        <f t="array" ref="V227">_xlfn.IFS(R227&gt;=100000,"Excellent",R227&gt;=50000,"Good",R227&gt;=20000,"Average",TRUE,"Poor")</f>
        <v>Average</v>
      </c>
      <c r="W227">
        <f t="shared" si="35"/>
        <v>4</v>
      </c>
      <c r="X227" t="str">
        <f t="shared" si="36"/>
        <v>October</v>
      </c>
      <c r="Y227">
        <f>HLOOKUP("Q"&amp;W227,Bonus_HLookup!$A$1:$E$2,2,FALSE)</f>
        <v>0.08</v>
      </c>
      <c r="Z227">
        <f t="shared" si="37"/>
        <v>39341.4</v>
      </c>
      <c r="AA227" s="1">
        <f t="shared" si="38"/>
        <v>12581.542453774893</v>
      </c>
      <c r="AB227">
        <f t="shared" si="39"/>
        <v>365</v>
      </c>
    </row>
    <row r="228" spans="1:28" x14ac:dyDescent="0.3">
      <c r="A228">
        <v>1227</v>
      </c>
      <c r="B228" t="s">
        <v>256</v>
      </c>
      <c r="C228" t="s">
        <v>18</v>
      </c>
      <c r="D228" t="s">
        <v>14</v>
      </c>
      <c r="E228" t="s">
        <v>54</v>
      </c>
      <c r="F228" t="s">
        <v>52</v>
      </c>
      <c r="G228">
        <v>4</v>
      </c>
      <c r="H228">
        <v>500</v>
      </c>
      <c r="I228">
        <v>0</v>
      </c>
      <c r="J228">
        <v>112037</v>
      </c>
      <c r="K228">
        <v>11</v>
      </c>
      <c r="L228">
        <v>4</v>
      </c>
      <c r="M228" t="str">
        <f>VLOOKUP(Sales_Data!F228,Product_Master!$A$2:$D$11,2)</f>
        <v>Mouse</v>
      </c>
      <c r="N228" t="str">
        <f>VLOOKUP(F228,Product_Master!$A$2:$C$11,3)</f>
        <v>Accessories</v>
      </c>
      <c r="O228">
        <f>VLOOKUP(F228,Product_Master!$A$2:$D$11,4,FALSE)</f>
        <v>350</v>
      </c>
      <c r="P228">
        <f t="shared" si="30"/>
        <v>2000</v>
      </c>
      <c r="Q228">
        <f t="shared" si="31"/>
        <v>0</v>
      </c>
      <c r="R228">
        <f t="shared" si="32"/>
        <v>2000</v>
      </c>
      <c r="S228">
        <f t="shared" si="33"/>
        <v>600</v>
      </c>
      <c r="T228" t="str">
        <f>_xlfn.CONCAT(Sales_Data!C228,"-",Sales_Data!E228,"-",Sales_Data!A228)</f>
        <v>North-C1034-1227</v>
      </c>
      <c r="U228" t="str">
        <f t="shared" si="34"/>
        <v>Regular</v>
      </c>
      <c r="V228" t="str" cm="1">
        <f t="array" ref="V228">_xlfn.IFS(R228&gt;=100000,"Excellent",R228&gt;=50000,"Good",R228&gt;=20000,"Average",TRUE,"Poor")</f>
        <v>Poor</v>
      </c>
      <c r="W228">
        <f t="shared" si="35"/>
        <v>2</v>
      </c>
      <c r="X228" t="str">
        <f t="shared" si="36"/>
        <v>June</v>
      </c>
      <c r="Y228">
        <f>HLOOKUP("Q"&amp;W228,Bonus_HLookup!$A$1:$E$2,2,FALSE)</f>
        <v>0.04</v>
      </c>
      <c r="Z228">
        <f t="shared" si="37"/>
        <v>49296.28</v>
      </c>
      <c r="AA228" s="1">
        <f t="shared" si="38"/>
        <v>2895.654816819339</v>
      </c>
      <c r="AB228">
        <f t="shared" si="39"/>
        <v>926</v>
      </c>
    </row>
    <row r="229" spans="1:28" x14ac:dyDescent="0.3">
      <c r="A229">
        <v>1228</v>
      </c>
      <c r="B229" t="s">
        <v>83</v>
      </c>
      <c r="C229" t="s">
        <v>30</v>
      </c>
      <c r="D229" t="s">
        <v>19</v>
      </c>
      <c r="E229" t="s">
        <v>125</v>
      </c>
      <c r="F229" t="s">
        <v>25</v>
      </c>
      <c r="G229">
        <v>8</v>
      </c>
      <c r="H229">
        <v>1500</v>
      </c>
      <c r="I229">
        <v>2</v>
      </c>
      <c r="J229">
        <v>72485</v>
      </c>
      <c r="K229">
        <v>11</v>
      </c>
      <c r="L229">
        <v>2</v>
      </c>
      <c r="M229" t="str">
        <f>VLOOKUP(Sales_Data!F229,Product_Master!$A$2:$D$11,2)</f>
        <v>Keyboard</v>
      </c>
      <c r="N229" t="str">
        <f>VLOOKUP(F229,Product_Master!$A$2:$C$11,3)</f>
        <v>Accessories</v>
      </c>
      <c r="O229">
        <f>VLOOKUP(F229,Product_Master!$A$2:$D$11,4,FALSE)</f>
        <v>1200</v>
      </c>
      <c r="P229">
        <f t="shared" si="30"/>
        <v>12000</v>
      </c>
      <c r="Q229">
        <f t="shared" si="31"/>
        <v>240</v>
      </c>
      <c r="R229">
        <f t="shared" si="32"/>
        <v>11760</v>
      </c>
      <c r="S229">
        <f t="shared" si="33"/>
        <v>2160</v>
      </c>
      <c r="T229" t="str">
        <f>_xlfn.CONCAT(Sales_Data!C229,"-",Sales_Data!E229,"-",Sales_Data!A229)</f>
        <v>South-C1039-1228</v>
      </c>
      <c r="U229" t="str">
        <f t="shared" si="34"/>
        <v>Regular</v>
      </c>
      <c r="V229" t="str" cm="1">
        <f t="array" ref="V229">_xlfn.IFS(R229&gt;=100000,"Excellent",R229&gt;=50000,"Good",R229&gt;=20000,"Average",TRUE,"Poor")</f>
        <v>Poor</v>
      </c>
      <c r="W229">
        <f t="shared" si="35"/>
        <v>1</v>
      </c>
      <c r="X229" t="str">
        <f t="shared" si="36"/>
        <v>January</v>
      </c>
      <c r="Y229">
        <f>HLOOKUP("Q"&amp;W229,Bonus_HLookup!$A$1:$E$2,2,FALSE)</f>
        <v>0.02</v>
      </c>
      <c r="Z229">
        <f t="shared" si="37"/>
        <v>15946.7</v>
      </c>
      <c r="AA229" s="1">
        <f t="shared" si="38"/>
        <v>3378.3691516751192</v>
      </c>
      <c r="AB229">
        <f t="shared" si="39"/>
        <v>599</v>
      </c>
    </row>
    <row r="230" spans="1:28" x14ac:dyDescent="0.3">
      <c r="A230">
        <v>1229</v>
      </c>
      <c r="B230" t="s">
        <v>257</v>
      </c>
      <c r="C230" t="s">
        <v>13</v>
      </c>
      <c r="D230" t="s">
        <v>50</v>
      </c>
      <c r="E230" t="s">
        <v>231</v>
      </c>
      <c r="F230" t="s">
        <v>74</v>
      </c>
      <c r="G230">
        <v>10</v>
      </c>
      <c r="H230">
        <v>35000</v>
      </c>
      <c r="I230">
        <v>8</v>
      </c>
      <c r="J230">
        <v>421795</v>
      </c>
      <c r="K230">
        <v>10</v>
      </c>
      <c r="L230">
        <v>2</v>
      </c>
      <c r="M230" t="str">
        <f>VLOOKUP(Sales_Data!F230,Product_Master!$A$2:$D$11,2)</f>
        <v>Tablet</v>
      </c>
      <c r="N230" t="str">
        <f>VLOOKUP(F230,Product_Master!$A$2:$C$11,3)</f>
        <v>Electronics</v>
      </c>
      <c r="O230">
        <f>VLOOKUP(F230,Product_Master!$A$2:$D$11,4,FALSE)</f>
        <v>29000</v>
      </c>
      <c r="P230">
        <f t="shared" si="30"/>
        <v>350000</v>
      </c>
      <c r="Q230">
        <f t="shared" si="31"/>
        <v>28000</v>
      </c>
      <c r="R230">
        <f t="shared" si="32"/>
        <v>322000</v>
      </c>
      <c r="S230">
        <f t="shared" si="33"/>
        <v>32000</v>
      </c>
      <c r="T230" t="str">
        <f>_xlfn.CONCAT(Sales_Data!C230,"-",Sales_Data!E230,"-",Sales_Data!A230)</f>
        <v>West-C1006-1229</v>
      </c>
      <c r="U230" t="str">
        <f t="shared" si="34"/>
        <v>High Value</v>
      </c>
      <c r="V230" t="str" cm="1">
        <f t="array" ref="V230">_xlfn.IFS(R230&gt;=100000,"Excellent",R230&gt;=50000,"Good",R230&gt;=20000,"Average",TRUE,"Poor")</f>
        <v>Excellent</v>
      </c>
      <c r="W230">
        <f t="shared" si="35"/>
        <v>3</v>
      </c>
      <c r="X230" t="str">
        <f t="shared" si="36"/>
        <v>August</v>
      </c>
      <c r="Y230">
        <f>HLOOKUP("Q"&amp;W230,Bonus_HLookup!$A$1:$E$2,2,FALSE)</f>
        <v>0.06</v>
      </c>
      <c r="Z230">
        <f t="shared" si="37"/>
        <v>84359</v>
      </c>
      <c r="AA230" s="1">
        <f t="shared" si="38"/>
        <v>19463.699204532775</v>
      </c>
      <c r="AB230">
        <f t="shared" si="39"/>
        <v>44</v>
      </c>
    </row>
    <row r="231" spans="1:28" x14ac:dyDescent="0.3">
      <c r="A231">
        <v>1230</v>
      </c>
      <c r="B231" t="s">
        <v>258</v>
      </c>
      <c r="C231" t="s">
        <v>13</v>
      </c>
      <c r="D231" t="s">
        <v>23</v>
      </c>
      <c r="E231" t="s">
        <v>20</v>
      </c>
      <c r="F231" t="s">
        <v>74</v>
      </c>
      <c r="G231">
        <v>10</v>
      </c>
      <c r="H231">
        <v>35000</v>
      </c>
      <c r="I231">
        <v>10</v>
      </c>
      <c r="J231">
        <v>305386</v>
      </c>
      <c r="K231">
        <v>9</v>
      </c>
      <c r="L231">
        <v>5</v>
      </c>
      <c r="M231" t="str">
        <f>VLOOKUP(Sales_Data!F231,Product_Master!$A$2:$D$11,2)</f>
        <v>Tablet</v>
      </c>
      <c r="N231" t="str">
        <f>VLOOKUP(F231,Product_Master!$A$2:$C$11,3)</f>
        <v>Electronics</v>
      </c>
      <c r="O231">
        <f>VLOOKUP(F231,Product_Master!$A$2:$D$11,4,FALSE)</f>
        <v>29000</v>
      </c>
      <c r="P231">
        <f t="shared" si="30"/>
        <v>350000</v>
      </c>
      <c r="Q231">
        <f t="shared" si="31"/>
        <v>35000</v>
      </c>
      <c r="R231">
        <f t="shared" si="32"/>
        <v>315000</v>
      </c>
      <c r="S231">
        <f t="shared" si="33"/>
        <v>25000</v>
      </c>
      <c r="T231" t="str">
        <f>_xlfn.CONCAT(Sales_Data!C231,"-",Sales_Data!E231,"-",Sales_Data!A231)</f>
        <v>West-C1003-1230</v>
      </c>
      <c r="U231" t="str">
        <f t="shared" si="34"/>
        <v>High Value</v>
      </c>
      <c r="V231" t="str" cm="1">
        <f t="array" ref="V231">_xlfn.IFS(R231&gt;=100000,"Excellent",R231&gt;=50000,"Good",R231&gt;=20000,"Average",TRUE,"Poor")</f>
        <v>Excellent</v>
      </c>
      <c r="W231">
        <f t="shared" si="35"/>
        <v>2</v>
      </c>
      <c r="X231" t="str">
        <f t="shared" si="36"/>
        <v>June</v>
      </c>
      <c r="Y231">
        <f>HLOOKUP("Q"&amp;W231,Bonus_HLookup!$A$1:$E$2,2,FALSE)</f>
        <v>0.04</v>
      </c>
      <c r="Z231">
        <f t="shared" si="37"/>
        <v>137423.70000000001</v>
      </c>
      <c r="AA231" s="1">
        <f t="shared" si="38"/>
        <v>6339.3110691553447</v>
      </c>
      <c r="AB231">
        <f t="shared" si="39"/>
        <v>45</v>
      </c>
    </row>
    <row r="232" spans="1:28" x14ac:dyDescent="0.3">
      <c r="A232">
        <v>1231</v>
      </c>
      <c r="B232" t="s">
        <v>75</v>
      </c>
      <c r="C232" t="s">
        <v>30</v>
      </c>
      <c r="D232" t="s">
        <v>91</v>
      </c>
      <c r="E232" t="s">
        <v>89</v>
      </c>
      <c r="F232" t="s">
        <v>39</v>
      </c>
      <c r="G232">
        <v>7</v>
      </c>
      <c r="H232">
        <v>7000</v>
      </c>
      <c r="I232">
        <v>10</v>
      </c>
      <c r="J232">
        <v>143749</v>
      </c>
      <c r="K232">
        <v>10</v>
      </c>
      <c r="L232">
        <v>5</v>
      </c>
      <c r="M232" t="str">
        <f>VLOOKUP(Sales_Data!F232,Product_Master!$A$2:$D$11,2)</f>
        <v>Router</v>
      </c>
      <c r="N232" t="str">
        <f>VLOOKUP(F232,Product_Master!$A$2:$C$11,3)</f>
        <v>Electronics</v>
      </c>
      <c r="O232">
        <f>VLOOKUP(F232,Product_Master!$A$2:$D$11,4,FALSE)</f>
        <v>5000</v>
      </c>
      <c r="P232">
        <f t="shared" si="30"/>
        <v>49000</v>
      </c>
      <c r="Q232">
        <f t="shared" si="31"/>
        <v>4900</v>
      </c>
      <c r="R232">
        <f t="shared" si="32"/>
        <v>44100</v>
      </c>
      <c r="S232">
        <f t="shared" si="33"/>
        <v>9100</v>
      </c>
      <c r="T232" t="str">
        <f>_xlfn.CONCAT(Sales_Data!C232,"-",Sales_Data!E232,"-",Sales_Data!A232)</f>
        <v>South-C1022-1231</v>
      </c>
      <c r="U232" t="str">
        <f t="shared" si="34"/>
        <v>Regular</v>
      </c>
      <c r="V232" t="str" cm="1">
        <f t="array" ref="V232">_xlfn.IFS(R232&gt;=100000,"Excellent",R232&gt;=50000,"Good",R232&gt;=20000,"Average",TRUE,"Poor")</f>
        <v>Average</v>
      </c>
      <c r="W232">
        <f t="shared" si="35"/>
        <v>1</v>
      </c>
      <c r="X232" t="str">
        <f t="shared" si="36"/>
        <v>February</v>
      </c>
      <c r="Y232">
        <f>HLOOKUP("Q"&amp;W232,Bonus_HLookup!$A$1:$E$2,2,FALSE)</f>
        <v>0.02</v>
      </c>
      <c r="Z232">
        <f t="shared" si="37"/>
        <v>71874.5</v>
      </c>
      <c r="AA232" s="1">
        <f t="shared" si="38"/>
        <v>3054.2414302001034</v>
      </c>
      <c r="AB232">
        <f t="shared" si="39"/>
        <v>320</v>
      </c>
    </row>
    <row r="233" spans="1:28" x14ac:dyDescent="0.3">
      <c r="A233">
        <v>1232</v>
      </c>
      <c r="B233" t="s">
        <v>207</v>
      </c>
      <c r="C233" t="s">
        <v>18</v>
      </c>
      <c r="D233" t="s">
        <v>23</v>
      </c>
      <c r="E233" t="s">
        <v>203</v>
      </c>
      <c r="F233" t="s">
        <v>36</v>
      </c>
      <c r="G233">
        <v>4</v>
      </c>
      <c r="H233">
        <v>55000</v>
      </c>
      <c r="I233">
        <v>8</v>
      </c>
      <c r="J233">
        <v>62709</v>
      </c>
      <c r="K233">
        <v>8</v>
      </c>
      <c r="L233">
        <v>2</v>
      </c>
      <c r="M233" t="str">
        <f>VLOOKUP(Sales_Data!F233,Product_Master!$A$2:$D$11,2)</f>
        <v>Laptop</v>
      </c>
      <c r="N233" t="str">
        <f>VLOOKUP(F233,Product_Master!$A$2:$C$11,3)</f>
        <v>Electronics</v>
      </c>
      <c r="O233">
        <f>VLOOKUP(F233,Product_Master!$A$2:$D$11,4,FALSE)</f>
        <v>45000</v>
      </c>
      <c r="P233">
        <f t="shared" si="30"/>
        <v>220000</v>
      </c>
      <c r="Q233">
        <f t="shared" si="31"/>
        <v>17600</v>
      </c>
      <c r="R233">
        <f t="shared" si="32"/>
        <v>202400</v>
      </c>
      <c r="S233">
        <f t="shared" si="33"/>
        <v>22400</v>
      </c>
      <c r="T233" t="str">
        <f>_xlfn.CONCAT(Sales_Data!C233,"-",Sales_Data!E233,"-",Sales_Data!A233)</f>
        <v>North-C1037-1232</v>
      </c>
      <c r="U233" t="str">
        <f t="shared" si="34"/>
        <v>High Value</v>
      </c>
      <c r="V233" t="str" cm="1">
        <f t="array" ref="V233">_xlfn.IFS(R233&gt;=100000,"Excellent",R233&gt;=50000,"Good",R233&gt;=20000,"Average",TRUE,"Poor")</f>
        <v>Excellent</v>
      </c>
      <c r="W233">
        <f t="shared" si="35"/>
        <v>1</v>
      </c>
      <c r="X233" t="str">
        <f t="shared" si="36"/>
        <v>January</v>
      </c>
      <c r="Y233">
        <f>HLOOKUP("Q"&amp;W233,Bonus_HLookup!$A$1:$E$2,2,FALSE)</f>
        <v>0.02</v>
      </c>
      <c r="Z233">
        <f t="shared" si="37"/>
        <v>10033.44</v>
      </c>
      <c r="AA233" s="1">
        <f t="shared" si="38"/>
        <v>2836.1582199258523</v>
      </c>
      <c r="AB233">
        <f t="shared" si="39"/>
        <v>108</v>
      </c>
    </row>
    <row r="234" spans="1:28" x14ac:dyDescent="0.3">
      <c r="A234">
        <v>1233</v>
      </c>
      <c r="B234" t="s">
        <v>158</v>
      </c>
      <c r="C234" t="s">
        <v>13</v>
      </c>
      <c r="D234" t="s">
        <v>19</v>
      </c>
      <c r="E234" t="s">
        <v>183</v>
      </c>
      <c r="F234" t="s">
        <v>16</v>
      </c>
      <c r="G234">
        <v>7</v>
      </c>
      <c r="H234">
        <v>2500</v>
      </c>
      <c r="I234">
        <v>8</v>
      </c>
      <c r="J234">
        <v>387416</v>
      </c>
      <c r="K234">
        <v>8</v>
      </c>
      <c r="L234">
        <v>4</v>
      </c>
      <c r="M234" t="str">
        <f>VLOOKUP(Sales_Data!F234,Product_Master!$A$2:$D$11,2)</f>
        <v>Speaker</v>
      </c>
      <c r="N234" t="str">
        <f>VLOOKUP(F234,Product_Master!$A$2:$C$11,3)</f>
        <v>Accessories</v>
      </c>
      <c r="O234">
        <f>VLOOKUP(F234,Product_Master!$A$2:$D$11,4,FALSE)</f>
        <v>1800</v>
      </c>
      <c r="P234">
        <f t="shared" si="30"/>
        <v>17500</v>
      </c>
      <c r="Q234">
        <f t="shared" si="31"/>
        <v>1400</v>
      </c>
      <c r="R234">
        <f t="shared" si="32"/>
        <v>16100</v>
      </c>
      <c r="S234">
        <f t="shared" si="33"/>
        <v>3500</v>
      </c>
      <c r="T234" t="str">
        <f>_xlfn.CONCAT(Sales_Data!C234,"-",Sales_Data!E234,"-",Sales_Data!A234)</f>
        <v>West-C1008-1233</v>
      </c>
      <c r="U234" t="str">
        <f t="shared" si="34"/>
        <v>Regular</v>
      </c>
      <c r="V234" t="str" cm="1">
        <f t="array" ref="V234">_xlfn.IFS(R234&gt;=100000,"Excellent",R234&gt;=50000,"Good",R234&gt;=20000,"Average",TRUE,"Poor")</f>
        <v>Poor</v>
      </c>
      <c r="W234">
        <f t="shared" si="35"/>
        <v>3</v>
      </c>
      <c r="X234" t="str">
        <f t="shared" si="36"/>
        <v>September</v>
      </c>
      <c r="Y234">
        <f>HLOOKUP("Q"&amp;W234,Bonus_HLookup!$A$1:$E$2,2,FALSE)</f>
        <v>0.06</v>
      </c>
      <c r="Z234">
        <f t="shared" si="37"/>
        <v>123973.12</v>
      </c>
      <c r="AA234" s="1">
        <f t="shared" si="38"/>
        <v>9457.9567218555276</v>
      </c>
      <c r="AB234">
        <f t="shared" si="39"/>
        <v>513</v>
      </c>
    </row>
    <row r="235" spans="1:28" x14ac:dyDescent="0.3">
      <c r="A235">
        <v>1234</v>
      </c>
      <c r="B235" t="s">
        <v>192</v>
      </c>
      <c r="C235" t="s">
        <v>13</v>
      </c>
      <c r="D235" t="s">
        <v>19</v>
      </c>
      <c r="E235" t="s">
        <v>15</v>
      </c>
      <c r="F235" t="s">
        <v>16</v>
      </c>
      <c r="G235">
        <v>1</v>
      </c>
      <c r="H235">
        <v>2500</v>
      </c>
      <c r="I235">
        <v>5</v>
      </c>
      <c r="J235">
        <v>355795</v>
      </c>
      <c r="K235">
        <v>12</v>
      </c>
      <c r="L235">
        <v>5</v>
      </c>
      <c r="M235" t="str">
        <f>VLOOKUP(Sales_Data!F235,Product_Master!$A$2:$D$11,2)</f>
        <v>Speaker</v>
      </c>
      <c r="N235" t="str">
        <f>VLOOKUP(F235,Product_Master!$A$2:$C$11,3)</f>
        <v>Accessories</v>
      </c>
      <c r="O235">
        <f>VLOOKUP(F235,Product_Master!$A$2:$D$11,4,FALSE)</f>
        <v>1800</v>
      </c>
      <c r="P235">
        <f t="shared" si="30"/>
        <v>2500</v>
      </c>
      <c r="Q235">
        <f t="shared" si="31"/>
        <v>125</v>
      </c>
      <c r="R235">
        <f t="shared" si="32"/>
        <v>2375</v>
      </c>
      <c r="S235">
        <f t="shared" si="33"/>
        <v>575</v>
      </c>
      <c r="T235" t="str">
        <f>_xlfn.CONCAT(Sales_Data!C235,"-",Sales_Data!E235,"-",Sales_Data!A235)</f>
        <v>West-C1016-1234</v>
      </c>
      <c r="U235" t="str">
        <f t="shared" si="34"/>
        <v>Regular</v>
      </c>
      <c r="V235" t="str" cm="1">
        <f t="array" ref="V235">_xlfn.IFS(R235&gt;=100000,"Excellent",R235&gt;=50000,"Good",R235&gt;=20000,"Average",TRUE,"Poor")</f>
        <v>Poor</v>
      </c>
      <c r="W235">
        <f t="shared" si="35"/>
        <v>1</v>
      </c>
      <c r="X235" t="str">
        <f t="shared" si="36"/>
        <v>February</v>
      </c>
      <c r="Y235">
        <f>HLOOKUP("Q"&amp;W235,Bonus_HLookup!$A$1:$E$2,2,FALSE)</f>
        <v>0.02</v>
      </c>
      <c r="Z235">
        <f t="shared" si="37"/>
        <v>213477</v>
      </c>
      <c r="AA235" s="1">
        <f t="shared" si="38"/>
        <v>7914.4632640496256</v>
      </c>
      <c r="AB235">
        <f t="shared" si="39"/>
        <v>913</v>
      </c>
    </row>
    <row r="236" spans="1:28" x14ac:dyDescent="0.3">
      <c r="A236">
        <v>1235</v>
      </c>
      <c r="B236" t="s">
        <v>259</v>
      </c>
      <c r="C236" t="s">
        <v>30</v>
      </c>
      <c r="D236" t="s">
        <v>14</v>
      </c>
      <c r="E236" t="s">
        <v>108</v>
      </c>
      <c r="F236" t="s">
        <v>25</v>
      </c>
      <c r="G236">
        <v>4</v>
      </c>
      <c r="H236">
        <v>1500</v>
      </c>
      <c r="I236">
        <v>15</v>
      </c>
      <c r="J236">
        <v>298946</v>
      </c>
      <c r="K236">
        <v>9</v>
      </c>
      <c r="L236">
        <v>3</v>
      </c>
      <c r="M236" t="str">
        <f>VLOOKUP(Sales_Data!F236,Product_Master!$A$2:$D$11,2)</f>
        <v>Keyboard</v>
      </c>
      <c r="N236" t="str">
        <f>VLOOKUP(F236,Product_Master!$A$2:$C$11,3)</f>
        <v>Accessories</v>
      </c>
      <c r="O236">
        <f>VLOOKUP(F236,Product_Master!$A$2:$D$11,4,FALSE)</f>
        <v>1200</v>
      </c>
      <c r="P236">
        <f t="shared" si="30"/>
        <v>6000</v>
      </c>
      <c r="Q236">
        <f t="shared" si="31"/>
        <v>900</v>
      </c>
      <c r="R236">
        <f t="shared" si="32"/>
        <v>5100</v>
      </c>
      <c r="S236">
        <f t="shared" si="33"/>
        <v>300</v>
      </c>
      <c r="T236" t="str">
        <f>_xlfn.CONCAT(Sales_Data!C236,"-",Sales_Data!E236,"-",Sales_Data!A236)</f>
        <v>South-C1031-1235</v>
      </c>
      <c r="U236" t="str">
        <f t="shared" si="34"/>
        <v>Regular</v>
      </c>
      <c r="V236" t="str" cm="1">
        <f t="array" ref="V236">_xlfn.IFS(R236&gt;=100000,"Excellent",R236&gt;=50000,"Good",R236&gt;=20000,"Average",TRUE,"Poor")</f>
        <v>Poor</v>
      </c>
      <c r="W236">
        <f t="shared" si="35"/>
        <v>4</v>
      </c>
      <c r="X236" t="str">
        <f t="shared" si="36"/>
        <v>December</v>
      </c>
      <c r="Y236">
        <f>HLOOKUP("Q"&amp;W236,Bonus_HLookup!$A$1:$E$2,2,FALSE)</f>
        <v>0.08</v>
      </c>
      <c r="Z236">
        <f t="shared" si="37"/>
        <v>80715.42</v>
      </c>
      <c r="AA236" s="1">
        <f t="shared" si="38"/>
        <v>9506.402879758627</v>
      </c>
      <c r="AB236">
        <f t="shared" si="39"/>
        <v>786</v>
      </c>
    </row>
    <row r="237" spans="1:28" x14ac:dyDescent="0.3">
      <c r="A237">
        <v>1236</v>
      </c>
      <c r="B237" t="s">
        <v>162</v>
      </c>
      <c r="C237" t="s">
        <v>30</v>
      </c>
      <c r="D237" t="s">
        <v>91</v>
      </c>
      <c r="E237" t="s">
        <v>174</v>
      </c>
      <c r="F237" t="s">
        <v>74</v>
      </c>
      <c r="G237">
        <v>3</v>
      </c>
      <c r="H237">
        <v>35000</v>
      </c>
      <c r="I237">
        <v>15</v>
      </c>
      <c r="J237">
        <v>319578</v>
      </c>
      <c r="K237">
        <v>10</v>
      </c>
      <c r="L237">
        <v>2</v>
      </c>
      <c r="M237" t="str">
        <f>VLOOKUP(Sales_Data!F237,Product_Master!$A$2:$D$11,2)</f>
        <v>Tablet</v>
      </c>
      <c r="N237" t="str">
        <f>VLOOKUP(F237,Product_Master!$A$2:$C$11,3)</f>
        <v>Electronics</v>
      </c>
      <c r="O237">
        <f>VLOOKUP(F237,Product_Master!$A$2:$D$11,4,FALSE)</f>
        <v>29000</v>
      </c>
      <c r="P237">
        <f t="shared" si="30"/>
        <v>105000</v>
      </c>
      <c r="Q237">
        <f t="shared" si="31"/>
        <v>15750</v>
      </c>
      <c r="R237">
        <f t="shared" si="32"/>
        <v>89250</v>
      </c>
      <c r="S237">
        <f t="shared" si="33"/>
        <v>2250</v>
      </c>
      <c r="T237" t="str">
        <f>_xlfn.CONCAT(Sales_Data!C237,"-",Sales_Data!E237,"-",Sales_Data!A237)</f>
        <v>South-C1044-1236</v>
      </c>
      <c r="U237" t="str">
        <f t="shared" si="34"/>
        <v>High Value</v>
      </c>
      <c r="V237" t="str" cm="1">
        <f t="array" ref="V237">_xlfn.IFS(R237&gt;=100000,"Excellent",R237&gt;=50000,"Good",R237&gt;=20000,"Average",TRUE,"Poor")</f>
        <v>Good</v>
      </c>
      <c r="W237">
        <f t="shared" si="35"/>
        <v>2</v>
      </c>
      <c r="X237" t="str">
        <f t="shared" si="36"/>
        <v>June</v>
      </c>
      <c r="Y237">
        <f>HLOOKUP("Q"&amp;W237,Bonus_HLookup!$A$1:$E$2,2,FALSE)</f>
        <v>0.04</v>
      </c>
      <c r="Z237">
        <f t="shared" si="37"/>
        <v>63915.6</v>
      </c>
      <c r="AA237" s="1">
        <f t="shared" si="38"/>
        <v>14746.903269090848</v>
      </c>
      <c r="AB237">
        <f t="shared" si="39"/>
        <v>188</v>
      </c>
    </row>
    <row r="238" spans="1:28" x14ac:dyDescent="0.3">
      <c r="A238">
        <v>1237</v>
      </c>
      <c r="B238" t="s">
        <v>260</v>
      </c>
      <c r="C238" t="s">
        <v>62</v>
      </c>
      <c r="D238" t="s">
        <v>46</v>
      </c>
      <c r="E238" t="s">
        <v>60</v>
      </c>
      <c r="F238" t="s">
        <v>69</v>
      </c>
      <c r="G238">
        <v>3</v>
      </c>
      <c r="H238">
        <v>2000</v>
      </c>
      <c r="I238">
        <v>15</v>
      </c>
      <c r="J238">
        <v>384608</v>
      </c>
      <c r="K238">
        <v>7</v>
      </c>
      <c r="L238">
        <v>2</v>
      </c>
      <c r="M238" t="str">
        <f>VLOOKUP(Sales_Data!F238,Product_Master!$A$2:$D$11,2)</f>
        <v>Headset</v>
      </c>
      <c r="N238" t="str">
        <f>VLOOKUP(F238,Product_Master!$A$2:$C$11,3)</f>
        <v>Accessories</v>
      </c>
      <c r="O238">
        <f>VLOOKUP(F238,Product_Master!$A$2:$D$11,4,FALSE)</f>
        <v>1500</v>
      </c>
      <c r="P238">
        <f t="shared" si="30"/>
        <v>6000</v>
      </c>
      <c r="Q238">
        <f t="shared" si="31"/>
        <v>900</v>
      </c>
      <c r="R238">
        <f t="shared" si="32"/>
        <v>5100</v>
      </c>
      <c r="S238">
        <f t="shared" si="33"/>
        <v>600</v>
      </c>
      <c r="T238" t="str">
        <f>_xlfn.CONCAT(Sales_Data!C238,"-",Sales_Data!E238,"-",Sales_Data!A238)</f>
        <v>East-C1018-1237</v>
      </c>
      <c r="U238" t="str">
        <f t="shared" si="34"/>
        <v>Regular</v>
      </c>
      <c r="V238" t="str" cm="1">
        <f t="array" ref="V238">_xlfn.IFS(R238&gt;=100000,"Excellent",R238&gt;=50000,"Good",R238&gt;=20000,"Average",TRUE,"Poor")</f>
        <v>Poor</v>
      </c>
      <c r="W238">
        <f t="shared" si="35"/>
        <v>2</v>
      </c>
      <c r="X238" t="str">
        <f t="shared" si="36"/>
        <v>April</v>
      </c>
      <c r="Y238">
        <f>HLOOKUP("Q"&amp;W238,Bonus_HLookup!$A$1:$E$2,2,FALSE)</f>
        <v>0.04</v>
      </c>
      <c r="Z238">
        <f t="shared" si="37"/>
        <v>53845.120000000003</v>
      </c>
      <c r="AA238" s="1">
        <f t="shared" si="38"/>
        <v>17219.892103702554</v>
      </c>
      <c r="AB238">
        <f t="shared" si="39"/>
        <v>786</v>
      </c>
    </row>
    <row r="239" spans="1:28" x14ac:dyDescent="0.3">
      <c r="A239">
        <v>1238</v>
      </c>
      <c r="B239" t="s">
        <v>156</v>
      </c>
      <c r="C239" t="s">
        <v>62</v>
      </c>
      <c r="D239" t="s">
        <v>59</v>
      </c>
      <c r="E239" t="s">
        <v>203</v>
      </c>
      <c r="F239" t="s">
        <v>52</v>
      </c>
      <c r="G239">
        <v>3</v>
      </c>
      <c r="H239">
        <v>500</v>
      </c>
      <c r="I239">
        <v>15</v>
      </c>
      <c r="J239">
        <v>226488</v>
      </c>
      <c r="K239">
        <v>11</v>
      </c>
      <c r="L239">
        <v>3</v>
      </c>
      <c r="M239" t="str">
        <f>VLOOKUP(Sales_Data!F239,Product_Master!$A$2:$D$11,2)</f>
        <v>Mouse</v>
      </c>
      <c r="N239" t="str">
        <f>VLOOKUP(F239,Product_Master!$A$2:$C$11,3)</f>
        <v>Accessories</v>
      </c>
      <c r="O239">
        <f>VLOOKUP(F239,Product_Master!$A$2:$D$11,4,FALSE)</f>
        <v>350</v>
      </c>
      <c r="P239">
        <f t="shared" si="30"/>
        <v>1500</v>
      </c>
      <c r="Q239">
        <f t="shared" si="31"/>
        <v>225</v>
      </c>
      <c r="R239">
        <f t="shared" si="32"/>
        <v>1275</v>
      </c>
      <c r="S239">
        <f t="shared" si="33"/>
        <v>225</v>
      </c>
      <c r="T239" t="str">
        <f>_xlfn.CONCAT(Sales_Data!C239,"-",Sales_Data!E239,"-",Sales_Data!A239)</f>
        <v>East-C1037-1238</v>
      </c>
      <c r="U239" t="str">
        <f t="shared" si="34"/>
        <v>Regular</v>
      </c>
      <c r="V239" t="str" cm="1">
        <f t="array" ref="V239">_xlfn.IFS(R239&gt;=100000,"Excellent",R239&gt;=50000,"Good",R239&gt;=20000,"Average",TRUE,"Poor")</f>
        <v>Poor</v>
      </c>
      <c r="W239">
        <f t="shared" si="35"/>
        <v>1</v>
      </c>
      <c r="X239" t="str">
        <f t="shared" si="36"/>
        <v>February</v>
      </c>
      <c r="Y239">
        <f>HLOOKUP("Q"&amp;W239,Bonus_HLookup!$A$1:$E$2,2,FALSE)</f>
        <v>0.02</v>
      </c>
      <c r="Z239">
        <f t="shared" si="37"/>
        <v>74741.039999999994</v>
      </c>
      <c r="AA239" s="1">
        <f t="shared" si="38"/>
        <v>7414.926562395558</v>
      </c>
      <c r="AB239">
        <f t="shared" si="39"/>
        <v>961</v>
      </c>
    </row>
    <row r="240" spans="1:28" x14ac:dyDescent="0.3">
      <c r="A240">
        <v>1239</v>
      </c>
      <c r="B240" t="s">
        <v>261</v>
      </c>
      <c r="C240" t="s">
        <v>62</v>
      </c>
      <c r="D240" t="s">
        <v>19</v>
      </c>
      <c r="E240" t="s">
        <v>183</v>
      </c>
      <c r="F240" t="s">
        <v>28</v>
      </c>
      <c r="G240">
        <v>9</v>
      </c>
      <c r="H240">
        <v>950</v>
      </c>
      <c r="I240">
        <v>0</v>
      </c>
      <c r="J240">
        <v>484859</v>
      </c>
      <c r="K240">
        <v>8</v>
      </c>
      <c r="L240">
        <v>3</v>
      </c>
      <c r="M240" t="str">
        <f>VLOOKUP(Sales_Data!F240,Product_Master!$A$2:$D$11,2)</f>
        <v>Webcam</v>
      </c>
      <c r="N240" t="str">
        <f>VLOOKUP(F240,Product_Master!$A$2:$C$11,3)</f>
        <v>Accessories</v>
      </c>
      <c r="O240">
        <f>VLOOKUP(F240,Product_Master!$A$2:$D$11,4,FALSE)</f>
        <v>700</v>
      </c>
      <c r="P240">
        <f t="shared" si="30"/>
        <v>8550</v>
      </c>
      <c r="Q240">
        <f t="shared" si="31"/>
        <v>0</v>
      </c>
      <c r="R240">
        <f t="shared" si="32"/>
        <v>8550</v>
      </c>
      <c r="S240">
        <f t="shared" si="33"/>
        <v>2250</v>
      </c>
      <c r="T240" t="str">
        <f>_xlfn.CONCAT(Sales_Data!C240,"-",Sales_Data!E240,"-",Sales_Data!A240)</f>
        <v>East-C1008-1239</v>
      </c>
      <c r="U240" t="str">
        <f t="shared" si="34"/>
        <v>Regular</v>
      </c>
      <c r="V240" t="str" cm="1">
        <f t="array" ref="V240">_xlfn.IFS(R240&gt;=100000,"Excellent",R240&gt;=50000,"Good",R240&gt;=20000,"Average",TRUE,"Poor")</f>
        <v>Poor</v>
      </c>
      <c r="W240">
        <f t="shared" si="35"/>
        <v>4</v>
      </c>
      <c r="X240" t="str">
        <f t="shared" si="36"/>
        <v>December</v>
      </c>
      <c r="Y240">
        <f>HLOOKUP("Q"&amp;W240,Bonus_HLookup!$A$1:$E$2,2,FALSE)</f>
        <v>0.08</v>
      </c>
      <c r="Z240">
        <f t="shared" si="37"/>
        <v>116366.16</v>
      </c>
      <c r="AA240" s="1">
        <f t="shared" si="38"/>
        <v>15193.718821263901</v>
      </c>
      <c r="AB240">
        <f t="shared" si="39"/>
        <v>675</v>
      </c>
    </row>
    <row r="241" spans="1:28" x14ac:dyDescent="0.3">
      <c r="A241">
        <v>1240</v>
      </c>
      <c r="B241" t="s">
        <v>262</v>
      </c>
      <c r="C241" t="s">
        <v>30</v>
      </c>
      <c r="D241" t="s">
        <v>59</v>
      </c>
      <c r="E241" t="s">
        <v>151</v>
      </c>
      <c r="F241" t="s">
        <v>36</v>
      </c>
      <c r="G241">
        <v>7</v>
      </c>
      <c r="H241">
        <v>55000</v>
      </c>
      <c r="I241">
        <v>8</v>
      </c>
      <c r="J241">
        <v>191237</v>
      </c>
      <c r="K241">
        <v>8</v>
      </c>
      <c r="L241">
        <v>5</v>
      </c>
      <c r="M241" t="str">
        <f>VLOOKUP(Sales_Data!F241,Product_Master!$A$2:$D$11,2)</f>
        <v>Laptop</v>
      </c>
      <c r="N241" t="str">
        <f>VLOOKUP(F241,Product_Master!$A$2:$C$11,3)</f>
        <v>Electronics</v>
      </c>
      <c r="O241">
        <f>VLOOKUP(F241,Product_Master!$A$2:$D$11,4,FALSE)</f>
        <v>45000</v>
      </c>
      <c r="P241">
        <f t="shared" si="30"/>
        <v>385000</v>
      </c>
      <c r="Q241">
        <f t="shared" si="31"/>
        <v>30800</v>
      </c>
      <c r="R241">
        <f t="shared" si="32"/>
        <v>354200</v>
      </c>
      <c r="S241">
        <f t="shared" si="33"/>
        <v>39200</v>
      </c>
      <c r="T241" t="str">
        <f>_xlfn.CONCAT(Sales_Data!C241,"-",Sales_Data!E241,"-",Sales_Data!A241)</f>
        <v>South-C1001-1240</v>
      </c>
      <c r="U241" t="str">
        <f t="shared" si="34"/>
        <v>High Value</v>
      </c>
      <c r="V241" t="str" cm="1">
        <f t="array" ref="V241">_xlfn.IFS(R241&gt;=100000,"Excellent",R241&gt;=50000,"Good",R241&gt;=20000,"Average",TRUE,"Poor")</f>
        <v>Excellent</v>
      </c>
      <c r="W241">
        <f t="shared" si="35"/>
        <v>4</v>
      </c>
      <c r="X241" t="str">
        <f t="shared" si="36"/>
        <v>October</v>
      </c>
      <c r="Y241">
        <f>HLOOKUP("Q"&amp;W241,Bonus_HLookup!$A$1:$E$2,2,FALSE)</f>
        <v>0.08</v>
      </c>
      <c r="Z241">
        <f t="shared" si="37"/>
        <v>76494.8</v>
      </c>
      <c r="AA241" s="1">
        <f t="shared" si="38"/>
        <v>3877.5968145333668</v>
      </c>
      <c r="AB241">
        <f t="shared" si="39"/>
        <v>31</v>
      </c>
    </row>
    <row r="242" spans="1:28" x14ac:dyDescent="0.3">
      <c r="A242">
        <v>1241</v>
      </c>
      <c r="B242" t="s">
        <v>263</v>
      </c>
      <c r="C242" t="s">
        <v>18</v>
      </c>
      <c r="D242" t="s">
        <v>19</v>
      </c>
      <c r="E242" t="s">
        <v>57</v>
      </c>
      <c r="F242" t="s">
        <v>16</v>
      </c>
      <c r="G242">
        <v>7</v>
      </c>
      <c r="H242">
        <v>2500</v>
      </c>
      <c r="I242">
        <v>5</v>
      </c>
      <c r="J242">
        <v>163863</v>
      </c>
      <c r="K242">
        <v>10</v>
      </c>
      <c r="L242">
        <v>1</v>
      </c>
      <c r="M242" t="str">
        <f>VLOOKUP(Sales_Data!F242,Product_Master!$A$2:$D$11,2)</f>
        <v>Speaker</v>
      </c>
      <c r="N242" t="str">
        <f>VLOOKUP(F242,Product_Master!$A$2:$C$11,3)</f>
        <v>Accessories</v>
      </c>
      <c r="O242">
        <f>VLOOKUP(F242,Product_Master!$A$2:$D$11,4,FALSE)</f>
        <v>1800</v>
      </c>
      <c r="P242">
        <f t="shared" si="30"/>
        <v>17500</v>
      </c>
      <c r="Q242">
        <f t="shared" si="31"/>
        <v>875</v>
      </c>
      <c r="R242">
        <f t="shared" si="32"/>
        <v>16625</v>
      </c>
      <c r="S242">
        <f t="shared" si="33"/>
        <v>4025</v>
      </c>
      <c r="T242" t="str">
        <f>_xlfn.CONCAT(Sales_Data!C242,"-",Sales_Data!E242,"-",Sales_Data!A242)</f>
        <v>North-C1012-1241</v>
      </c>
      <c r="U242" t="str">
        <f t="shared" si="34"/>
        <v>Regular</v>
      </c>
      <c r="V242" t="str" cm="1">
        <f t="array" ref="V242">_xlfn.IFS(R242&gt;=100000,"Excellent",R242&gt;=50000,"Good",R242&gt;=20000,"Average",TRUE,"Poor")</f>
        <v>Poor</v>
      </c>
      <c r="W242">
        <f t="shared" si="35"/>
        <v>2</v>
      </c>
      <c r="X242" t="str">
        <f t="shared" si="36"/>
        <v>May</v>
      </c>
      <c r="Y242">
        <f>HLOOKUP("Q"&amp;W242,Bonus_HLookup!$A$1:$E$2,2,FALSE)</f>
        <v>0.04</v>
      </c>
      <c r="Z242">
        <f t="shared" si="37"/>
        <v>16386.3</v>
      </c>
      <c r="AA242" s="1">
        <f t="shared" si="38"/>
        <v>14406.161029171062</v>
      </c>
      <c r="AB242">
        <f t="shared" si="39"/>
        <v>506</v>
      </c>
    </row>
    <row r="243" spans="1:28" x14ac:dyDescent="0.3">
      <c r="A243">
        <v>1242</v>
      </c>
      <c r="B243" t="s">
        <v>150</v>
      </c>
      <c r="C243" t="s">
        <v>30</v>
      </c>
      <c r="D243" t="s">
        <v>14</v>
      </c>
      <c r="E243" t="s">
        <v>77</v>
      </c>
      <c r="F243" t="s">
        <v>39</v>
      </c>
      <c r="G243">
        <v>10</v>
      </c>
      <c r="H243">
        <v>7000</v>
      </c>
      <c r="I243">
        <v>15</v>
      </c>
      <c r="J243">
        <v>233960</v>
      </c>
      <c r="K243">
        <v>11</v>
      </c>
      <c r="L243">
        <v>3</v>
      </c>
      <c r="M243" t="str">
        <f>VLOOKUP(Sales_Data!F243,Product_Master!$A$2:$D$11,2)</f>
        <v>Router</v>
      </c>
      <c r="N243" t="str">
        <f>VLOOKUP(F243,Product_Master!$A$2:$C$11,3)</f>
        <v>Electronics</v>
      </c>
      <c r="O243">
        <f>VLOOKUP(F243,Product_Master!$A$2:$D$11,4,FALSE)</f>
        <v>5000</v>
      </c>
      <c r="P243">
        <f t="shared" si="30"/>
        <v>70000</v>
      </c>
      <c r="Q243">
        <f t="shared" si="31"/>
        <v>10500</v>
      </c>
      <c r="R243">
        <f t="shared" si="32"/>
        <v>59500</v>
      </c>
      <c r="S243">
        <f t="shared" si="33"/>
        <v>9500</v>
      </c>
      <c r="T243" t="str">
        <f>_xlfn.CONCAT(Sales_Data!C243,"-",Sales_Data!E243,"-",Sales_Data!A243)</f>
        <v>South-C1020-1242</v>
      </c>
      <c r="U243" t="str">
        <f t="shared" si="34"/>
        <v>High Value</v>
      </c>
      <c r="V243" t="str" cm="1">
        <f t="array" ref="V243">_xlfn.IFS(R243&gt;=100000,"Excellent",R243&gt;=50000,"Good",R243&gt;=20000,"Average",TRUE,"Poor")</f>
        <v>Good</v>
      </c>
      <c r="W243">
        <f t="shared" si="35"/>
        <v>3</v>
      </c>
      <c r="X243" t="str">
        <f t="shared" si="36"/>
        <v>July</v>
      </c>
      <c r="Y243">
        <f>HLOOKUP("Q"&amp;W243,Bonus_HLookup!$A$1:$E$2,2,FALSE)</f>
        <v>0.06</v>
      </c>
      <c r="Z243">
        <f t="shared" si="37"/>
        <v>77206.8</v>
      </c>
      <c r="AA243" s="1">
        <f t="shared" si="38"/>
        <v>7659.5502566937976</v>
      </c>
      <c r="AB243">
        <f t="shared" si="39"/>
        <v>257</v>
      </c>
    </row>
    <row r="244" spans="1:28" x14ac:dyDescent="0.3">
      <c r="A244">
        <v>1243</v>
      </c>
      <c r="B244" t="s">
        <v>264</v>
      </c>
      <c r="C244" t="s">
        <v>13</v>
      </c>
      <c r="D244" t="s">
        <v>91</v>
      </c>
      <c r="E244" t="s">
        <v>73</v>
      </c>
      <c r="F244" t="s">
        <v>42</v>
      </c>
      <c r="G244">
        <v>9</v>
      </c>
      <c r="H244">
        <v>8000</v>
      </c>
      <c r="I244">
        <v>2</v>
      </c>
      <c r="J244">
        <v>325110</v>
      </c>
      <c r="K244">
        <v>7</v>
      </c>
      <c r="L244">
        <v>5</v>
      </c>
      <c r="M244" t="str">
        <f>VLOOKUP(Sales_Data!F244,Product_Master!$A$2:$D$11,2)</f>
        <v>Printer</v>
      </c>
      <c r="N244" t="str">
        <f>VLOOKUP(F244,Product_Master!$A$2:$C$11,3)</f>
        <v>Electronics</v>
      </c>
      <c r="O244">
        <f>VLOOKUP(F244,Product_Master!$A$2:$D$11,4,FALSE)</f>
        <v>6500</v>
      </c>
      <c r="P244">
        <f t="shared" si="30"/>
        <v>72000</v>
      </c>
      <c r="Q244">
        <f t="shared" si="31"/>
        <v>1440</v>
      </c>
      <c r="R244">
        <f t="shared" si="32"/>
        <v>70560</v>
      </c>
      <c r="S244">
        <f t="shared" si="33"/>
        <v>12060</v>
      </c>
      <c r="T244" t="str">
        <f>_xlfn.CONCAT(Sales_Data!C244,"-",Sales_Data!E244,"-",Sales_Data!A244)</f>
        <v>West-C1014-1243</v>
      </c>
      <c r="U244" t="str">
        <f t="shared" si="34"/>
        <v>High Value</v>
      </c>
      <c r="V244" t="str" cm="1">
        <f t="array" ref="V244">_xlfn.IFS(R244&gt;=100000,"Excellent",R244&gt;=50000,"Good",R244&gt;=20000,"Average",TRUE,"Poor")</f>
        <v>Good</v>
      </c>
      <c r="W244">
        <f t="shared" si="35"/>
        <v>3</v>
      </c>
      <c r="X244" t="str">
        <f t="shared" si="36"/>
        <v>July</v>
      </c>
      <c r="Y244">
        <f>HLOOKUP("Q"&amp;W244,Bonus_HLookup!$A$1:$E$2,2,FALSE)</f>
        <v>0.06</v>
      </c>
      <c r="Z244">
        <f t="shared" si="37"/>
        <v>113788.5</v>
      </c>
      <c r="AA244" s="1">
        <f t="shared" si="38"/>
        <v>6437.5676574530371</v>
      </c>
      <c r="AB244">
        <f t="shared" si="39"/>
        <v>214</v>
      </c>
    </row>
    <row r="245" spans="1:28" x14ac:dyDescent="0.3">
      <c r="A245">
        <v>1244</v>
      </c>
      <c r="B245" t="s">
        <v>265</v>
      </c>
      <c r="C245" t="s">
        <v>18</v>
      </c>
      <c r="D245" t="s">
        <v>91</v>
      </c>
      <c r="E245" t="s">
        <v>47</v>
      </c>
      <c r="F245" t="s">
        <v>42</v>
      </c>
      <c r="G245">
        <v>2</v>
      </c>
      <c r="H245">
        <v>8000</v>
      </c>
      <c r="I245">
        <v>5</v>
      </c>
      <c r="J245">
        <v>232788</v>
      </c>
      <c r="K245">
        <v>10</v>
      </c>
      <c r="L245">
        <v>4</v>
      </c>
      <c r="M245" t="str">
        <f>VLOOKUP(Sales_Data!F245,Product_Master!$A$2:$D$11,2)</f>
        <v>Printer</v>
      </c>
      <c r="N245" t="str">
        <f>VLOOKUP(F245,Product_Master!$A$2:$C$11,3)</f>
        <v>Electronics</v>
      </c>
      <c r="O245">
        <f>VLOOKUP(F245,Product_Master!$A$2:$D$11,4,FALSE)</f>
        <v>6500</v>
      </c>
      <c r="P245">
        <f t="shared" si="30"/>
        <v>16000</v>
      </c>
      <c r="Q245">
        <f t="shared" si="31"/>
        <v>800</v>
      </c>
      <c r="R245">
        <f t="shared" si="32"/>
        <v>15200</v>
      </c>
      <c r="S245">
        <f t="shared" si="33"/>
        <v>2200</v>
      </c>
      <c r="T245" t="str">
        <f>_xlfn.CONCAT(Sales_Data!C245,"-",Sales_Data!E245,"-",Sales_Data!A245)</f>
        <v>North-C1030-1244</v>
      </c>
      <c r="U245" t="str">
        <f t="shared" si="34"/>
        <v>Regular</v>
      </c>
      <c r="V245" t="str" cm="1">
        <f t="array" ref="V245">_xlfn.IFS(R245&gt;=100000,"Excellent",R245&gt;=50000,"Good",R245&gt;=20000,"Average",TRUE,"Poor")</f>
        <v>Poor</v>
      </c>
      <c r="W245">
        <f t="shared" si="35"/>
        <v>2</v>
      </c>
      <c r="X245" t="str">
        <f t="shared" si="36"/>
        <v>May</v>
      </c>
      <c r="Y245">
        <f>HLOOKUP("Q"&amp;W245,Bonus_HLookup!$A$1:$E$2,2,FALSE)</f>
        <v>0.04</v>
      </c>
      <c r="Z245">
        <f t="shared" si="37"/>
        <v>93115.199999999997</v>
      </c>
      <c r="AA245" s="1">
        <f t="shared" si="38"/>
        <v>5904.1050726079284</v>
      </c>
      <c r="AB245">
        <f t="shared" si="39"/>
        <v>521</v>
      </c>
    </row>
    <row r="246" spans="1:28" x14ac:dyDescent="0.3">
      <c r="A246">
        <v>1245</v>
      </c>
      <c r="B246" t="s">
        <v>195</v>
      </c>
      <c r="C246" t="s">
        <v>30</v>
      </c>
      <c r="D246" t="s">
        <v>33</v>
      </c>
      <c r="E246" t="s">
        <v>57</v>
      </c>
      <c r="F246" t="s">
        <v>16</v>
      </c>
      <c r="G246">
        <v>2</v>
      </c>
      <c r="H246">
        <v>2500</v>
      </c>
      <c r="I246">
        <v>12</v>
      </c>
      <c r="J246">
        <v>141919</v>
      </c>
      <c r="K246">
        <v>9</v>
      </c>
      <c r="L246">
        <v>2</v>
      </c>
      <c r="M246" t="str">
        <f>VLOOKUP(Sales_Data!F246,Product_Master!$A$2:$D$11,2)</f>
        <v>Speaker</v>
      </c>
      <c r="N246" t="str">
        <f>VLOOKUP(F246,Product_Master!$A$2:$C$11,3)</f>
        <v>Accessories</v>
      </c>
      <c r="O246">
        <f>VLOOKUP(F246,Product_Master!$A$2:$D$11,4,FALSE)</f>
        <v>1800</v>
      </c>
      <c r="P246">
        <f t="shared" si="30"/>
        <v>5000</v>
      </c>
      <c r="Q246">
        <f t="shared" si="31"/>
        <v>600</v>
      </c>
      <c r="R246">
        <f t="shared" si="32"/>
        <v>4400</v>
      </c>
      <c r="S246">
        <f t="shared" si="33"/>
        <v>800</v>
      </c>
      <c r="T246" t="str">
        <f>_xlfn.CONCAT(Sales_Data!C246,"-",Sales_Data!E246,"-",Sales_Data!A246)</f>
        <v>South-C1012-1245</v>
      </c>
      <c r="U246" t="str">
        <f t="shared" si="34"/>
        <v>Regular</v>
      </c>
      <c r="V246" t="str" cm="1">
        <f t="array" ref="V246">_xlfn.IFS(R246&gt;=100000,"Excellent",R246&gt;=50000,"Good",R246&gt;=20000,"Average",TRUE,"Poor")</f>
        <v>Poor</v>
      </c>
      <c r="W246">
        <f t="shared" si="35"/>
        <v>2</v>
      </c>
      <c r="X246" t="str">
        <f t="shared" si="36"/>
        <v>April</v>
      </c>
      <c r="Y246">
        <f>HLOOKUP("Q"&amp;W246,Bonus_HLookup!$A$1:$E$2,2,FALSE)</f>
        <v>0.04</v>
      </c>
      <c r="Z246">
        <f t="shared" si="37"/>
        <v>25545.42</v>
      </c>
      <c r="AA246" s="1">
        <f t="shared" si="38"/>
        <v>6483.532939517967</v>
      </c>
      <c r="AB246">
        <f t="shared" si="39"/>
        <v>814</v>
      </c>
    </row>
    <row r="247" spans="1:28" x14ac:dyDescent="0.3">
      <c r="A247">
        <v>1246</v>
      </c>
      <c r="B247" t="s">
        <v>180</v>
      </c>
      <c r="C247" t="s">
        <v>30</v>
      </c>
      <c r="D247" t="s">
        <v>14</v>
      </c>
      <c r="E247" t="s">
        <v>128</v>
      </c>
      <c r="F247" t="s">
        <v>42</v>
      </c>
      <c r="G247">
        <v>10</v>
      </c>
      <c r="H247">
        <v>8000</v>
      </c>
      <c r="I247">
        <v>8</v>
      </c>
      <c r="J247">
        <v>166829</v>
      </c>
      <c r="K247">
        <v>12</v>
      </c>
      <c r="L247">
        <v>2</v>
      </c>
      <c r="M247" t="str">
        <f>VLOOKUP(Sales_Data!F247,Product_Master!$A$2:$D$11,2)</f>
        <v>Printer</v>
      </c>
      <c r="N247" t="str">
        <f>VLOOKUP(F247,Product_Master!$A$2:$C$11,3)</f>
        <v>Electronics</v>
      </c>
      <c r="O247">
        <f>VLOOKUP(F247,Product_Master!$A$2:$D$11,4,FALSE)</f>
        <v>6500</v>
      </c>
      <c r="P247">
        <f t="shared" si="30"/>
        <v>80000</v>
      </c>
      <c r="Q247">
        <f t="shared" si="31"/>
        <v>6400</v>
      </c>
      <c r="R247">
        <f t="shared" si="32"/>
        <v>73600</v>
      </c>
      <c r="S247">
        <f t="shared" si="33"/>
        <v>8600</v>
      </c>
      <c r="T247" t="str">
        <f>_xlfn.CONCAT(Sales_Data!C247,"-",Sales_Data!E247,"-",Sales_Data!A247)</f>
        <v>South-C1013-1246</v>
      </c>
      <c r="U247" t="str">
        <f t="shared" si="34"/>
        <v>High Value</v>
      </c>
      <c r="V247" t="str" cm="1">
        <f t="array" ref="V247">_xlfn.IFS(R247&gt;=100000,"Excellent",R247&gt;=50000,"Good",R247&gt;=20000,"Average",TRUE,"Poor")</f>
        <v>Good</v>
      </c>
      <c r="W247">
        <f t="shared" si="35"/>
        <v>2</v>
      </c>
      <c r="X247" t="str">
        <f t="shared" si="36"/>
        <v>June</v>
      </c>
      <c r="Y247">
        <f>HLOOKUP("Q"&amp;W247,Bonus_HLookup!$A$1:$E$2,2,FALSE)</f>
        <v>0.04</v>
      </c>
      <c r="Z247">
        <f t="shared" si="37"/>
        <v>40038.959999999999</v>
      </c>
      <c r="AA247" s="1">
        <f t="shared" si="38"/>
        <v>7853.2202975350274</v>
      </c>
      <c r="AB247">
        <f t="shared" si="39"/>
        <v>207</v>
      </c>
    </row>
    <row r="248" spans="1:28" x14ac:dyDescent="0.3">
      <c r="A248">
        <v>1247</v>
      </c>
      <c r="B248" t="s">
        <v>266</v>
      </c>
      <c r="C248" t="s">
        <v>30</v>
      </c>
      <c r="D248" t="s">
        <v>91</v>
      </c>
      <c r="E248" t="s">
        <v>94</v>
      </c>
      <c r="F248" t="s">
        <v>74</v>
      </c>
      <c r="G248">
        <v>2</v>
      </c>
      <c r="H248">
        <v>35000</v>
      </c>
      <c r="I248">
        <v>2</v>
      </c>
      <c r="J248">
        <v>233888</v>
      </c>
      <c r="K248">
        <v>11</v>
      </c>
      <c r="L248">
        <v>1</v>
      </c>
      <c r="M248" t="str">
        <f>VLOOKUP(Sales_Data!F248,Product_Master!$A$2:$D$11,2)</f>
        <v>Tablet</v>
      </c>
      <c r="N248" t="str">
        <f>VLOOKUP(F248,Product_Master!$A$2:$C$11,3)</f>
        <v>Electronics</v>
      </c>
      <c r="O248">
        <f>VLOOKUP(F248,Product_Master!$A$2:$D$11,4,FALSE)</f>
        <v>29000</v>
      </c>
      <c r="P248">
        <f t="shared" si="30"/>
        <v>70000</v>
      </c>
      <c r="Q248">
        <f t="shared" si="31"/>
        <v>1400</v>
      </c>
      <c r="R248">
        <f t="shared" si="32"/>
        <v>68600</v>
      </c>
      <c r="S248">
        <f t="shared" si="33"/>
        <v>10600</v>
      </c>
      <c r="T248" t="str">
        <f>_xlfn.CONCAT(Sales_Data!C248,"-",Sales_Data!E248,"-",Sales_Data!A248)</f>
        <v>South-C1027-1247</v>
      </c>
      <c r="U248" t="str">
        <f t="shared" si="34"/>
        <v>High Value</v>
      </c>
      <c r="V248" t="str" cm="1">
        <f t="array" ref="V248">_xlfn.IFS(R248&gt;=100000,"Excellent",R248&gt;=50000,"Good",R248&gt;=20000,"Average",TRUE,"Poor")</f>
        <v>Good</v>
      </c>
      <c r="W248">
        <f t="shared" si="35"/>
        <v>1</v>
      </c>
      <c r="X248" t="str">
        <f t="shared" si="36"/>
        <v>February</v>
      </c>
      <c r="Y248">
        <f>HLOOKUP("Q"&amp;W248,Bonus_HLookup!$A$1:$E$2,2,FALSE)</f>
        <v>0.02</v>
      </c>
      <c r="Z248">
        <f t="shared" si="37"/>
        <v>25727.68</v>
      </c>
      <c r="AA248" s="1">
        <f t="shared" si="38"/>
        <v>20671.409348300924</v>
      </c>
      <c r="AB248">
        <f t="shared" si="39"/>
        <v>221</v>
      </c>
    </row>
    <row r="249" spans="1:28" x14ac:dyDescent="0.3">
      <c r="A249">
        <v>1248</v>
      </c>
      <c r="B249" t="s">
        <v>161</v>
      </c>
      <c r="C249" t="s">
        <v>13</v>
      </c>
      <c r="D249" t="s">
        <v>50</v>
      </c>
      <c r="E249" t="s">
        <v>112</v>
      </c>
      <c r="F249" t="s">
        <v>74</v>
      </c>
      <c r="G249">
        <v>8</v>
      </c>
      <c r="H249">
        <v>35000</v>
      </c>
      <c r="I249">
        <v>10</v>
      </c>
      <c r="J249">
        <v>426724</v>
      </c>
      <c r="K249">
        <v>9</v>
      </c>
      <c r="L249">
        <v>2</v>
      </c>
      <c r="M249" t="str">
        <f>VLOOKUP(Sales_Data!F249,Product_Master!$A$2:$D$11,2)</f>
        <v>Tablet</v>
      </c>
      <c r="N249" t="str">
        <f>VLOOKUP(F249,Product_Master!$A$2:$C$11,3)</f>
        <v>Electronics</v>
      </c>
      <c r="O249">
        <f>VLOOKUP(F249,Product_Master!$A$2:$D$11,4,FALSE)</f>
        <v>29000</v>
      </c>
      <c r="P249">
        <f t="shared" si="30"/>
        <v>280000</v>
      </c>
      <c r="Q249">
        <f t="shared" si="31"/>
        <v>28000</v>
      </c>
      <c r="R249">
        <f t="shared" si="32"/>
        <v>252000</v>
      </c>
      <c r="S249">
        <f t="shared" si="33"/>
        <v>20000</v>
      </c>
      <c r="T249" t="str">
        <f>_xlfn.CONCAT(Sales_Data!C249,"-",Sales_Data!E249,"-",Sales_Data!A249)</f>
        <v>West-C1048-1248</v>
      </c>
      <c r="U249" t="str">
        <f t="shared" si="34"/>
        <v>High Value</v>
      </c>
      <c r="V249" t="str" cm="1">
        <f t="array" ref="V249">_xlfn.IFS(R249&gt;=100000,"Excellent",R249&gt;=50000,"Good",R249&gt;=20000,"Average",TRUE,"Poor")</f>
        <v>Excellent</v>
      </c>
      <c r="W249">
        <f t="shared" si="35"/>
        <v>3</v>
      </c>
      <c r="X249" t="str">
        <f t="shared" si="36"/>
        <v>July</v>
      </c>
      <c r="Y249">
        <f>HLOOKUP("Q"&amp;W249,Bonus_HLookup!$A$1:$E$2,2,FALSE)</f>
        <v>0.06</v>
      </c>
      <c r="Z249">
        <f t="shared" si="37"/>
        <v>76810.320000000007</v>
      </c>
      <c r="AA249" s="1">
        <f t="shared" si="38"/>
        <v>19494.775964337859</v>
      </c>
      <c r="AB249">
        <f t="shared" si="39"/>
        <v>76</v>
      </c>
    </row>
    <row r="250" spans="1:28" x14ac:dyDescent="0.3">
      <c r="A250">
        <v>1249</v>
      </c>
      <c r="B250" t="s">
        <v>267</v>
      </c>
      <c r="C250" t="s">
        <v>13</v>
      </c>
      <c r="D250" t="s">
        <v>33</v>
      </c>
      <c r="E250" t="s">
        <v>77</v>
      </c>
      <c r="F250" t="s">
        <v>74</v>
      </c>
      <c r="G250">
        <v>3</v>
      </c>
      <c r="H250">
        <v>35000</v>
      </c>
      <c r="I250">
        <v>12</v>
      </c>
      <c r="J250">
        <v>271114</v>
      </c>
      <c r="K250">
        <v>12</v>
      </c>
      <c r="L250">
        <v>2</v>
      </c>
      <c r="M250" t="str">
        <f>VLOOKUP(Sales_Data!F250,Product_Master!$A$2:$D$11,2)</f>
        <v>Tablet</v>
      </c>
      <c r="N250" t="str">
        <f>VLOOKUP(F250,Product_Master!$A$2:$C$11,3)</f>
        <v>Electronics</v>
      </c>
      <c r="O250">
        <f>VLOOKUP(F250,Product_Master!$A$2:$D$11,4,FALSE)</f>
        <v>29000</v>
      </c>
      <c r="P250">
        <f t="shared" si="30"/>
        <v>105000</v>
      </c>
      <c r="Q250">
        <f t="shared" si="31"/>
        <v>12600</v>
      </c>
      <c r="R250">
        <f t="shared" si="32"/>
        <v>92400</v>
      </c>
      <c r="S250">
        <f t="shared" si="33"/>
        <v>5400</v>
      </c>
      <c r="T250" t="str">
        <f>_xlfn.CONCAT(Sales_Data!C250,"-",Sales_Data!E250,"-",Sales_Data!A250)</f>
        <v>West-C1020-1249</v>
      </c>
      <c r="U250" t="str">
        <f t="shared" si="34"/>
        <v>High Value</v>
      </c>
      <c r="V250" t="str" cm="1">
        <f t="array" ref="V250">_xlfn.IFS(R250&gt;=100000,"Excellent",R250&gt;=50000,"Good",R250&gt;=20000,"Average",TRUE,"Poor")</f>
        <v>Good</v>
      </c>
      <c r="W250">
        <f t="shared" si="35"/>
        <v>2</v>
      </c>
      <c r="X250" t="str">
        <f t="shared" si="36"/>
        <v>June</v>
      </c>
      <c r="Y250">
        <f>HLOOKUP("Q"&amp;W250,Bonus_HLookup!$A$1:$E$2,2,FALSE)</f>
        <v>0.04</v>
      </c>
      <c r="Z250">
        <f t="shared" si="37"/>
        <v>65067.360000000001</v>
      </c>
      <c r="AA250" s="1">
        <f t="shared" si="38"/>
        <v>12762.277348338186</v>
      </c>
      <c r="AB250">
        <f t="shared" si="39"/>
        <v>181</v>
      </c>
    </row>
    <row r="251" spans="1:28" x14ac:dyDescent="0.3">
      <c r="A251">
        <v>1250</v>
      </c>
      <c r="B251" t="s">
        <v>86</v>
      </c>
      <c r="C251" t="s">
        <v>62</v>
      </c>
      <c r="D251" t="s">
        <v>50</v>
      </c>
      <c r="E251" t="s">
        <v>172</v>
      </c>
      <c r="F251" t="s">
        <v>25</v>
      </c>
      <c r="G251">
        <v>3</v>
      </c>
      <c r="H251">
        <v>1500</v>
      </c>
      <c r="I251">
        <v>15</v>
      </c>
      <c r="J251">
        <v>121075</v>
      </c>
      <c r="K251">
        <v>12</v>
      </c>
      <c r="L251">
        <v>5</v>
      </c>
      <c r="M251" t="str">
        <f>VLOOKUP(Sales_Data!F251,Product_Master!$A$2:$D$11,2)</f>
        <v>Keyboard</v>
      </c>
      <c r="N251" t="str">
        <f>VLOOKUP(F251,Product_Master!$A$2:$C$11,3)</f>
        <v>Accessories</v>
      </c>
      <c r="O251">
        <f>VLOOKUP(F251,Product_Master!$A$2:$D$11,4,FALSE)</f>
        <v>1200</v>
      </c>
      <c r="P251">
        <f t="shared" si="30"/>
        <v>4500</v>
      </c>
      <c r="Q251">
        <f t="shared" si="31"/>
        <v>675</v>
      </c>
      <c r="R251">
        <f t="shared" si="32"/>
        <v>3825</v>
      </c>
      <c r="S251">
        <f t="shared" si="33"/>
        <v>225</v>
      </c>
      <c r="T251" t="str">
        <f>_xlfn.CONCAT(Sales_Data!C251,"-",Sales_Data!E251,"-",Sales_Data!A251)</f>
        <v>East-C1033-1250</v>
      </c>
      <c r="U251" t="str">
        <f t="shared" si="34"/>
        <v>Regular</v>
      </c>
      <c r="V251" t="str" cm="1">
        <f t="array" ref="V251">_xlfn.IFS(R251&gt;=100000,"Excellent",R251&gt;=50000,"Good",R251&gt;=20000,"Average",TRUE,"Poor")</f>
        <v>Poor</v>
      </c>
      <c r="W251">
        <f t="shared" si="35"/>
        <v>1</v>
      </c>
      <c r="X251" t="str">
        <f t="shared" si="36"/>
        <v>March</v>
      </c>
      <c r="Y251">
        <f>HLOOKUP("Q"&amp;W251,Bonus_HLookup!$A$1:$E$2,2,FALSE)</f>
        <v>0.02</v>
      </c>
      <c r="Z251">
        <f t="shared" si="37"/>
        <v>72645</v>
      </c>
      <c r="AA251" s="1">
        <f t="shared" si="38"/>
        <v>2693.2465034494821</v>
      </c>
      <c r="AB251">
        <f t="shared" si="39"/>
        <v>850</v>
      </c>
    </row>
    <row r="252" spans="1:28" x14ac:dyDescent="0.3">
      <c r="A252">
        <v>1251</v>
      </c>
      <c r="B252" t="s">
        <v>268</v>
      </c>
      <c r="C252" t="s">
        <v>13</v>
      </c>
      <c r="D252" t="s">
        <v>14</v>
      </c>
      <c r="E252" t="s">
        <v>203</v>
      </c>
      <c r="F252" t="s">
        <v>25</v>
      </c>
      <c r="G252">
        <v>2</v>
      </c>
      <c r="H252">
        <v>1500</v>
      </c>
      <c r="I252">
        <v>2</v>
      </c>
      <c r="J252">
        <v>352217</v>
      </c>
      <c r="K252">
        <v>9</v>
      </c>
      <c r="L252">
        <v>3</v>
      </c>
      <c r="M252" t="str">
        <f>VLOOKUP(Sales_Data!F252,Product_Master!$A$2:$D$11,2)</f>
        <v>Keyboard</v>
      </c>
      <c r="N252" t="str">
        <f>VLOOKUP(F252,Product_Master!$A$2:$C$11,3)</f>
        <v>Accessories</v>
      </c>
      <c r="O252">
        <f>VLOOKUP(F252,Product_Master!$A$2:$D$11,4,FALSE)</f>
        <v>1200</v>
      </c>
      <c r="P252">
        <f t="shared" si="30"/>
        <v>3000</v>
      </c>
      <c r="Q252">
        <f t="shared" si="31"/>
        <v>60</v>
      </c>
      <c r="R252">
        <f t="shared" si="32"/>
        <v>2940</v>
      </c>
      <c r="S252">
        <f t="shared" si="33"/>
        <v>540</v>
      </c>
      <c r="T252" t="str">
        <f>_xlfn.CONCAT(Sales_Data!C252,"-",Sales_Data!E252,"-",Sales_Data!A252)</f>
        <v>West-C1037-1251</v>
      </c>
      <c r="U252" t="str">
        <f t="shared" si="34"/>
        <v>Regular</v>
      </c>
      <c r="V252" t="str" cm="1">
        <f t="array" ref="V252">_xlfn.IFS(R252&gt;=100000,"Excellent",R252&gt;=50000,"Good",R252&gt;=20000,"Average",TRUE,"Poor")</f>
        <v>Poor</v>
      </c>
      <c r="W252">
        <f t="shared" si="35"/>
        <v>3</v>
      </c>
      <c r="X252" t="str">
        <f t="shared" si="36"/>
        <v>September</v>
      </c>
      <c r="Y252">
        <f>HLOOKUP("Q"&amp;W252,Bonus_HLookup!$A$1:$E$2,2,FALSE)</f>
        <v>0.06</v>
      </c>
      <c r="Z252">
        <f t="shared" si="37"/>
        <v>95098.59</v>
      </c>
      <c r="AA252" s="1">
        <f t="shared" si="38"/>
        <v>11200.406438286327</v>
      </c>
      <c r="AB252">
        <f t="shared" si="39"/>
        <v>883</v>
      </c>
    </row>
    <row r="253" spans="1:28" x14ac:dyDescent="0.3">
      <c r="A253">
        <v>1252</v>
      </c>
      <c r="B253" t="s">
        <v>269</v>
      </c>
      <c r="C253" t="s">
        <v>30</v>
      </c>
      <c r="D253" t="s">
        <v>50</v>
      </c>
      <c r="E253" t="s">
        <v>82</v>
      </c>
      <c r="F253" t="s">
        <v>28</v>
      </c>
      <c r="G253">
        <v>9</v>
      </c>
      <c r="H253">
        <v>950</v>
      </c>
      <c r="I253">
        <v>0</v>
      </c>
      <c r="J253">
        <v>91835</v>
      </c>
      <c r="K253">
        <v>11</v>
      </c>
      <c r="L253">
        <v>5</v>
      </c>
      <c r="M253" t="str">
        <f>VLOOKUP(Sales_Data!F253,Product_Master!$A$2:$D$11,2)</f>
        <v>Webcam</v>
      </c>
      <c r="N253" t="str">
        <f>VLOOKUP(F253,Product_Master!$A$2:$C$11,3)</f>
        <v>Accessories</v>
      </c>
      <c r="O253">
        <f>VLOOKUP(F253,Product_Master!$A$2:$D$11,4,FALSE)</f>
        <v>700</v>
      </c>
      <c r="P253">
        <f t="shared" si="30"/>
        <v>8550</v>
      </c>
      <c r="Q253">
        <f t="shared" si="31"/>
        <v>0</v>
      </c>
      <c r="R253">
        <f t="shared" si="32"/>
        <v>8550</v>
      </c>
      <c r="S253">
        <f t="shared" si="33"/>
        <v>2250</v>
      </c>
      <c r="T253" t="str">
        <f>_xlfn.CONCAT(Sales_Data!C253,"-",Sales_Data!E253,"-",Sales_Data!A253)</f>
        <v>South-C1045-1252</v>
      </c>
      <c r="U253" t="str">
        <f t="shared" si="34"/>
        <v>Regular</v>
      </c>
      <c r="V253" t="str" cm="1">
        <f t="array" ref="V253">_xlfn.IFS(R253&gt;=100000,"Excellent",R253&gt;=50000,"Good",R253&gt;=20000,"Average",TRUE,"Poor")</f>
        <v>Poor</v>
      </c>
      <c r="W253">
        <f t="shared" si="35"/>
        <v>2</v>
      </c>
      <c r="X253" t="str">
        <f t="shared" si="36"/>
        <v>June</v>
      </c>
      <c r="Y253">
        <f>HLOOKUP("Q"&amp;W253,Bonus_HLookup!$A$1:$E$2,2,FALSE)</f>
        <v>0.04</v>
      </c>
      <c r="Z253">
        <f t="shared" si="37"/>
        <v>50509.25</v>
      </c>
      <c r="AA253" s="1">
        <f t="shared" si="38"/>
        <v>1996.7154228761983</v>
      </c>
      <c r="AB253">
        <f t="shared" si="39"/>
        <v>675</v>
      </c>
    </row>
    <row r="254" spans="1:28" x14ac:dyDescent="0.3">
      <c r="A254">
        <v>1253</v>
      </c>
      <c r="B254" t="s">
        <v>241</v>
      </c>
      <c r="C254" t="s">
        <v>30</v>
      </c>
      <c r="D254" t="s">
        <v>23</v>
      </c>
      <c r="E254" t="s">
        <v>24</v>
      </c>
      <c r="F254" t="s">
        <v>21</v>
      </c>
      <c r="G254">
        <v>2</v>
      </c>
      <c r="H254">
        <v>12000</v>
      </c>
      <c r="I254">
        <v>12</v>
      </c>
      <c r="J254">
        <v>440715</v>
      </c>
      <c r="K254">
        <v>12</v>
      </c>
      <c r="L254">
        <v>1</v>
      </c>
      <c r="M254" t="str">
        <f>VLOOKUP(Sales_Data!F254,Product_Master!$A$2:$D$11,2)</f>
        <v>Monitor</v>
      </c>
      <c r="N254" t="str">
        <f>VLOOKUP(F254,Product_Master!$A$2:$C$11,3)</f>
        <v>Electronics</v>
      </c>
      <c r="O254">
        <f>VLOOKUP(F254,Product_Master!$A$2:$D$11,4,FALSE)</f>
        <v>9000</v>
      </c>
      <c r="P254">
        <f t="shared" si="30"/>
        <v>24000</v>
      </c>
      <c r="Q254">
        <f t="shared" si="31"/>
        <v>2880</v>
      </c>
      <c r="R254">
        <f t="shared" si="32"/>
        <v>21120</v>
      </c>
      <c r="S254">
        <f t="shared" si="33"/>
        <v>3120</v>
      </c>
      <c r="T254" t="str">
        <f>_xlfn.CONCAT(Sales_Data!C254,"-",Sales_Data!E254,"-",Sales_Data!A254)</f>
        <v>South-C1029-1253</v>
      </c>
      <c r="U254" t="str">
        <f t="shared" si="34"/>
        <v>Regular</v>
      </c>
      <c r="V254" t="str" cm="1">
        <f t="array" ref="V254">_xlfn.IFS(R254&gt;=100000,"Excellent",R254&gt;=50000,"Good",R254&gt;=20000,"Average",TRUE,"Poor")</f>
        <v>Average</v>
      </c>
      <c r="W254">
        <f t="shared" si="35"/>
        <v>4</v>
      </c>
      <c r="X254" t="str">
        <f t="shared" si="36"/>
        <v>December</v>
      </c>
      <c r="Y254">
        <f>HLOOKUP("Q"&amp;W254,Bonus_HLookup!$A$1:$E$2,2,FALSE)</f>
        <v>0.08</v>
      </c>
      <c r="Z254">
        <f t="shared" si="37"/>
        <v>52885.8</v>
      </c>
      <c r="AA254" s="1">
        <f t="shared" si="38"/>
        <v>39156.993902375361</v>
      </c>
      <c r="AB254">
        <f t="shared" si="39"/>
        <v>429</v>
      </c>
    </row>
    <row r="255" spans="1:28" x14ac:dyDescent="0.3">
      <c r="A255">
        <v>1254</v>
      </c>
      <c r="B255" t="s">
        <v>270</v>
      </c>
      <c r="C255" t="s">
        <v>13</v>
      </c>
      <c r="D255" t="s">
        <v>59</v>
      </c>
      <c r="E255" t="s">
        <v>34</v>
      </c>
      <c r="F255" t="s">
        <v>16</v>
      </c>
      <c r="G255">
        <v>2</v>
      </c>
      <c r="H255">
        <v>2500</v>
      </c>
      <c r="I255">
        <v>0</v>
      </c>
      <c r="J255">
        <v>321360</v>
      </c>
      <c r="K255">
        <v>7</v>
      </c>
      <c r="L255">
        <v>1</v>
      </c>
      <c r="M255" t="str">
        <f>VLOOKUP(Sales_Data!F255,Product_Master!$A$2:$D$11,2)</f>
        <v>Speaker</v>
      </c>
      <c r="N255" t="str">
        <f>VLOOKUP(F255,Product_Master!$A$2:$C$11,3)</f>
        <v>Accessories</v>
      </c>
      <c r="O255">
        <f>VLOOKUP(F255,Product_Master!$A$2:$D$11,4,FALSE)</f>
        <v>1800</v>
      </c>
      <c r="P255">
        <f t="shared" si="30"/>
        <v>5000</v>
      </c>
      <c r="Q255">
        <f t="shared" si="31"/>
        <v>0</v>
      </c>
      <c r="R255">
        <f t="shared" si="32"/>
        <v>5000</v>
      </c>
      <c r="S255">
        <f t="shared" si="33"/>
        <v>1400</v>
      </c>
      <c r="T255" t="str">
        <f>_xlfn.CONCAT(Sales_Data!C255,"-",Sales_Data!E255,"-",Sales_Data!A255)</f>
        <v>West-C1036-1254</v>
      </c>
      <c r="U255" t="str">
        <f t="shared" si="34"/>
        <v>Regular</v>
      </c>
      <c r="V255" t="str" cm="1">
        <f t="array" ref="V255">_xlfn.IFS(R255&gt;=100000,"Excellent",R255&gt;=50000,"Good",R255&gt;=20000,"Average",TRUE,"Poor")</f>
        <v>Poor</v>
      </c>
      <c r="W255">
        <f t="shared" si="35"/>
        <v>3</v>
      </c>
      <c r="X255" t="str">
        <f t="shared" si="36"/>
        <v>September</v>
      </c>
      <c r="Y255">
        <f>HLOOKUP("Q"&amp;W255,Bonus_HLookup!$A$1:$E$2,2,FALSE)</f>
        <v>0.06</v>
      </c>
      <c r="Z255">
        <f t="shared" si="37"/>
        <v>22495.200000000001</v>
      </c>
      <c r="AA255" s="1">
        <f t="shared" si="38"/>
        <v>27806.235126097647</v>
      </c>
      <c r="AB255">
        <f t="shared" si="39"/>
        <v>790</v>
      </c>
    </row>
    <row r="256" spans="1:28" x14ac:dyDescent="0.3">
      <c r="A256">
        <v>1255</v>
      </c>
      <c r="B256" t="s">
        <v>210</v>
      </c>
      <c r="C256" t="s">
        <v>62</v>
      </c>
      <c r="D256" t="s">
        <v>50</v>
      </c>
      <c r="E256" t="s">
        <v>183</v>
      </c>
      <c r="F256" t="s">
        <v>74</v>
      </c>
      <c r="G256">
        <v>5</v>
      </c>
      <c r="H256">
        <v>35000</v>
      </c>
      <c r="I256">
        <v>5</v>
      </c>
      <c r="J256">
        <v>257330</v>
      </c>
      <c r="K256">
        <v>8</v>
      </c>
      <c r="L256">
        <v>3</v>
      </c>
      <c r="M256" t="str">
        <f>VLOOKUP(Sales_Data!F256,Product_Master!$A$2:$D$11,2)</f>
        <v>Tablet</v>
      </c>
      <c r="N256" t="str">
        <f>VLOOKUP(F256,Product_Master!$A$2:$C$11,3)</f>
        <v>Electronics</v>
      </c>
      <c r="O256">
        <f>VLOOKUP(F256,Product_Master!$A$2:$D$11,4,FALSE)</f>
        <v>29000</v>
      </c>
      <c r="P256">
        <f t="shared" si="30"/>
        <v>175000</v>
      </c>
      <c r="Q256">
        <f t="shared" si="31"/>
        <v>8750</v>
      </c>
      <c r="R256">
        <f t="shared" si="32"/>
        <v>166250</v>
      </c>
      <c r="S256">
        <f t="shared" si="33"/>
        <v>21250</v>
      </c>
      <c r="T256" t="str">
        <f>_xlfn.CONCAT(Sales_Data!C256,"-",Sales_Data!E256,"-",Sales_Data!A256)</f>
        <v>East-C1008-1255</v>
      </c>
      <c r="U256" t="str">
        <f t="shared" si="34"/>
        <v>High Value</v>
      </c>
      <c r="V256" t="str" cm="1">
        <f t="array" ref="V256">_xlfn.IFS(R256&gt;=100000,"Excellent",R256&gt;=50000,"Good",R256&gt;=20000,"Average",TRUE,"Poor")</f>
        <v>Excellent</v>
      </c>
      <c r="W256">
        <f t="shared" si="35"/>
        <v>4</v>
      </c>
      <c r="X256" t="str">
        <f t="shared" si="36"/>
        <v>December</v>
      </c>
      <c r="Y256">
        <f>HLOOKUP("Q"&amp;W256,Bonus_HLookup!$A$1:$E$2,2,FALSE)</f>
        <v>0.08</v>
      </c>
      <c r="Z256">
        <f t="shared" si="37"/>
        <v>61759.199999999997</v>
      </c>
      <c r="AA256" s="1">
        <f t="shared" si="38"/>
        <v>8063.7869241899998</v>
      </c>
      <c r="AB256">
        <f t="shared" si="39"/>
        <v>122</v>
      </c>
    </row>
    <row r="257" spans="1:28" x14ac:dyDescent="0.3">
      <c r="A257">
        <v>1256</v>
      </c>
      <c r="B257" t="s">
        <v>243</v>
      </c>
      <c r="C257" t="s">
        <v>62</v>
      </c>
      <c r="D257" t="s">
        <v>33</v>
      </c>
      <c r="E257" t="s">
        <v>128</v>
      </c>
      <c r="F257" t="s">
        <v>42</v>
      </c>
      <c r="G257">
        <v>1</v>
      </c>
      <c r="H257">
        <v>8000</v>
      </c>
      <c r="I257">
        <v>2</v>
      </c>
      <c r="J257">
        <v>249903</v>
      </c>
      <c r="K257">
        <v>10</v>
      </c>
      <c r="L257">
        <v>5</v>
      </c>
      <c r="M257" t="str">
        <f>VLOOKUP(Sales_Data!F257,Product_Master!$A$2:$D$11,2)</f>
        <v>Printer</v>
      </c>
      <c r="N257" t="str">
        <f>VLOOKUP(F257,Product_Master!$A$2:$C$11,3)</f>
        <v>Electronics</v>
      </c>
      <c r="O257">
        <f>VLOOKUP(F257,Product_Master!$A$2:$D$11,4,FALSE)</f>
        <v>6500</v>
      </c>
      <c r="P257">
        <f t="shared" si="30"/>
        <v>8000</v>
      </c>
      <c r="Q257">
        <f t="shared" si="31"/>
        <v>160</v>
      </c>
      <c r="R257">
        <f t="shared" si="32"/>
        <v>7840</v>
      </c>
      <c r="S257">
        <f t="shared" si="33"/>
        <v>1340</v>
      </c>
      <c r="T257" t="str">
        <f>_xlfn.CONCAT(Sales_Data!C257,"-",Sales_Data!E257,"-",Sales_Data!A257)</f>
        <v>East-C1013-1256</v>
      </c>
      <c r="U257" t="str">
        <f t="shared" si="34"/>
        <v>Regular</v>
      </c>
      <c r="V257" t="str" cm="1">
        <f t="array" ref="V257">_xlfn.IFS(R257&gt;=100000,"Excellent",R257&gt;=50000,"Good",R257&gt;=20000,"Average",TRUE,"Poor")</f>
        <v>Poor</v>
      </c>
      <c r="W257">
        <f t="shared" si="35"/>
        <v>2</v>
      </c>
      <c r="X257" t="str">
        <f t="shared" si="36"/>
        <v>April</v>
      </c>
      <c r="Y257">
        <f>HLOOKUP("Q"&amp;W257,Bonus_HLookup!$A$1:$E$2,2,FALSE)</f>
        <v>0.04</v>
      </c>
      <c r="Z257">
        <f t="shared" si="37"/>
        <v>124951.5</v>
      </c>
      <c r="AA257" s="1">
        <f t="shared" si="38"/>
        <v>5309.7002144800763</v>
      </c>
      <c r="AB257">
        <f t="shared" si="39"/>
        <v>692</v>
      </c>
    </row>
    <row r="258" spans="1:28" x14ac:dyDescent="0.3">
      <c r="A258">
        <v>1257</v>
      </c>
      <c r="B258" t="s">
        <v>271</v>
      </c>
      <c r="C258" t="s">
        <v>18</v>
      </c>
      <c r="D258" t="s">
        <v>46</v>
      </c>
      <c r="E258" t="s">
        <v>122</v>
      </c>
      <c r="F258" t="s">
        <v>39</v>
      </c>
      <c r="G258">
        <v>3</v>
      </c>
      <c r="H258">
        <v>7000</v>
      </c>
      <c r="I258">
        <v>15</v>
      </c>
      <c r="J258">
        <v>268958</v>
      </c>
      <c r="K258">
        <v>9</v>
      </c>
      <c r="L258">
        <v>1</v>
      </c>
      <c r="M258" t="str">
        <f>VLOOKUP(Sales_Data!F258,Product_Master!$A$2:$D$11,2)</f>
        <v>Router</v>
      </c>
      <c r="N258" t="str">
        <f>VLOOKUP(F258,Product_Master!$A$2:$C$11,3)</f>
        <v>Electronics</v>
      </c>
      <c r="O258">
        <f>VLOOKUP(F258,Product_Master!$A$2:$D$11,4,FALSE)</f>
        <v>5000</v>
      </c>
      <c r="P258">
        <f t="shared" si="30"/>
        <v>21000</v>
      </c>
      <c r="Q258">
        <f t="shared" si="31"/>
        <v>3150</v>
      </c>
      <c r="R258">
        <f t="shared" si="32"/>
        <v>17850</v>
      </c>
      <c r="S258">
        <f t="shared" si="33"/>
        <v>2850</v>
      </c>
      <c r="T258" t="str">
        <f>_xlfn.CONCAT(Sales_Data!C258,"-",Sales_Data!E258,"-",Sales_Data!A258)</f>
        <v>North-C1046-1257</v>
      </c>
      <c r="U258" t="str">
        <f t="shared" si="34"/>
        <v>Regular</v>
      </c>
      <c r="V258" t="str" cm="1">
        <f t="array" ref="V258">_xlfn.IFS(R258&gt;=100000,"Excellent",R258&gt;=50000,"Good",R258&gt;=20000,"Average",TRUE,"Poor")</f>
        <v>Poor</v>
      </c>
      <c r="W258">
        <f t="shared" si="35"/>
        <v>3</v>
      </c>
      <c r="X258" t="str">
        <f t="shared" si="36"/>
        <v>September</v>
      </c>
      <c r="Y258">
        <f>HLOOKUP("Q"&amp;W258,Bonus_HLookup!$A$1:$E$2,2,FALSE)</f>
        <v>0.06</v>
      </c>
      <c r="Z258">
        <f t="shared" si="37"/>
        <v>24206.22</v>
      </c>
      <c r="AA258" s="1">
        <f t="shared" si="38"/>
        <v>23520.774289084529</v>
      </c>
      <c r="AB258">
        <f t="shared" si="39"/>
        <v>485</v>
      </c>
    </row>
    <row r="259" spans="1:28" x14ac:dyDescent="0.3">
      <c r="A259">
        <v>1258</v>
      </c>
      <c r="B259" t="s">
        <v>249</v>
      </c>
      <c r="C259" t="s">
        <v>18</v>
      </c>
      <c r="D259" t="s">
        <v>50</v>
      </c>
      <c r="E259" t="s">
        <v>24</v>
      </c>
      <c r="F259" t="s">
        <v>42</v>
      </c>
      <c r="G259">
        <v>6</v>
      </c>
      <c r="H259">
        <v>8000</v>
      </c>
      <c r="I259">
        <v>8</v>
      </c>
      <c r="J259">
        <v>386628</v>
      </c>
      <c r="K259">
        <v>7</v>
      </c>
      <c r="L259">
        <v>3</v>
      </c>
      <c r="M259" t="str">
        <f>VLOOKUP(Sales_Data!F259,Product_Master!$A$2:$D$11,2)</f>
        <v>Printer</v>
      </c>
      <c r="N259" t="str">
        <f>VLOOKUP(F259,Product_Master!$A$2:$C$11,3)</f>
        <v>Electronics</v>
      </c>
      <c r="O259">
        <f>VLOOKUP(F259,Product_Master!$A$2:$D$11,4,FALSE)</f>
        <v>6500</v>
      </c>
      <c r="P259">
        <f t="shared" ref="P259:P322" si="40">H259*G259</f>
        <v>48000</v>
      </c>
      <c r="Q259">
        <f t="shared" ref="Q259:Q322" si="41">P259*(I259/100)</f>
        <v>3840</v>
      </c>
      <c r="R259">
        <f t="shared" ref="R259:R322" si="42">P259-Q259</f>
        <v>44160</v>
      </c>
      <c r="S259">
        <f t="shared" ref="S259:S322" si="43">R259-(G259*O259)</f>
        <v>5160</v>
      </c>
      <c r="T259" t="str">
        <f>_xlfn.CONCAT(Sales_Data!C259,"-",Sales_Data!E259,"-",Sales_Data!A259)</f>
        <v>North-C1029-1258</v>
      </c>
      <c r="U259" t="str">
        <f t="shared" ref="U259:U322" si="44">IF(R259&gt;=50000,"High Value","Regular")</f>
        <v>Regular</v>
      </c>
      <c r="V259" t="str" cm="1">
        <f t="array" ref="V259">_xlfn.IFS(R259&gt;=100000,"Excellent",R259&gt;=50000,"Good",R259&gt;=20000,"Average",TRUE,"Poor")</f>
        <v>Average</v>
      </c>
      <c r="W259">
        <f t="shared" ref="W259:W322" si="45">ROUNDUP(MONTH(B259)/3,0)</f>
        <v>4</v>
      </c>
      <c r="X259" t="str">
        <f t="shared" ref="X259:X322" si="46">TEXT(B259,"mmmm")</f>
        <v>December</v>
      </c>
      <c r="Y259">
        <f>HLOOKUP("Q"&amp;W259,Bonus_HLookup!$A$1:$E$2,2,FALSE)</f>
        <v>0.08</v>
      </c>
      <c r="Z259">
        <f t="shared" ref="Z259:Z322" si="47">(J259*K259*L259)/100</f>
        <v>81191.88</v>
      </c>
      <c r="AA259" s="1">
        <f t="shared" ref="AA259:AA322" si="48">PMT(K259/1200,L259*12,-J259)</f>
        <v>11937.950206865024</v>
      </c>
      <c r="AB259">
        <f t="shared" ref="AB259:AB322" si="49">RANK(R259,$R$2:$R$1001)</f>
        <v>318</v>
      </c>
    </row>
    <row r="260" spans="1:28" x14ac:dyDescent="0.3">
      <c r="A260">
        <v>1259</v>
      </c>
      <c r="B260" t="s">
        <v>272</v>
      </c>
      <c r="C260" t="s">
        <v>18</v>
      </c>
      <c r="D260" t="s">
        <v>14</v>
      </c>
      <c r="E260" t="s">
        <v>51</v>
      </c>
      <c r="F260" t="s">
        <v>21</v>
      </c>
      <c r="G260">
        <v>1</v>
      </c>
      <c r="H260">
        <v>12000</v>
      </c>
      <c r="I260">
        <v>8</v>
      </c>
      <c r="J260">
        <v>102886</v>
      </c>
      <c r="K260">
        <v>10</v>
      </c>
      <c r="L260">
        <v>2</v>
      </c>
      <c r="M260" t="str">
        <f>VLOOKUP(Sales_Data!F260,Product_Master!$A$2:$D$11,2)</f>
        <v>Monitor</v>
      </c>
      <c r="N260" t="str">
        <f>VLOOKUP(F260,Product_Master!$A$2:$C$11,3)</f>
        <v>Electronics</v>
      </c>
      <c r="O260">
        <f>VLOOKUP(F260,Product_Master!$A$2:$D$11,4,FALSE)</f>
        <v>9000</v>
      </c>
      <c r="P260">
        <f t="shared" si="40"/>
        <v>12000</v>
      </c>
      <c r="Q260">
        <f t="shared" si="41"/>
        <v>960</v>
      </c>
      <c r="R260">
        <f t="shared" si="42"/>
        <v>11040</v>
      </c>
      <c r="S260">
        <f t="shared" si="43"/>
        <v>2040</v>
      </c>
      <c r="T260" t="str">
        <f>_xlfn.CONCAT(Sales_Data!C260,"-",Sales_Data!E260,"-",Sales_Data!A260)</f>
        <v>North-C1002-1259</v>
      </c>
      <c r="U260" t="str">
        <f t="shared" si="44"/>
        <v>Regular</v>
      </c>
      <c r="V260" t="str" cm="1">
        <f t="array" ref="V260">_xlfn.IFS(R260&gt;=100000,"Excellent",R260&gt;=50000,"Good",R260&gt;=20000,"Average",TRUE,"Poor")</f>
        <v>Poor</v>
      </c>
      <c r="W260">
        <f t="shared" si="45"/>
        <v>2</v>
      </c>
      <c r="X260" t="str">
        <f t="shared" si="46"/>
        <v>April</v>
      </c>
      <c r="Y260">
        <f>HLOOKUP("Q"&amp;W260,Bonus_HLookup!$A$1:$E$2,2,FALSE)</f>
        <v>0.04</v>
      </c>
      <c r="Z260">
        <f t="shared" si="47"/>
        <v>20577.2</v>
      </c>
      <c r="AA260" s="1">
        <f t="shared" si="48"/>
        <v>4747.6668911617226</v>
      </c>
      <c r="AB260">
        <f t="shared" si="49"/>
        <v>613</v>
      </c>
    </row>
    <row r="261" spans="1:28" x14ac:dyDescent="0.3">
      <c r="A261">
        <v>1260</v>
      </c>
      <c r="B261" t="s">
        <v>262</v>
      </c>
      <c r="C261" t="s">
        <v>18</v>
      </c>
      <c r="D261" t="s">
        <v>91</v>
      </c>
      <c r="E261" t="s">
        <v>73</v>
      </c>
      <c r="F261" t="s">
        <v>21</v>
      </c>
      <c r="G261">
        <v>3</v>
      </c>
      <c r="H261">
        <v>12000</v>
      </c>
      <c r="I261">
        <v>12</v>
      </c>
      <c r="J261">
        <v>146210</v>
      </c>
      <c r="K261">
        <v>10</v>
      </c>
      <c r="L261">
        <v>3</v>
      </c>
      <c r="M261" t="str">
        <f>VLOOKUP(Sales_Data!F261,Product_Master!$A$2:$D$11,2)</f>
        <v>Monitor</v>
      </c>
      <c r="N261" t="str">
        <f>VLOOKUP(F261,Product_Master!$A$2:$C$11,3)</f>
        <v>Electronics</v>
      </c>
      <c r="O261">
        <f>VLOOKUP(F261,Product_Master!$A$2:$D$11,4,FALSE)</f>
        <v>9000</v>
      </c>
      <c r="P261">
        <f t="shared" si="40"/>
        <v>36000</v>
      </c>
      <c r="Q261">
        <f t="shared" si="41"/>
        <v>4320</v>
      </c>
      <c r="R261">
        <f t="shared" si="42"/>
        <v>31680</v>
      </c>
      <c r="S261">
        <f t="shared" si="43"/>
        <v>4680</v>
      </c>
      <c r="T261" t="str">
        <f>_xlfn.CONCAT(Sales_Data!C261,"-",Sales_Data!E261,"-",Sales_Data!A261)</f>
        <v>North-C1014-1260</v>
      </c>
      <c r="U261" t="str">
        <f t="shared" si="44"/>
        <v>Regular</v>
      </c>
      <c r="V261" t="str" cm="1">
        <f t="array" ref="V261">_xlfn.IFS(R261&gt;=100000,"Excellent",R261&gt;=50000,"Good",R261&gt;=20000,"Average",TRUE,"Poor")</f>
        <v>Average</v>
      </c>
      <c r="W261">
        <f t="shared" si="45"/>
        <v>4</v>
      </c>
      <c r="X261" t="str">
        <f t="shared" si="46"/>
        <v>October</v>
      </c>
      <c r="Y261">
        <f>HLOOKUP("Q"&amp;W261,Bonus_HLookup!$A$1:$E$2,2,FALSE)</f>
        <v>0.08</v>
      </c>
      <c r="Z261">
        <f t="shared" si="47"/>
        <v>43863</v>
      </c>
      <c r="AA261" s="1">
        <f t="shared" si="48"/>
        <v>4717.7854396109788</v>
      </c>
      <c r="AB261">
        <f t="shared" si="49"/>
        <v>365</v>
      </c>
    </row>
    <row r="262" spans="1:28" x14ac:dyDescent="0.3">
      <c r="A262">
        <v>1261</v>
      </c>
      <c r="B262" t="s">
        <v>262</v>
      </c>
      <c r="C262" t="s">
        <v>18</v>
      </c>
      <c r="D262" t="s">
        <v>33</v>
      </c>
      <c r="E262" t="s">
        <v>68</v>
      </c>
      <c r="F262" t="s">
        <v>69</v>
      </c>
      <c r="G262">
        <v>1</v>
      </c>
      <c r="H262">
        <v>2000</v>
      </c>
      <c r="I262">
        <v>10</v>
      </c>
      <c r="J262">
        <v>121773</v>
      </c>
      <c r="K262">
        <v>12</v>
      </c>
      <c r="L262">
        <v>1</v>
      </c>
      <c r="M262" t="str">
        <f>VLOOKUP(Sales_Data!F262,Product_Master!$A$2:$D$11,2)</f>
        <v>Headset</v>
      </c>
      <c r="N262" t="str">
        <f>VLOOKUP(F262,Product_Master!$A$2:$C$11,3)</f>
        <v>Accessories</v>
      </c>
      <c r="O262">
        <f>VLOOKUP(F262,Product_Master!$A$2:$D$11,4,FALSE)</f>
        <v>1500</v>
      </c>
      <c r="P262">
        <f t="shared" si="40"/>
        <v>2000</v>
      </c>
      <c r="Q262">
        <f t="shared" si="41"/>
        <v>200</v>
      </c>
      <c r="R262">
        <f t="shared" si="42"/>
        <v>1800</v>
      </c>
      <c r="S262">
        <f t="shared" si="43"/>
        <v>300</v>
      </c>
      <c r="T262" t="str">
        <f>_xlfn.CONCAT(Sales_Data!C262,"-",Sales_Data!E262,"-",Sales_Data!A262)</f>
        <v>North-C1043-1261</v>
      </c>
      <c r="U262" t="str">
        <f t="shared" si="44"/>
        <v>Regular</v>
      </c>
      <c r="V262" t="str" cm="1">
        <f t="array" ref="V262">_xlfn.IFS(R262&gt;=100000,"Excellent",R262&gt;=50000,"Good",R262&gt;=20000,"Average",TRUE,"Poor")</f>
        <v>Poor</v>
      </c>
      <c r="W262">
        <f t="shared" si="45"/>
        <v>4</v>
      </c>
      <c r="X262" t="str">
        <f t="shared" si="46"/>
        <v>October</v>
      </c>
      <c r="Y262">
        <f>HLOOKUP("Q"&amp;W262,Bonus_HLookup!$A$1:$E$2,2,FALSE)</f>
        <v>0.08</v>
      </c>
      <c r="Z262">
        <f t="shared" si="47"/>
        <v>14612.76</v>
      </c>
      <c r="AA262" s="1">
        <f t="shared" si="48"/>
        <v>10819.383543727703</v>
      </c>
      <c r="AB262">
        <f t="shared" si="49"/>
        <v>940</v>
      </c>
    </row>
    <row r="263" spans="1:28" x14ac:dyDescent="0.3">
      <c r="A263">
        <v>1262</v>
      </c>
      <c r="B263" t="s">
        <v>273</v>
      </c>
      <c r="C263" t="s">
        <v>62</v>
      </c>
      <c r="D263" t="s">
        <v>33</v>
      </c>
      <c r="E263" t="s">
        <v>63</v>
      </c>
      <c r="F263" t="s">
        <v>16</v>
      </c>
      <c r="G263">
        <v>2</v>
      </c>
      <c r="H263">
        <v>2500</v>
      </c>
      <c r="I263">
        <v>8</v>
      </c>
      <c r="J263">
        <v>456259</v>
      </c>
      <c r="K263">
        <v>10</v>
      </c>
      <c r="L263">
        <v>4</v>
      </c>
      <c r="M263" t="str">
        <f>VLOOKUP(Sales_Data!F263,Product_Master!$A$2:$D$11,2)</f>
        <v>Speaker</v>
      </c>
      <c r="N263" t="str">
        <f>VLOOKUP(F263,Product_Master!$A$2:$C$11,3)</f>
        <v>Accessories</v>
      </c>
      <c r="O263">
        <f>VLOOKUP(F263,Product_Master!$A$2:$D$11,4,FALSE)</f>
        <v>1800</v>
      </c>
      <c r="P263">
        <f t="shared" si="40"/>
        <v>5000</v>
      </c>
      <c r="Q263">
        <f t="shared" si="41"/>
        <v>400</v>
      </c>
      <c r="R263">
        <f t="shared" si="42"/>
        <v>4600</v>
      </c>
      <c r="S263">
        <f t="shared" si="43"/>
        <v>1000</v>
      </c>
      <c r="T263" t="str">
        <f>_xlfn.CONCAT(Sales_Data!C263,"-",Sales_Data!E263,"-",Sales_Data!A263)</f>
        <v>East-C1035-1262</v>
      </c>
      <c r="U263" t="str">
        <f t="shared" si="44"/>
        <v>Regular</v>
      </c>
      <c r="V263" t="str" cm="1">
        <f t="array" ref="V263">_xlfn.IFS(R263&gt;=100000,"Excellent",R263&gt;=50000,"Good",R263&gt;=20000,"Average",TRUE,"Poor")</f>
        <v>Poor</v>
      </c>
      <c r="W263">
        <f t="shared" si="45"/>
        <v>1</v>
      </c>
      <c r="X263" t="str">
        <f t="shared" si="46"/>
        <v>March</v>
      </c>
      <c r="Y263">
        <f>HLOOKUP("Q"&amp;W263,Bonus_HLookup!$A$1:$E$2,2,FALSE)</f>
        <v>0.02</v>
      </c>
      <c r="Z263">
        <f t="shared" si="47"/>
        <v>182503.6</v>
      </c>
      <c r="AA263" s="1">
        <f t="shared" si="48"/>
        <v>11571.906955354318</v>
      </c>
      <c r="AB263">
        <f t="shared" si="49"/>
        <v>802</v>
      </c>
    </row>
    <row r="264" spans="1:28" x14ac:dyDescent="0.3">
      <c r="A264">
        <v>1263</v>
      </c>
      <c r="B264" t="s">
        <v>274</v>
      </c>
      <c r="C264" t="s">
        <v>18</v>
      </c>
      <c r="D264" t="s">
        <v>46</v>
      </c>
      <c r="E264" t="s">
        <v>122</v>
      </c>
      <c r="F264" t="s">
        <v>16</v>
      </c>
      <c r="G264">
        <v>7</v>
      </c>
      <c r="H264">
        <v>2500</v>
      </c>
      <c r="I264">
        <v>2</v>
      </c>
      <c r="J264">
        <v>429306</v>
      </c>
      <c r="K264">
        <v>7</v>
      </c>
      <c r="L264">
        <v>1</v>
      </c>
      <c r="M264" t="str">
        <f>VLOOKUP(Sales_Data!F264,Product_Master!$A$2:$D$11,2)</f>
        <v>Speaker</v>
      </c>
      <c r="N264" t="str">
        <f>VLOOKUP(F264,Product_Master!$A$2:$C$11,3)</f>
        <v>Accessories</v>
      </c>
      <c r="O264">
        <f>VLOOKUP(F264,Product_Master!$A$2:$D$11,4,FALSE)</f>
        <v>1800</v>
      </c>
      <c r="P264">
        <f t="shared" si="40"/>
        <v>17500</v>
      </c>
      <c r="Q264">
        <f t="shared" si="41"/>
        <v>350</v>
      </c>
      <c r="R264">
        <f t="shared" si="42"/>
        <v>17150</v>
      </c>
      <c r="S264">
        <f t="shared" si="43"/>
        <v>4550</v>
      </c>
      <c r="T264" t="str">
        <f>_xlfn.CONCAT(Sales_Data!C264,"-",Sales_Data!E264,"-",Sales_Data!A264)</f>
        <v>North-C1046-1263</v>
      </c>
      <c r="U264" t="str">
        <f t="shared" si="44"/>
        <v>Regular</v>
      </c>
      <c r="V264" t="str" cm="1">
        <f t="array" ref="V264">_xlfn.IFS(R264&gt;=100000,"Excellent",R264&gt;=50000,"Good",R264&gt;=20000,"Average",TRUE,"Poor")</f>
        <v>Poor</v>
      </c>
      <c r="W264">
        <f t="shared" si="45"/>
        <v>2</v>
      </c>
      <c r="X264" t="str">
        <f t="shared" si="46"/>
        <v>April</v>
      </c>
      <c r="Y264">
        <f>HLOOKUP("Q"&amp;W264,Bonus_HLookup!$A$1:$E$2,2,FALSE)</f>
        <v>0.04</v>
      </c>
      <c r="Z264">
        <f t="shared" si="47"/>
        <v>30051.42</v>
      </c>
      <c r="AA264" s="1">
        <f t="shared" si="48"/>
        <v>37146.451260407252</v>
      </c>
      <c r="AB264">
        <f t="shared" si="49"/>
        <v>498</v>
      </c>
    </row>
    <row r="265" spans="1:28" x14ac:dyDescent="0.3">
      <c r="A265">
        <v>1264</v>
      </c>
      <c r="B265" t="s">
        <v>22</v>
      </c>
      <c r="C265" t="s">
        <v>13</v>
      </c>
      <c r="D265" t="s">
        <v>23</v>
      </c>
      <c r="E265" t="s">
        <v>151</v>
      </c>
      <c r="F265" t="s">
        <v>28</v>
      </c>
      <c r="G265">
        <v>1</v>
      </c>
      <c r="H265">
        <v>950</v>
      </c>
      <c r="I265">
        <v>10</v>
      </c>
      <c r="J265">
        <v>289956</v>
      </c>
      <c r="K265">
        <v>12</v>
      </c>
      <c r="L265">
        <v>5</v>
      </c>
      <c r="M265" t="str">
        <f>VLOOKUP(Sales_Data!F265,Product_Master!$A$2:$D$11,2)</f>
        <v>Webcam</v>
      </c>
      <c r="N265" t="str">
        <f>VLOOKUP(F265,Product_Master!$A$2:$C$11,3)</f>
        <v>Accessories</v>
      </c>
      <c r="O265">
        <f>VLOOKUP(F265,Product_Master!$A$2:$D$11,4,FALSE)</f>
        <v>700</v>
      </c>
      <c r="P265">
        <f t="shared" si="40"/>
        <v>950</v>
      </c>
      <c r="Q265">
        <f t="shared" si="41"/>
        <v>95</v>
      </c>
      <c r="R265">
        <f t="shared" si="42"/>
        <v>855</v>
      </c>
      <c r="S265">
        <f t="shared" si="43"/>
        <v>155</v>
      </c>
      <c r="T265" t="str">
        <f>_xlfn.CONCAT(Sales_Data!C265,"-",Sales_Data!E265,"-",Sales_Data!A265)</f>
        <v>West-C1001-1264</v>
      </c>
      <c r="U265" t="str">
        <f t="shared" si="44"/>
        <v>Regular</v>
      </c>
      <c r="V265" t="str" cm="1">
        <f t="array" ref="V265">_xlfn.IFS(R265&gt;=100000,"Excellent",R265&gt;=50000,"Good",R265&gt;=20000,"Average",TRUE,"Poor")</f>
        <v>Poor</v>
      </c>
      <c r="W265">
        <f t="shared" si="45"/>
        <v>1</v>
      </c>
      <c r="X265" t="str">
        <f t="shared" si="46"/>
        <v>January</v>
      </c>
      <c r="Y265">
        <f>HLOOKUP("Q"&amp;W265,Bonus_HLookup!$A$1:$E$2,2,FALSE)</f>
        <v>0.02</v>
      </c>
      <c r="Z265">
        <f t="shared" si="47"/>
        <v>173973.6</v>
      </c>
      <c r="AA265" s="1">
        <f t="shared" si="48"/>
        <v>6449.911072923378</v>
      </c>
      <c r="AB265">
        <f t="shared" si="49"/>
        <v>983</v>
      </c>
    </row>
    <row r="266" spans="1:28" x14ac:dyDescent="0.3">
      <c r="A266">
        <v>1265</v>
      </c>
      <c r="B266" t="s">
        <v>175</v>
      </c>
      <c r="C266" t="s">
        <v>13</v>
      </c>
      <c r="D266" t="s">
        <v>14</v>
      </c>
      <c r="E266" t="s">
        <v>94</v>
      </c>
      <c r="F266" t="s">
        <v>36</v>
      </c>
      <c r="G266">
        <v>5</v>
      </c>
      <c r="H266">
        <v>55000</v>
      </c>
      <c r="I266">
        <v>8</v>
      </c>
      <c r="J266">
        <v>441133</v>
      </c>
      <c r="K266">
        <v>7</v>
      </c>
      <c r="L266">
        <v>5</v>
      </c>
      <c r="M266" t="str">
        <f>VLOOKUP(Sales_Data!F266,Product_Master!$A$2:$D$11,2)</f>
        <v>Laptop</v>
      </c>
      <c r="N266" t="str">
        <f>VLOOKUP(F266,Product_Master!$A$2:$C$11,3)</f>
        <v>Electronics</v>
      </c>
      <c r="O266">
        <f>VLOOKUP(F266,Product_Master!$A$2:$D$11,4,FALSE)</f>
        <v>45000</v>
      </c>
      <c r="P266">
        <f t="shared" si="40"/>
        <v>275000</v>
      </c>
      <c r="Q266">
        <f t="shared" si="41"/>
        <v>22000</v>
      </c>
      <c r="R266">
        <f t="shared" si="42"/>
        <v>253000</v>
      </c>
      <c r="S266">
        <f t="shared" si="43"/>
        <v>28000</v>
      </c>
      <c r="T266" t="str">
        <f>_xlfn.CONCAT(Sales_Data!C266,"-",Sales_Data!E266,"-",Sales_Data!A266)</f>
        <v>West-C1027-1265</v>
      </c>
      <c r="U266" t="str">
        <f t="shared" si="44"/>
        <v>High Value</v>
      </c>
      <c r="V266" t="str" cm="1">
        <f t="array" ref="V266">_xlfn.IFS(R266&gt;=100000,"Excellent",R266&gt;=50000,"Good",R266&gt;=20000,"Average",TRUE,"Poor")</f>
        <v>Excellent</v>
      </c>
      <c r="W266">
        <f t="shared" si="45"/>
        <v>3</v>
      </c>
      <c r="X266" t="str">
        <f t="shared" si="46"/>
        <v>July</v>
      </c>
      <c r="Y266">
        <f>HLOOKUP("Q"&amp;W266,Bonus_HLookup!$A$1:$E$2,2,FALSE)</f>
        <v>0.06</v>
      </c>
      <c r="Z266">
        <f t="shared" si="47"/>
        <v>154396.54999999999</v>
      </c>
      <c r="AA266" s="1">
        <f t="shared" si="48"/>
        <v>8734.9621157000111</v>
      </c>
      <c r="AB266">
        <f t="shared" si="49"/>
        <v>74</v>
      </c>
    </row>
    <row r="267" spans="1:28" x14ac:dyDescent="0.3">
      <c r="A267">
        <v>1266</v>
      </c>
      <c r="B267" t="s">
        <v>275</v>
      </c>
      <c r="C267" t="s">
        <v>30</v>
      </c>
      <c r="D267" t="s">
        <v>59</v>
      </c>
      <c r="E267" t="s">
        <v>41</v>
      </c>
      <c r="F267" t="s">
        <v>39</v>
      </c>
      <c r="G267">
        <v>3</v>
      </c>
      <c r="H267">
        <v>7000</v>
      </c>
      <c r="I267">
        <v>15</v>
      </c>
      <c r="J267">
        <v>134546</v>
      </c>
      <c r="K267">
        <v>11</v>
      </c>
      <c r="L267">
        <v>1</v>
      </c>
      <c r="M267" t="str">
        <f>VLOOKUP(Sales_Data!F267,Product_Master!$A$2:$D$11,2)</f>
        <v>Router</v>
      </c>
      <c r="N267" t="str">
        <f>VLOOKUP(F267,Product_Master!$A$2:$C$11,3)</f>
        <v>Electronics</v>
      </c>
      <c r="O267">
        <f>VLOOKUP(F267,Product_Master!$A$2:$D$11,4,FALSE)</f>
        <v>5000</v>
      </c>
      <c r="P267">
        <f t="shared" si="40"/>
        <v>21000</v>
      </c>
      <c r="Q267">
        <f t="shared" si="41"/>
        <v>3150</v>
      </c>
      <c r="R267">
        <f t="shared" si="42"/>
        <v>17850</v>
      </c>
      <c r="S267">
        <f t="shared" si="43"/>
        <v>2850</v>
      </c>
      <c r="T267" t="str">
        <f>_xlfn.CONCAT(Sales_Data!C267,"-",Sales_Data!E267,"-",Sales_Data!A267)</f>
        <v>South-C1023-1266</v>
      </c>
      <c r="U267" t="str">
        <f t="shared" si="44"/>
        <v>Regular</v>
      </c>
      <c r="V267" t="str" cm="1">
        <f t="array" ref="V267">_xlfn.IFS(R267&gt;=100000,"Excellent",R267&gt;=50000,"Good",R267&gt;=20000,"Average",TRUE,"Poor")</f>
        <v>Poor</v>
      </c>
      <c r="W267">
        <f t="shared" si="45"/>
        <v>3</v>
      </c>
      <c r="X267" t="str">
        <f t="shared" si="46"/>
        <v>August</v>
      </c>
      <c r="Y267">
        <f>HLOOKUP("Q"&amp;W267,Bonus_HLookup!$A$1:$E$2,2,FALSE)</f>
        <v>0.06</v>
      </c>
      <c r="Z267">
        <f t="shared" si="47"/>
        <v>14800.06</v>
      </c>
      <c r="AA267" s="1">
        <f t="shared" si="48"/>
        <v>11891.398627447736</v>
      </c>
      <c r="AB267">
        <f t="shared" si="49"/>
        <v>485</v>
      </c>
    </row>
    <row r="268" spans="1:28" x14ac:dyDescent="0.3">
      <c r="A268">
        <v>1267</v>
      </c>
      <c r="B268" t="s">
        <v>276</v>
      </c>
      <c r="C268" t="s">
        <v>62</v>
      </c>
      <c r="D268" t="s">
        <v>33</v>
      </c>
      <c r="E268" t="s">
        <v>82</v>
      </c>
      <c r="F268" t="s">
        <v>39</v>
      </c>
      <c r="G268">
        <v>9</v>
      </c>
      <c r="H268">
        <v>7000</v>
      </c>
      <c r="I268">
        <v>2</v>
      </c>
      <c r="J268">
        <v>234849</v>
      </c>
      <c r="K268">
        <v>8</v>
      </c>
      <c r="L268">
        <v>3</v>
      </c>
      <c r="M268" t="str">
        <f>VLOOKUP(Sales_Data!F268,Product_Master!$A$2:$D$11,2)</f>
        <v>Router</v>
      </c>
      <c r="N268" t="str">
        <f>VLOOKUP(F268,Product_Master!$A$2:$C$11,3)</f>
        <v>Electronics</v>
      </c>
      <c r="O268">
        <f>VLOOKUP(F268,Product_Master!$A$2:$D$11,4,FALSE)</f>
        <v>5000</v>
      </c>
      <c r="P268">
        <f t="shared" si="40"/>
        <v>63000</v>
      </c>
      <c r="Q268">
        <f t="shared" si="41"/>
        <v>1260</v>
      </c>
      <c r="R268">
        <f t="shared" si="42"/>
        <v>61740</v>
      </c>
      <c r="S268">
        <f t="shared" si="43"/>
        <v>16740</v>
      </c>
      <c r="T268" t="str">
        <f>_xlfn.CONCAT(Sales_Data!C268,"-",Sales_Data!E268,"-",Sales_Data!A268)</f>
        <v>East-C1045-1267</v>
      </c>
      <c r="U268" t="str">
        <f t="shared" si="44"/>
        <v>High Value</v>
      </c>
      <c r="V268" t="str" cm="1">
        <f t="array" ref="V268">_xlfn.IFS(R268&gt;=100000,"Excellent",R268&gt;=50000,"Good",R268&gt;=20000,"Average",TRUE,"Poor")</f>
        <v>Good</v>
      </c>
      <c r="W268">
        <f t="shared" si="45"/>
        <v>2</v>
      </c>
      <c r="X268" t="str">
        <f t="shared" si="46"/>
        <v>April</v>
      </c>
      <c r="Y268">
        <f>HLOOKUP("Q"&amp;W268,Bonus_HLookup!$A$1:$E$2,2,FALSE)</f>
        <v>0.04</v>
      </c>
      <c r="Z268">
        <f t="shared" si="47"/>
        <v>56363.76</v>
      </c>
      <c r="AA268" s="1">
        <f t="shared" si="48"/>
        <v>7359.3140922515731</v>
      </c>
      <c r="AB268">
        <f t="shared" si="49"/>
        <v>248</v>
      </c>
    </row>
    <row r="269" spans="1:28" x14ac:dyDescent="0.3">
      <c r="A269">
        <v>1268</v>
      </c>
      <c r="B269" t="s">
        <v>277</v>
      </c>
      <c r="C269" t="s">
        <v>30</v>
      </c>
      <c r="D269" t="s">
        <v>23</v>
      </c>
      <c r="E269" t="s">
        <v>15</v>
      </c>
      <c r="F269" t="s">
        <v>16</v>
      </c>
      <c r="G269">
        <v>4</v>
      </c>
      <c r="H269">
        <v>2500</v>
      </c>
      <c r="I269">
        <v>0</v>
      </c>
      <c r="J269">
        <v>178875</v>
      </c>
      <c r="K269">
        <v>8</v>
      </c>
      <c r="L269">
        <v>1</v>
      </c>
      <c r="M269" t="str">
        <f>VLOOKUP(Sales_Data!F269,Product_Master!$A$2:$D$11,2)</f>
        <v>Speaker</v>
      </c>
      <c r="N269" t="str">
        <f>VLOOKUP(F269,Product_Master!$A$2:$C$11,3)</f>
        <v>Accessories</v>
      </c>
      <c r="O269">
        <f>VLOOKUP(F269,Product_Master!$A$2:$D$11,4,FALSE)</f>
        <v>1800</v>
      </c>
      <c r="P269">
        <f t="shared" si="40"/>
        <v>10000</v>
      </c>
      <c r="Q269">
        <f t="shared" si="41"/>
        <v>0</v>
      </c>
      <c r="R269">
        <f t="shared" si="42"/>
        <v>10000</v>
      </c>
      <c r="S269">
        <f t="shared" si="43"/>
        <v>2800</v>
      </c>
      <c r="T269" t="str">
        <f>_xlfn.CONCAT(Sales_Data!C269,"-",Sales_Data!E269,"-",Sales_Data!A269)</f>
        <v>South-C1016-1268</v>
      </c>
      <c r="U269" t="str">
        <f t="shared" si="44"/>
        <v>Regular</v>
      </c>
      <c r="V269" t="str" cm="1">
        <f t="array" ref="V269">_xlfn.IFS(R269&gt;=100000,"Excellent",R269&gt;=50000,"Good",R269&gt;=20000,"Average",TRUE,"Poor")</f>
        <v>Poor</v>
      </c>
      <c r="W269">
        <f t="shared" si="45"/>
        <v>4</v>
      </c>
      <c r="X269" t="str">
        <f t="shared" si="46"/>
        <v>November</v>
      </c>
      <c r="Y269">
        <f>HLOOKUP("Q"&amp;W269,Bonus_HLookup!$A$1:$E$2,2,FALSE)</f>
        <v>0.08</v>
      </c>
      <c r="Z269">
        <f t="shared" si="47"/>
        <v>14310</v>
      </c>
      <c r="AA269" s="1">
        <f t="shared" si="48"/>
        <v>15560.055252654693</v>
      </c>
      <c r="AB269">
        <f t="shared" si="49"/>
        <v>636</v>
      </c>
    </row>
    <row r="270" spans="1:28" x14ac:dyDescent="0.3">
      <c r="A270">
        <v>1269</v>
      </c>
      <c r="B270" t="s">
        <v>201</v>
      </c>
      <c r="C270" t="s">
        <v>18</v>
      </c>
      <c r="D270" t="s">
        <v>33</v>
      </c>
      <c r="E270" t="s">
        <v>27</v>
      </c>
      <c r="F270" t="s">
        <v>69</v>
      </c>
      <c r="G270">
        <v>2</v>
      </c>
      <c r="H270">
        <v>2000</v>
      </c>
      <c r="I270">
        <v>0</v>
      </c>
      <c r="J270">
        <v>201686</v>
      </c>
      <c r="K270">
        <v>7</v>
      </c>
      <c r="L270">
        <v>3</v>
      </c>
      <c r="M270" t="str">
        <f>VLOOKUP(Sales_Data!F270,Product_Master!$A$2:$D$11,2)</f>
        <v>Headset</v>
      </c>
      <c r="N270" t="str">
        <f>VLOOKUP(F270,Product_Master!$A$2:$C$11,3)</f>
        <v>Accessories</v>
      </c>
      <c r="O270">
        <f>VLOOKUP(F270,Product_Master!$A$2:$D$11,4,FALSE)</f>
        <v>1500</v>
      </c>
      <c r="P270">
        <f t="shared" si="40"/>
        <v>4000</v>
      </c>
      <c r="Q270">
        <f t="shared" si="41"/>
        <v>0</v>
      </c>
      <c r="R270">
        <f t="shared" si="42"/>
        <v>4000</v>
      </c>
      <c r="S270">
        <f t="shared" si="43"/>
        <v>1000</v>
      </c>
      <c r="T270" t="str">
        <f>_xlfn.CONCAT(Sales_Data!C270,"-",Sales_Data!E270,"-",Sales_Data!A270)</f>
        <v>North-C1007-1269</v>
      </c>
      <c r="U270" t="str">
        <f t="shared" si="44"/>
        <v>Regular</v>
      </c>
      <c r="V270" t="str" cm="1">
        <f t="array" ref="V270">_xlfn.IFS(R270&gt;=100000,"Excellent",R270&gt;=50000,"Good",R270&gt;=20000,"Average",TRUE,"Poor")</f>
        <v>Poor</v>
      </c>
      <c r="W270">
        <f t="shared" si="45"/>
        <v>2</v>
      </c>
      <c r="X270" t="str">
        <f t="shared" si="46"/>
        <v>May</v>
      </c>
      <c r="Y270">
        <f>HLOOKUP("Q"&amp;W270,Bonus_HLookup!$A$1:$E$2,2,FALSE)</f>
        <v>0.04</v>
      </c>
      <c r="Z270">
        <f t="shared" si="47"/>
        <v>42354.06</v>
      </c>
      <c r="AA270" s="1">
        <f t="shared" si="48"/>
        <v>6227.4781583894046</v>
      </c>
      <c r="AB270">
        <f t="shared" si="49"/>
        <v>837</v>
      </c>
    </row>
    <row r="271" spans="1:28" x14ac:dyDescent="0.3">
      <c r="A271">
        <v>1270</v>
      </c>
      <c r="B271" t="s">
        <v>278</v>
      </c>
      <c r="C271" t="s">
        <v>18</v>
      </c>
      <c r="D271" t="s">
        <v>23</v>
      </c>
      <c r="E271" t="s">
        <v>85</v>
      </c>
      <c r="F271" t="s">
        <v>36</v>
      </c>
      <c r="G271">
        <v>5</v>
      </c>
      <c r="H271">
        <v>55000</v>
      </c>
      <c r="I271">
        <v>2</v>
      </c>
      <c r="J271">
        <v>483650</v>
      </c>
      <c r="K271">
        <v>9</v>
      </c>
      <c r="L271">
        <v>1</v>
      </c>
      <c r="M271" t="str">
        <f>VLOOKUP(Sales_Data!F271,Product_Master!$A$2:$D$11,2)</f>
        <v>Laptop</v>
      </c>
      <c r="N271" t="str">
        <f>VLOOKUP(F271,Product_Master!$A$2:$C$11,3)</f>
        <v>Electronics</v>
      </c>
      <c r="O271">
        <f>VLOOKUP(F271,Product_Master!$A$2:$D$11,4,FALSE)</f>
        <v>45000</v>
      </c>
      <c r="P271">
        <f t="shared" si="40"/>
        <v>275000</v>
      </c>
      <c r="Q271">
        <f t="shared" si="41"/>
        <v>5500</v>
      </c>
      <c r="R271">
        <f t="shared" si="42"/>
        <v>269500</v>
      </c>
      <c r="S271">
        <f t="shared" si="43"/>
        <v>44500</v>
      </c>
      <c r="T271" t="str">
        <f>_xlfn.CONCAT(Sales_Data!C271,"-",Sales_Data!E271,"-",Sales_Data!A271)</f>
        <v>North-C1005-1270</v>
      </c>
      <c r="U271" t="str">
        <f t="shared" si="44"/>
        <v>High Value</v>
      </c>
      <c r="V271" t="str" cm="1">
        <f t="array" ref="V271">_xlfn.IFS(R271&gt;=100000,"Excellent",R271&gt;=50000,"Good",R271&gt;=20000,"Average",TRUE,"Poor")</f>
        <v>Excellent</v>
      </c>
      <c r="W271">
        <f t="shared" si="45"/>
        <v>1</v>
      </c>
      <c r="X271" t="str">
        <f t="shared" si="46"/>
        <v>February</v>
      </c>
      <c r="Y271">
        <f>HLOOKUP("Q"&amp;W271,Bonus_HLookup!$A$1:$E$2,2,FALSE)</f>
        <v>0.02</v>
      </c>
      <c r="Z271">
        <f t="shared" si="47"/>
        <v>43528.5</v>
      </c>
      <c r="AA271" s="1">
        <f t="shared" si="48"/>
        <v>42295.906739772501</v>
      </c>
      <c r="AB271">
        <f t="shared" si="49"/>
        <v>64</v>
      </c>
    </row>
    <row r="272" spans="1:28" x14ac:dyDescent="0.3">
      <c r="A272">
        <v>1271</v>
      </c>
      <c r="B272" t="s">
        <v>135</v>
      </c>
      <c r="C272" t="s">
        <v>13</v>
      </c>
      <c r="D272" t="s">
        <v>23</v>
      </c>
      <c r="E272" t="s">
        <v>151</v>
      </c>
      <c r="F272" t="s">
        <v>25</v>
      </c>
      <c r="G272">
        <v>6</v>
      </c>
      <c r="H272">
        <v>1500</v>
      </c>
      <c r="I272">
        <v>10</v>
      </c>
      <c r="J272">
        <v>227534</v>
      </c>
      <c r="K272">
        <v>10</v>
      </c>
      <c r="L272">
        <v>4</v>
      </c>
      <c r="M272" t="str">
        <f>VLOOKUP(Sales_Data!F272,Product_Master!$A$2:$D$11,2)</f>
        <v>Keyboard</v>
      </c>
      <c r="N272" t="str">
        <f>VLOOKUP(F272,Product_Master!$A$2:$C$11,3)</f>
        <v>Accessories</v>
      </c>
      <c r="O272">
        <f>VLOOKUP(F272,Product_Master!$A$2:$D$11,4,FALSE)</f>
        <v>1200</v>
      </c>
      <c r="P272">
        <f t="shared" si="40"/>
        <v>9000</v>
      </c>
      <c r="Q272">
        <f t="shared" si="41"/>
        <v>900</v>
      </c>
      <c r="R272">
        <f t="shared" si="42"/>
        <v>8100</v>
      </c>
      <c r="S272">
        <f t="shared" si="43"/>
        <v>900</v>
      </c>
      <c r="T272" t="str">
        <f>_xlfn.CONCAT(Sales_Data!C272,"-",Sales_Data!E272,"-",Sales_Data!A272)</f>
        <v>West-C1001-1271</v>
      </c>
      <c r="U272" t="str">
        <f t="shared" si="44"/>
        <v>Regular</v>
      </c>
      <c r="V272" t="str" cm="1">
        <f t="array" ref="V272">_xlfn.IFS(R272&gt;=100000,"Excellent",R272&gt;=50000,"Good",R272&gt;=20000,"Average",TRUE,"Poor")</f>
        <v>Poor</v>
      </c>
      <c r="W272">
        <f t="shared" si="45"/>
        <v>2</v>
      </c>
      <c r="X272" t="str">
        <f t="shared" si="46"/>
        <v>May</v>
      </c>
      <c r="Y272">
        <f>HLOOKUP("Q"&amp;W272,Bonus_HLookup!$A$1:$E$2,2,FALSE)</f>
        <v>0.04</v>
      </c>
      <c r="Z272">
        <f t="shared" si="47"/>
        <v>91013.6</v>
      </c>
      <c r="AA272" s="1">
        <f t="shared" si="48"/>
        <v>5770.8500592417668</v>
      </c>
      <c r="AB272">
        <f t="shared" si="49"/>
        <v>682</v>
      </c>
    </row>
    <row r="273" spans="1:28" x14ac:dyDescent="0.3">
      <c r="A273">
        <v>1272</v>
      </c>
      <c r="B273" t="s">
        <v>279</v>
      </c>
      <c r="C273" t="s">
        <v>18</v>
      </c>
      <c r="D273" t="s">
        <v>50</v>
      </c>
      <c r="E273" t="s">
        <v>34</v>
      </c>
      <c r="F273" t="s">
        <v>52</v>
      </c>
      <c r="G273">
        <v>6</v>
      </c>
      <c r="H273">
        <v>500</v>
      </c>
      <c r="I273">
        <v>8</v>
      </c>
      <c r="J273">
        <v>480189</v>
      </c>
      <c r="K273">
        <v>8</v>
      </c>
      <c r="L273">
        <v>1</v>
      </c>
      <c r="M273" t="str">
        <f>VLOOKUP(Sales_Data!F273,Product_Master!$A$2:$D$11,2)</f>
        <v>Mouse</v>
      </c>
      <c r="N273" t="str">
        <f>VLOOKUP(F273,Product_Master!$A$2:$C$11,3)</f>
        <v>Accessories</v>
      </c>
      <c r="O273">
        <f>VLOOKUP(F273,Product_Master!$A$2:$D$11,4,FALSE)</f>
        <v>350</v>
      </c>
      <c r="P273">
        <f t="shared" si="40"/>
        <v>3000</v>
      </c>
      <c r="Q273">
        <f t="shared" si="41"/>
        <v>240</v>
      </c>
      <c r="R273">
        <f t="shared" si="42"/>
        <v>2760</v>
      </c>
      <c r="S273">
        <f t="shared" si="43"/>
        <v>660</v>
      </c>
      <c r="T273" t="str">
        <f>_xlfn.CONCAT(Sales_Data!C273,"-",Sales_Data!E273,"-",Sales_Data!A273)</f>
        <v>North-C1036-1272</v>
      </c>
      <c r="U273" t="str">
        <f t="shared" si="44"/>
        <v>Regular</v>
      </c>
      <c r="V273" t="str" cm="1">
        <f t="array" ref="V273">_xlfn.IFS(R273&gt;=100000,"Excellent",R273&gt;=50000,"Good",R273&gt;=20000,"Average",TRUE,"Poor")</f>
        <v>Poor</v>
      </c>
      <c r="W273">
        <f t="shared" si="45"/>
        <v>1</v>
      </c>
      <c r="X273" t="str">
        <f t="shared" si="46"/>
        <v>March</v>
      </c>
      <c r="Y273">
        <f>HLOOKUP("Q"&amp;W273,Bonus_HLookup!$A$1:$E$2,2,FALSE)</f>
        <v>0.02</v>
      </c>
      <c r="Z273">
        <f t="shared" si="47"/>
        <v>38415.120000000003</v>
      </c>
      <c r="AA273" s="1">
        <f t="shared" si="48"/>
        <v>41770.886774099257</v>
      </c>
      <c r="AB273">
        <f t="shared" si="49"/>
        <v>893</v>
      </c>
    </row>
    <row r="274" spans="1:28" x14ac:dyDescent="0.3">
      <c r="A274">
        <v>1273</v>
      </c>
      <c r="B274" t="s">
        <v>280</v>
      </c>
      <c r="C274" t="s">
        <v>30</v>
      </c>
      <c r="D274" t="s">
        <v>59</v>
      </c>
      <c r="E274" t="s">
        <v>54</v>
      </c>
      <c r="F274" t="s">
        <v>16</v>
      </c>
      <c r="G274">
        <v>5</v>
      </c>
      <c r="H274">
        <v>2500</v>
      </c>
      <c r="I274">
        <v>15</v>
      </c>
      <c r="J274">
        <v>468236</v>
      </c>
      <c r="K274">
        <v>12</v>
      </c>
      <c r="L274">
        <v>3</v>
      </c>
      <c r="M274" t="str">
        <f>VLOOKUP(Sales_Data!F274,Product_Master!$A$2:$D$11,2)</f>
        <v>Speaker</v>
      </c>
      <c r="N274" t="str">
        <f>VLOOKUP(F274,Product_Master!$A$2:$C$11,3)</f>
        <v>Accessories</v>
      </c>
      <c r="O274">
        <f>VLOOKUP(F274,Product_Master!$A$2:$D$11,4,FALSE)</f>
        <v>1800</v>
      </c>
      <c r="P274">
        <f t="shared" si="40"/>
        <v>12500</v>
      </c>
      <c r="Q274">
        <f t="shared" si="41"/>
        <v>1875</v>
      </c>
      <c r="R274">
        <f t="shared" si="42"/>
        <v>10625</v>
      </c>
      <c r="S274">
        <f t="shared" si="43"/>
        <v>1625</v>
      </c>
      <c r="T274" t="str">
        <f>_xlfn.CONCAT(Sales_Data!C274,"-",Sales_Data!E274,"-",Sales_Data!A274)</f>
        <v>South-C1034-1273</v>
      </c>
      <c r="U274" t="str">
        <f t="shared" si="44"/>
        <v>Regular</v>
      </c>
      <c r="V274" t="str" cm="1">
        <f t="array" ref="V274">_xlfn.IFS(R274&gt;=100000,"Excellent",R274&gt;=50000,"Good",R274&gt;=20000,"Average",TRUE,"Poor")</f>
        <v>Poor</v>
      </c>
      <c r="W274">
        <f t="shared" si="45"/>
        <v>1</v>
      </c>
      <c r="X274" t="str">
        <f t="shared" si="46"/>
        <v>January</v>
      </c>
      <c r="Y274">
        <f>HLOOKUP("Q"&amp;W274,Bonus_HLookup!$A$1:$E$2,2,FALSE)</f>
        <v>0.02</v>
      </c>
      <c r="Z274">
        <f t="shared" si="47"/>
        <v>168564.96</v>
      </c>
      <c r="AA274" s="1">
        <f t="shared" si="48"/>
        <v>15552.13556953019</v>
      </c>
      <c r="AB274">
        <f t="shared" si="49"/>
        <v>626</v>
      </c>
    </row>
    <row r="275" spans="1:28" x14ac:dyDescent="0.3">
      <c r="A275">
        <v>1274</v>
      </c>
      <c r="B275" t="s">
        <v>152</v>
      </c>
      <c r="C275" t="s">
        <v>62</v>
      </c>
      <c r="D275" t="s">
        <v>23</v>
      </c>
      <c r="E275" t="s">
        <v>47</v>
      </c>
      <c r="F275" t="s">
        <v>25</v>
      </c>
      <c r="G275">
        <v>5</v>
      </c>
      <c r="H275">
        <v>1500</v>
      </c>
      <c r="I275">
        <v>15</v>
      </c>
      <c r="J275">
        <v>459815</v>
      </c>
      <c r="K275">
        <v>8</v>
      </c>
      <c r="L275">
        <v>2</v>
      </c>
      <c r="M275" t="str">
        <f>VLOOKUP(Sales_Data!F275,Product_Master!$A$2:$D$11,2)</f>
        <v>Keyboard</v>
      </c>
      <c r="N275" t="str">
        <f>VLOOKUP(F275,Product_Master!$A$2:$C$11,3)</f>
        <v>Accessories</v>
      </c>
      <c r="O275">
        <f>VLOOKUP(F275,Product_Master!$A$2:$D$11,4,FALSE)</f>
        <v>1200</v>
      </c>
      <c r="P275">
        <f t="shared" si="40"/>
        <v>7500</v>
      </c>
      <c r="Q275">
        <f t="shared" si="41"/>
        <v>1125</v>
      </c>
      <c r="R275">
        <f t="shared" si="42"/>
        <v>6375</v>
      </c>
      <c r="S275">
        <f t="shared" si="43"/>
        <v>375</v>
      </c>
      <c r="T275" t="str">
        <f>_xlfn.CONCAT(Sales_Data!C275,"-",Sales_Data!E275,"-",Sales_Data!A275)</f>
        <v>East-C1030-1274</v>
      </c>
      <c r="U275" t="str">
        <f t="shared" si="44"/>
        <v>Regular</v>
      </c>
      <c r="V275" t="str" cm="1">
        <f t="array" ref="V275">_xlfn.IFS(R275&gt;=100000,"Excellent",R275&gt;=50000,"Good",R275&gt;=20000,"Average",TRUE,"Poor")</f>
        <v>Poor</v>
      </c>
      <c r="W275">
        <f t="shared" si="45"/>
        <v>4</v>
      </c>
      <c r="X275" t="str">
        <f t="shared" si="46"/>
        <v>October</v>
      </c>
      <c r="Y275">
        <f>HLOOKUP("Q"&amp;W275,Bonus_HLookup!$A$1:$E$2,2,FALSE)</f>
        <v>0.08</v>
      </c>
      <c r="Z275">
        <f t="shared" si="47"/>
        <v>73570.399999999994</v>
      </c>
      <c r="AA275" s="1">
        <f t="shared" si="48"/>
        <v>20796.187020925317</v>
      </c>
      <c r="AB275">
        <f t="shared" si="49"/>
        <v>748</v>
      </c>
    </row>
    <row r="276" spans="1:28" x14ac:dyDescent="0.3">
      <c r="A276">
        <v>1275</v>
      </c>
      <c r="B276" t="s">
        <v>80</v>
      </c>
      <c r="C276" t="s">
        <v>62</v>
      </c>
      <c r="D276" t="s">
        <v>14</v>
      </c>
      <c r="E276" t="s">
        <v>66</v>
      </c>
      <c r="F276" t="s">
        <v>16</v>
      </c>
      <c r="G276">
        <v>8</v>
      </c>
      <c r="H276">
        <v>2500</v>
      </c>
      <c r="I276">
        <v>5</v>
      </c>
      <c r="J276">
        <v>142490</v>
      </c>
      <c r="K276">
        <v>11</v>
      </c>
      <c r="L276">
        <v>1</v>
      </c>
      <c r="M276" t="str">
        <f>VLOOKUP(Sales_Data!F276,Product_Master!$A$2:$D$11,2)</f>
        <v>Speaker</v>
      </c>
      <c r="N276" t="str">
        <f>VLOOKUP(F276,Product_Master!$A$2:$C$11,3)</f>
        <v>Accessories</v>
      </c>
      <c r="O276">
        <f>VLOOKUP(F276,Product_Master!$A$2:$D$11,4,FALSE)</f>
        <v>1800</v>
      </c>
      <c r="P276">
        <f t="shared" si="40"/>
        <v>20000</v>
      </c>
      <c r="Q276">
        <f t="shared" si="41"/>
        <v>1000</v>
      </c>
      <c r="R276">
        <f t="shared" si="42"/>
        <v>19000</v>
      </c>
      <c r="S276">
        <f t="shared" si="43"/>
        <v>4600</v>
      </c>
      <c r="T276" t="str">
        <f>_xlfn.CONCAT(Sales_Data!C276,"-",Sales_Data!E276,"-",Sales_Data!A276)</f>
        <v>East-C1010-1275</v>
      </c>
      <c r="U276" t="str">
        <f t="shared" si="44"/>
        <v>Regular</v>
      </c>
      <c r="V276" t="str" cm="1">
        <f t="array" ref="V276">_xlfn.IFS(R276&gt;=100000,"Excellent",R276&gt;=50000,"Good",R276&gt;=20000,"Average",TRUE,"Poor")</f>
        <v>Poor</v>
      </c>
      <c r="W276">
        <f t="shared" si="45"/>
        <v>1</v>
      </c>
      <c r="X276" t="str">
        <f t="shared" si="46"/>
        <v>February</v>
      </c>
      <c r="Y276">
        <f>HLOOKUP("Q"&amp;W276,Bonus_HLookup!$A$1:$E$2,2,FALSE)</f>
        <v>0.02</v>
      </c>
      <c r="Z276">
        <f t="shared" si="47"/>
        <v>15673.9</v>
      </c>
      <c r="AA276" s="1">
        <f t="shared" si="48"/>
        <v>12593.50252274336</v>
      </c>
      <c r="AB276">
        <f t="shared" si="49"/>
        <v>465</v>
      </c>
    </row>
    <row r="277" spans="1:28" x14ac:dyDescent="0.3">
      <c r="A277">
        <v>1276</v>
      </c>
      <c r="B277" t="s">
        <v>281</v>
      </c>
      <c r="C277" t="s">
        <v>18</v>
      </c>
      <c r="D277" t="s">
        <v>33</v>
      </c>
      <c r="E277" t="s">
        <v>24</v>
      </c>
      <c r="F277" t="s">
        <v>28</v>
      </c>
      <c r="G277">
        <v>3</v>
      </c>
      <c r="H277">
        <v>950</v>
      </c>
      <c r="I277">
        <v>5</v>
      </c>
      <c r="J277">
        <v>82111</v>
      </c>
      <c r="K277">
        <v>11</v>
      </c>
      <c r="L277">
        <v>3</v>
      </c>
      <c r="M277" t="str">
        <f>VLOOKUP(Sales_Data!F277,Product_Master!$A$2:$D$11,2)</f>
        <v>Webcam</v>
      </c>
      <c r="N277" t="str">
        <f>VLOOKUP(F277,Product_Master!$A$2:$C$11,3)</f>
        <v>Accessories</v>
      </c>
      <c r="O277">
        <f>VLOOKUP(F277,Product_Master!$A$2:$D$11,4,FALSE)</f>
        <v>700</v>
      </c>
      <c r="P277">
        <f t="shared" si="40"/>
        <v>2850</v>
      </c>
      <c r="Q277">
        <f t="shared" si="41"/>
        <v>142.5</v>
      </c>
      <c r="R277">
        <f t="shared" si="42"/>
        <v>2707.5</v>
      </c>
      <c r="S277">
        <f t="shared" si="43"/>
        <v>607.5</v>
      </c>
      <c r="T277" t="str">
        <f>_xlfn.CONCAT(Sales_Data!C277,"-",Sales_Data!E277,"-",Sales_Data!A277)</f>
        <v>North-C1029-1276</v>
      </c>
      <c r="U277" t="str">
        <f t="shared" si="44"/>
        <v>Regular</v>
      </c>
      <c r="V277" t="str" cm="1">
        <f t="array" ref="V277">_xlfn.IFS(R277&gt;=100000,"Excellent",R277&gt;=50000,"Good",R277&gt;=20000,"Average",TRUE,"Poor")</f>
        <v>Poor</v>
      </c>
      <c r="W277">
        <f t="shared" si="45"/>
        <v>4</v>
      </c>
      <c r="X277" t="str">
        <f t="shared" si="46"/>
        <v>October</v>
      </c>
      <c r="Y277">
        <f>HLOOKUP("Q"&amp;W277,Bonus_HLookup!$A$1:$E$2,2,FALSE)</f>
        <v>0.08</v>
      </c>
      <c r="Z277">
        <f t="shared" si="47"/>
        <v>27096.63</v>
      </c>
      <c r="AA277" s="1">
        <f t="shared" si="48"/>
        <v>2688.2088011941546</v>
      </c>
      <c r="AB277">
        <f t="shared" si="49"/>
        <v>896</v>
      </c>
    </row>
    <row r="278" spans="1:28" x14ac:dyDescent="0.3">
      <c r="A278">
        <v>1277</v>
      </c>
      <c r="B278" t="s">
        <v>81</v>
      </c>
      <c r="C278" t="s">
        <v>18</v>
      </c>
      <c r="D278" t="s">
        <v>59</v>
      </c>
      <c r="E278" t="s">
        <v>112</v>
      </c>
      <c r="F278" t="s">
        <v>52</v>
      </c>
      <c r="G278">
        <v>2</v>
      </c>
      <c r="H278">
        <v>500</v>
      </c>
      <c r="I278">
        <v>0</v>
      </c>
      <c r="J278">
        <v>449381</v>
      </c>
      <c r="K278">
        <v>11</v>
      </c>
      <c r="L278">
        <v>3</v>
      </c>
      <c r="M278" t="str">
        <f>VLOOKUP(Sales_Data!F278,Product_Master!$A$2:$D$11,2)</f>
        <v>Mouse</v>
      </c>
      <c r="N278" t="str">
        <f>VLOOKUP(F278,Product_Master!$A$2:$C$11,3)</f>
        <v>Accessories</v>
      </c>
      <c r="O278">
        <f>VLOOKUP(F278,Product_Master!$A$2:$D$11,4,FALSE)</f>
        <v>350</v>
      </c>
      <c r="P278">
        <f t="shared" si="40"/>
        <v>1000</v>
      </c>
      <c r="Q278">
        <f t="shared" si="41"/>
        <v>0</v>
      </c>
      <c r="R278">
        <f t="shared" si="42"/>
        <v>1000</v>
      </c>
      <c r="S278">
        <f t="shared" si="43"/>
        <v>300</v>
      </c>
      <c r="T278" t="str">
        <f>_xlfn.CONCAT(Sales_Data!C278,"-",Sales_Data!E278,"-",Sales_Data!A278)</f>
        <v>North-C1048-1277</v>
      </c>
      <c r="U278" t="str">
        <f t="shared" si="44"/>
        <v>Regular</v>
      </c>
      <c r="V278" t="str" cm="1">
        <f t="array" ref="V278">_xlfn.IFS(R278&gt;=100000,"Excellent",R278&gt;=50000,"Good",R278&gt;=20000,"Average",TRUE,"Poor")</f>
        <v>Poor</v>
      </c>
      <c r="W278">
        <f t="shared" si="45"/>
        <v>4</v>
      </c>
      <c r="X278" t="str">
        <f t="shared" si="46"/>
        <v>December</v>
      </c>
      <c r="Y278">
        <f>HLOOKUP("Q"&amp;W278,Bonus_HLookup!$A$1:$E$2,2,FALSE)</f>
        <v>0.08</v>
      </c>
      <c r="Z278">
        <f t="shared" si="47"/>
        <v>148295.73000000001</v>
      </c>
      <c r="AA278" s="1">
        <f t="shared" si="48"/>
        <v>14712.157436755495</v>
      </c>
      <c r="AB278">
        <f t="shared" si="49"/>
        <v>965</v>
      </c>
    </row>
    <row r="279" spans="1:28" x14ac:dyDescent="0.3">
      <c r="A279">
        <v>1278</v>
      </c>
      <c r="B279" t="s">
        <v>181</v>
      </c>
      <c r="C279" t="s">
        <v>62</v>
      </c>
      <c r="D279" t="s">
        <v>19</v>
      </c>
      <c r="E279" t="s">
        <v>172</v>
      </c>
      <c r="F279" t="s">
        <v>39</v>
      </c>
      <c r="G279">
        <v>1</v>
      </c>
      <c r="H279">
        <v>7000</v>
      </c>
      <c r="I279">
        <v>12</v>
      </c>
      <c r="J279">
        <v>370455</v>
      </c>
      <c r="K279">
        <v>8</v>
      </c>
      <c r="L279">
        <v>2</v>
      </c>
      <c r="M279" t="str">
        <f>VLOOKUP(Sales_Data!F279,Product_Master!$A$2:$D$11,2)</f>
        <v>Router</v>
      </c>
      <c r="N279" t="str">
        <f>VLOOKUP(F279,Product_Master!$A$2:$C$11,3)</f>
        <v>Electronics</v>
      </c>
      <c r="O279">
        <f>VLOOKUP(F279,Product_Master!$A$2:$D$11,4,FALSE)</f>
        <v>5000</v>
      </c>
      <c r="P279">
        <f t="shared" si="40"/>
        <v>7000</v>
      </c>
      <c r="Q279">
        <f t="shared" si="41"/>
        <v>840</v>
      </c>
      <c r="R279">
        <f t="shared" si="42"/>
        <v>6160</v>
      </c>
      <c r="S279">
        <f t="shared" si="43"/>
        <v>1160</v>
      </c>
      <c r="T279" t="str">
        <f>_xlfn.CONCAT(Sales_Data!C279,"-",Sales_Data!E279,"-",Sales_Data!A279)</f>
        <v>East-C1033-1278</v>
      </c>
      <c r="U279" t="str">
        <f t="shared" si="44"/>
        <v>Regular</v>
      </c>
      <c r="V279" t="str" cm="1">
        <f t="array" ref="V279">_xlfn.IFS(R279&gt;=100000,"Excellent",R279&gt;=50000,"Good",R279&gt;=20000,"Average",TRUE,"Poor")</f>
        <v>Poor</v>
      </c>
      <c r="W279">
        <f t="shared" si="45"/>
        <v>2</v>
      </c>
      <c r="X279" t="str">
        <f t="shared" si="46"/>
        <v>April</v>
      </c>
      <c r="Y279">
        <f>HLOOKUP("Q"&amp;W279,Bonus_HLookup!$A$1:$E$2,2,FALSE)</f>
        <v>0.04</v>
      </c>
      <c r="Z279">
        <f t="shared" si="47"/>
        <v>59272.800000000003</v>
      </c>
      <c r="AA279" s="1">
        <f t="shared" si="48"/>
        <v>16754.6762564007</v>
      </c>
      <c r="AB279">
        <f t="shared" si="49"/>
        <v>756</v>
      </c>
    </row>
    <row r="280" spans="1:28" x14ac:dyDescent="0.3">
      <c r="A280">
        <v>1279</v>
      </c>
      <c r="B280" t="s">
        <v>282</v>
      </c>
      <c r="C280" t="s">
        <v>13</v>
      </c>
      <c r="D280" t="s">
        <v>50</v>
      </c>
      <c r="E280" t="s">
        <v>51</v>
      </c>
      <c r="F280" t="s">
        <v>25</v>
      </c>
      <c r="G280">
        <v>5</v>
      </c>
      <c r="H280">
        <v>1500</v>
      </c>
      <c r="I280">
        <v>15</v>
      </c>
      <c r="J280">
        <v>283687</v>
      </c>
      <c r="K280">
        <v>7</v>
      </c>
      <c r="L280">
        <v>4</v>
      </c>
      <c r="M280" t="str">
        <f>VLOOKUP(Sales_Data!F280,Product_Master!$A$2:$D$11,2)</f>
        <v>Keyboard</v>
      </c>
      <c r="N280" t="str">
        <f>VLOOKUP(F280,Product_Master!$A$2:$C$11,3)</f>
        <v>Accessories</v>
      </c>
      <c r="O280">
        <f>VLOOKUP(F280,Product_Master!$A$2:$D$11,4,FALSE)</f>
        <v>1200</v>
      </c>
      <c r="P280">
        <f t="shared" si="40"/>
        <v>7500</v>
      </c>
      <c r="Q280">
        <f t="shared" si="41"/>
        <v>1125</v>
      </c>
      <c r="R280">
        <f t="shared" si="42"/>
        <v>6375</v>
      </c>
      <c r="S280">
        <f t="shared" si="43"/>
        <v>375</v>
      </c>
      <c r="T280" t="str">
        <f>_xlfn.CONCAT(Sales_Data!C280,"-",Sales_Data!E280,"-",Sales_Data!A280)</f>
        <v>West-C1002-1279</v>
      </c>
      <c r="U280" t="str">
        <f t="shared" si="44"/>
        <v>Regular</v>
      </c>
      <c r="V280" t="str" cm="1">
        <f t="array" ref="V280">_xlfn.IFS(R280&gt;=100000,"Excellent",R280&gt;=50000,"Good",R280&gt;=20000,"Average",TRUE,"Poor")</f>
        <v>Poor</v>
      </c>
      <c r="W280">
        <f t="shared" si="45"/>
        <v>1</v>
      </c>
      <c r="X280" t="str">
        <f t="shared" si="46"/>
        <v>March</v>
      </c>
      <c r="Y280">
        <f>HLOOKUP("Q"&amp;W280,Bonus_HLookup!$A$1:$E$2,2,FALSE)</f>
        <v>0.02</v>
      </c>
      <c r="Z280">
        <f t="shared" si="47"/>
        <v>79432.36</v>
      </c>
      <c r="AA280" s="1">
        <f t="shared" si="48"/>
        <v>6793.238309554441</v>
      </c>
      <c r="AB280">
        <f t="shared" si="49"/>
        <v>748</v>
      </c>
    </row>
    <row r="281" spans="1:28" x14ac:dyDescent="0.3">
      <c r="A281">
        <v>1280</v>
      </c>
      <c r="B281" t="s">
        <v>17</v>
      </c>
      <c r="C281" t="s">
        <v>13</v>
      </c>
      <c r="D281" t="s">
        <v>14</v>
      </c>
      <c r="E281" t="s">
        <v>71</v>
      </c>
      <c r="F281" t="s">
        <v>52</v>
      </c>
      <c r="G281">
        <v>7</v>
      </c>
      <c r="H281">
        <v>500</v>
      </c>
      <c r="I281">
        <v>12</v>
      </c>
      <c r="J281">
        <v>330001</v>
      </c>
      <c r="K281">
        <v>12</v>
      </c>
      <c r="L281">
        <v>5</v>
      </c>
      <c r="M281" t="str">
        <f>VLOOKUP(Sales_Data!F281,Product_Master!$A$2:$D$11,2)</f>
        <v>Mouse</v>
      </c>
      <c r="N281" t="str">
        <f>VLOOKUP(F281,Product_Master!$A$2:$C$11,3)</f>
        <v>Accessories</v>
      </c>
      <c r="O281">
        <f>VLOOKUP(F281,Product_Master!$A$2:$D$11,4,FALSE)</f>
        <v>350</v>
      </c>
      <c r="P281">
        <f t="shared" si="40"/>
        <v>3500</v>
      </c>
      <c r="Q281">
        <f t="shared" si="41"/>
        <v>420</v>
      </c>
      <c r="R281">
        <f t="shared" si="42"/>
        <v>3080</v>
      </c>
      <c r="S281">
        <f t="shared" si="43"/>
        <v>630</v>
      </c>
      <c r="T281" t="str">
        <f>_xlfn.CONCAT(Sales_Data!C281,"-",Sales_Data!E281,"-",Sales_Data!A281)</f>
        <v>West-C1019-1280</v>
      </c>
      <c r="U281" t="str">
        <f t="shared" si="44"/>
        <v>Regular</v>
      </c>
      <c r="V281" t="str" cm="1">
        <f t="array" ref="V281">_xlfn.IFS(R281&gt;=100000,"Excellent",R281&gt;=50000,"Good",R281&gt;=20000,"Average",TRUE,"Poor")</f>
        <v>Poor</v>
      </c>
      <c r="W281">
        <f t="shared" si="45"/>
        <v>3</v>
      </c>
      <c r="X281" t="str">
        <f t="shared" si="46"/>
        <v>September</v>
      </c>
      <c r="Y281">
        <f>HLOOKUP("Q"&amp;W281,Bonus_HLookup!$A$1:$E$2,2,FALSE)</f>
        <v>0.06</v>
      </c>
      <c r="Z281">
        <f t="shared" si="47"/>
        <v>198000.6</v>
      </c>
      <c r="AA281" s="1">
        <f t="shared" si="48"/>
        <v>7340.6899804652703</v>
      </c>
      <c r="AB281">
        <f t="shared" si="49"/>
        <v>875</v>
      </c>
    </row>
    <row r="282" spans="1:28" x14ac:dyDescent="0.3">
      <c r="A282">
        <v>1281</v>
      </c>
      <c r="B282" t="s">
        <v>129</v>
      </c>
      <c r="C282" t="s">
        <v>30</v>
      </c>
      <c r="D282" t="s">
        <v>50</v>
      </c>
      <c r="E282" t="s">
        <v>94</v>
      </c>
      <c r="F282" t="s">
        <v>16</v>
      </c>
      <c r="G282">
        <v>4</v>
      </c>
      <c r="H282">
        <v>2500</v>
      </c>
      <c r="I282">
        <v>12</v>
      </c>
      <c r="J282">
        <v>288629</v>
      </c>
      <c r="K282">
        <v>10</v>
      </c>
      <c r="L282">
        <v>4</v>
      </c>
      <c r="M282" t="str">
        <f>VLOOKUP(Sales_Data!F282,Product_Master!$A$2:$D$11,2)</f>
        <v>Speaker</v>
      </c>
      <c r="N282" t="str">
        <f>VLOOKUP(F282,Product_Master!$A$2:$C$11,3)</f>
        <v>Accessories</v>
      </c>
      <c r="O282">
        <f>VLOOKUP(F282,Product_Master!$A$2:$D$11,4,FALSE)</f>
        <v>1800</v>
      </c>
      <c r="P282">
        <f t="shared" si="40"/>
        <v>10000</v>
      </c>
      <c r="Q282">
        <f t="shared" si="41"/>
        <v>1200</v>
      </c>
      <c r="R282">
        <f t="shared" si="42"/>
        <v>8800</v>
      </c>
      <c r="S282">
        <f t="shared" si="43"/>
        <v>1600</v>
      </c>
      <c r="T282" t="str">
        <f>_xlfn.CONCAT(Sales_Data!C282,"-",Sales_Data!E282,"-",Sales_Data!A282)</f>
        <v>South-C1027-1281</v>
      </c>
      <c r="U282" t="str">
        <f t="shared" si="44"/>
        <v>Regular</v>
      </c>
      <c r="V282" t="str" cm="1">
        <f t="array" ref="V282">_xlfn.IFS(R282&gt;=100000,"Excellent",R282&gt;=50000,"Good",R282&gt;=20000,"Average",TRUE,"Poor")</f>
        <v>Poor</v>
      </c>
      <c r="W282">
        <f t="shared" si="45"/>
        <v>1</v>
      </c>
      <c r="X282" t="str">
        <f t="shared" si="46"/>
        <v>March</v>
      </c>
      <c r="Y282">
        <f>HLOOKUP("Q"&amp;W282,Bonus_HLookup!$A$1:$E$2,2,FALSE)</f>
        <v>0.02</v>
      </c>
      <c r="Z282">
        <f t="shared" si="47"/>
        <v>115451.6</v>
      </c>
      <c r="AA282" s="1">
        <f t="shared" si="48"/>
        <v>7320.3770941876464</v>
      </c>
      <c r="AB282">
        <f t="shared" si="49"/>
        <v>672</v>
      </c>
    </row>
    <row r="283" spans="1:28" x14ac:dyDescent="0.3">
      <c r="A283">
        <v>1282</v>
      </c>
      <c r="B283" t="s">
        <v>283</v>
      </c>
      <c r="C283" t="s">
        <v>18</v>
      </c>
      <c r="D283" t="s">
        <v>19</v>
      </c>
      <c r="E283" t="s">
        <v>47</v>
      </c>
      <c r="F283" t="s">
        <v>39</v>
      </c>
      <c r="G283">
        <v>1</v>
      </c>
      <c r="H283">
        <v>7000</v>
      </c>
      <c r="I283">
        <v>15</v>
      </c>
      <c r="J283">
        <v>321436</v>
      </c>
      <c r="K283">
        <v>11</v>
      </c>
      <c r="L283">
        <v>5</v>
      </c>
      <c r="M283" t="str">
        <f>VLOOKUP(Sales_Data!F283,Product_Master!$A$2:$D$11,2)</f>
        <v>Router</v>
      </c>
      <c r="N283" t="str">
        <f>VLOOKUP(F283,Product_Master!$A$2:$C$11,3)</f>
        <v>Electronics</v>
      </c>
      <c r="O283">
        <f>VLOOKUP(F283,Product_Master!$A$2:$D$11,4,FALSE)</f>
        <v>5000</v>
      </c>
      <c r="P283">
        <f t="shared" si="40"/>
        <v>7000</v>
      </c>
      <c r="Q283">
        <f t="shared" si="41"/>
        <v>1050</v>
      </c>
      <c r="R283">
        <f t="shared" si="42"/>
        <v>5950</v>
      </c>
      <c r="S283">
        <f t="shared" si="43"/>
        <v>950</v>
      </c>
      <c r="T283" t="str">
        <f>_xlfn.CONCAT(Sales_Data!C283,"-",Sales_Data!E283,"-",Sales_Data!A283)</f>
        <v>North-C1030-1282</v>
      </c>
      <c r="U283" t="str">
        <f t="shared" si="44"/>
        <v>Regular</v>
      </c>
      <c r="V283" t="str" cm="1">
        <f t="array" ref="V283">_xlfn.IFS(R283&gt;=100000,"Excellent",R283&gt;=50000,"Good",R283&gt;=20000,"Average",TRUE,"Poor")</f>
        <v>Poor</v>
      </c>
      <c r="W283">
        <f t="shared" si="45"/>
        <v>1</v>
      </c>
      <c r="X283" t="str">
        <f t="shared" si="46"/>
        <v>January</v>
      </c>
      <c r="Y283">
        <f>HLOOKUP("Q"&amp;W283,Bonus_HLookup!$A$1:$E$2,2,FALSE)</f>
        <v>0.02</v>
      </c>
      <c r="Z283">
        <f t="shared" si="47"/>
        <v>176789.8</v>
      </c>
      <c r="AA283" s="1">
        <f t="shared" si="48"/>
        <v>6988.797502778174</v>
      </c>
      <c r="AB283">
        <f t="shared" si="49"/>
        <v>762</v>
      </c>
    </row>
    <row r="284" spans="1:28" x14ac:dyDescent="0.3">
      <c r="A284">
        <v>1283</v>
      </c>
      <c r="B284" t="s">
        <v>284</v>
      </c>
      <c r="C284" t="s">
        <v>30</v>
      </c>
      <c r="D284" t="s">
        <v>23</v>
      </c>
      <c r="E284" t="s">
        <v>231</v>
      </c>
      <c r="F284" t="s">
        <v>21</v>
      </c>
      <c r="G284">
        <v>1</v>
      </c>
      <c r="H284">
        <v>12000</v>
      </c>
      <c r="I284">
        <v>15</v>
      </c>
      <c r="J284">
        <v>210789</v>
      </c>
      <c r="K284">
        <v>8</v>
      </c>
      <c r="L284">
        <v>2</v>
      </c>
      <c r="M284" t="str">
        <f>VLOOKUP(Sales_Data!F284,Product_Master!$A$2:$D$11,2)</f>
        <v>Monitor</v>
      </c>
      <c r="N284" t="str">
        <f>VLOOKUP(F284,Product_Master!$A$2:$C$11,3)</f>
        <v>Electronics</v>
      </c>
      <c r="O284">
        <f>VLOOKUP(F284,Product_Master!$A$2:$D$11,4,FALSE)</f>
        <v>9000</v>
      </c>
      <c r="P284">
        <f t="shared" si="40"/>
        <v>12000</v>
      </c>
      <c r="Q284">
        <f t="shared" si="41"/>
        <v>1800</v>
      </c>
      <c r="R284">
        <f t="shared" si="42"/>
        <v>10200</v>
      </c>
      <c r="S284">
        <f t="shared" si="43"/>
        <v>1200</v>
      </c>
      <c r="T284" t="str">
        <f>_xlfn.CONCAT(Sales_Data!C284,"-",Sales_Data!E284,"-",Sales_Data!A284)</f>
        <v>South-C1006-1283</v>
      </c>
      <c r="U284" t="str">
        <f t="shared" si="44"/>
        <v>Regular</v>
      </c>
      <c r="V284" t="str" cm="1">
        <f t="array" ref="V284">_xlfn.IFS(R284&gt;=100000,"Excellent",R284&gt;=50000,"Good",R284&gt;=20000,"Average",TRUE,"Poor")</f>
        <v>Poor</v>
      </c>
      <c r="W284">
        <f t="shared" si="45"/>
        <v>2</v>
      </c>
      <c r="X284" t="str">
        <f t="shared" si="46"/>
        <v>June</v>
      </c>
      <c r="Y284">
        <f>HLOOKUP("Q"&amp;W284,Bonus_HLookup!$A$1:$E$2,2,FALSE)</f>
        <v>0.04</v>
      </c>
      <c r="Z284">
        <f t="shared" si="47"/>
        <v>33726.239999999998</v>
      </c>
      <c r="AA284" s="1">
        <f t="shared" si="48"/>
        <v>9533.4155387576011</v>
      </c>
      <c r="AB284">
        <f t="shared" si="49"/>
        <v>630</v>
      </c>
    </row>
    <row r="285" spans="1:28" x14ac:dyDescent="0.3">
      <c r="A285">
        <v>1284</v>
      </c>
      <c r="B285" t="s">
        <v>285</v>
      </c>
      <c r="C285" t="s">
        <v>30</v>
      </c>
      <c r="D285" t="s">
        <v>19</v>
      </c>
      <c r="E285" t="s">
        <v>108</v>
      </c>
      <c r="F285" t="s">
        <v>16</v>
      </c>
      <c r="G285">
        <v>2</v>
      </c>
      <c r="H285">
        <v>2500</v>
      </c>
      <c r="I285">
        <v>0</v>
      </c>
      <c r="J285">
        <v>169015</v>
      </c>
      <c r="K285">
        <v>9</v>
      </c>
      <c r="L285">
        <v>1</v>
      </c>
      <c r="M285" t="str">
        <f>VLOOKUP(Sales_Data!F285,Product_Master!$A$2:$D$11,2)</f>
        <v>Speaker</v>
      </c>
      <c r="N285" t="str">
        <f>VLOOKUP(F285,Product_Master!$A$2:$C$11,3)</f>
        <v>Accessories</v>
      </c>
      <c r="O285">
        <f>VLOOKUP(F285,Product_Master!$A$2:$D$11,4,FALSE)</f>
        <v>1800</v>
      </c>
      <c r="P285">
        <f t="shared" si="40"/>
        <v>5000</v>
      </c>
      <c r="Q285">
        <f t="shared" si="41"/>
        <v>0</v>
      </c>
      <c r="R285">
        <f t="shared" si="42"/>
        <v>5000</v>
      </c>
      <c r="S285">
        <f t="shared" si="43"/>
        <v>1400</v>
      </c>
      <c r="T285" t="str">
        <f>_xlfn.CONCAT(Sales_Data!C285,"-",Sales_Data!E285,"-",Sales_Data!A285)</f>
        <v>South-C1031-1284</v>
      </c>
      <c r="U285" t="str">
        <f t="shared" si="44"/>
        <v>Regular</v>
      </c>
      <c r="V285" t="str" cm="1">
        <f t="array" ref="V285">_xlfn.IFS(R285&gt;=100000,"Excellent",R285&gt;=50000,"Good",R285&gt;=20000,"Average",TRUE,"Poor")</f>
        <v>Poor</v>
      </c>
      <c r="W285">
        <f t="shared" si="45"/>
        <v>2</v>
      </c>
      <c r="X285" t="str">
        <f t="shared" si="46"/>
        <v>May</v>
      </c>
      <c r="Y285">
        <f>HLOOKUP("Q"&amp;W285,Bonus_HLookup!$A$1:$E$2,2,FALSE)</f>
        <v>0.04</v>
      </c>
      <c r="Z285">
        <f t="shared" si="47"/>
        <v>15211.35</v>
      </c>
      <c r="AA285" s="1">
        <f t="shared" si="48"/>
        <v>14780.611346268272</v>
      </c>
      <c r="AB285">
        <f t="shared" si="49"/>
        <v>790</v>
      </c>
    </row>
    <row r="286" spans="1:28" x14ac:dyDescent="0.3">
      <c r="A286">
        <v>1285</v>
      </c>
      <c r="B286" t="s">
        <v>286</v>
      </c>
      <c r="C286" t="s">
        <v>62</v>
      </c>
      <c r="D286" t="s">
        <v>33</v>
      </c>
      <c r="E286" t="s">
        <v>151</v>
      </c>
      <c r="F286" t="s">
        <v>28</v>
      </c>
      <c r="G286">
        <v>8</v>
      </c>
      <c r="H286">
        <v>950</v>
      </c>
      <c r="I286">
        <v>5</v>
      </c>
      <c r="J286">
        <v>254133</v>
      </c>
      <c r="K286">
        <v>12</v>
      </c>
      <c r="L286">
        <v>3</v>
      </c>
      <c r="M286" t="str">
        <f>VLOOKUP(Sales_Data!F286,Product_Master!$A$2:$D$11,2)</f>
        <v>Webcam</v>
      </c>
      <c r="N286" t="str">
        <f>VLOOKUP(F286,Product_Master!$A$2:$C$11,3)</f>
        <v>Accessories</v>
      </c>
      <c r="O286">
        <f>VLOOKUP(F286,Product_Master!$A$2:$D$11,4,FALSE)</f>
        <v>700</v>
      </c>
      <c r="P286">
        <f t="shared" si="40"/>
        <v>7600</v>
      </c>
      <c r="Q286">
        <f t="shared" si="41"/>
        <v>380</v>
      </c>
      <c r="R286">
        <f t="shared" si="42"/>
        <v>7220</v>
      </c>
      <c r="S286">
        <f t="shared" si="43"/>
        <v>1620</v>
      </c>
      <c r="T286" t="str">
        <f>_xlfn.CONCAT(Sales_Data!C286,"-",Sales_Data!E286,"-",Sales_Data!A286)</f>
        <v>East-C1001-1285</v>
      </c>
      <c r="U286" t="str">
        <f t="shared" si="44"/>
        <v>Regular</v>
      </c>
      <c r="V286" t="str" cm="1">
        <f t="array" ref="V286">_xlfn.IFS(R286&gt;=100000,"Excellent",R286&gt;=50000,"Good",R286&gt;=20000,"Average",TRUE,"Poor")</f>
        <v>Poor</v>
      </c>
      <c r="W286">
        <f t="shared" si="45"/>
        <v>1</v>
      </c>
      <c r="X286" t="str">
        <f t="shared" si="46"/>
        <v>January</v>
      </c>
      <c r="Y286">
        <f>HLOOKUP("Q"&amp;W286,Bonus_HLookup!$A$1:$E$2,2,FALSE)</f>
        <v>0.02</v>
      </c>
      <c r="Z286">
        <f t="shared" si="47"/>
        <v>91487.88</v>
      </c>
      <c r="AA286" s="1">
        <f t="shared" si="48"/>
        <v>8440.8521956693112</v>
      </c>
      <c r="AB286">
        <f t="shared" si="49"/>
        <v>715</v>
      </c>
    </row>
    <row r="287" spans="1:28" x14ac:dyDescent="0.3">
      <c r="A287">
        <v>1286</v>
      </c>
      <c r="B287" t="s">
        <v>287</v>
      </c>
      <c r="C287" t="s">
        <v>62</v>
      </c>
      <c r="D287" t="s">
        <v>46</v>
      </c>
      <c r="E287" t="s">
        <v>57</v>
      </c>
      <c r="F287" t="s">
        <v>36</v>
      </c>
      <c r="G287">
        <v>3</v>
      </c>
      <c r="H287">
        <v>55000</v>
      </c>
      <c r="I287">
        <v>8</v>
      </c>
      <c r="J287">
        <v>191861</v>
      </c>
      <c r="K287">
        <v>8</v>
      </c>
      <c r="L287">
        <v>1</v>
      </c>
      <c r="M287" t="str">
        <f>VLOOKUP(Sales_Data!F287,Product_Master!$A$2:$D$11,2)</f>
        <v>Laptop</v>
      </c>
      <c r="N287" t="str">
        <f>VLOOKUP(F287,Product_Master!$A$2:$C$11,3)</f>
        <v>Electronics</v>
      </c>
      <c r="O287">
        <f>VLOOKUP(F287,Product_Master!$A$2:$D$11,4,FALSE)</f>
        <v>45000</v>
      </c>
      <c r="P287">
        <f t="shared" si="40"/>
        <v>165000</v>
      </c>
      <c r="Q287">
        <f t="shared" si="41"/>
        <v>13200</v>
      </c>
      <c r="R287">
        <f t="shared" si="42"/>
        <v>151800</v>
      </c>
      <c r="S287">
        <f t="shared" si="43"/>
        <v>16800</v>
      </c>
      <c r="T287" t="str">
        <f>_xlfn.CONCAT(Sales_Data!C287,"-",Sales_Data!E287,"-",Sales_Data!A287)</f>
        <v>East-C1012-1286</v>
      </c>
      <c r="U287" t="str">
        <f t="shared" si="44"/>
        <v>High Value</v>
      </c>
      <c r="V287" t="str" cm="1">
        <f t="array" ref="V287">_xlfn.IFS(R287&gt;=100000,"Excellent",R287&gt;=50000,"Good",R287&gt;=20000,"Average",TRUE,"Poor")</f>
        <v>Excellent</v>
      </c>
      <c r="W287">
        <f t="shared" si="45"/>
        <v>3</v>
      </c>
      <c r="X287" t="str">
        <f t="shared" si="46"/>
        <v>July</v>
      </c>
      <c r="Y287">
        <f>HLOOKUP("Q"&amp;W287,Bonus_HLookup!$A$1:$E$2,2,FALSE)</f>
        <v>0.06</v>
      </c>
      <c r="Z287">
        <f t="shared" si="47"/>
        <v>15348.88</v>
      </c>
      <c r="AA287" s="1">
        <f t="shared" si="48"/>
        <v>16689.686992757972</v>
      </c>
      <c r="AB287">
        <f t="shared" si="49"/>
        <v>131</v>
      </c>
    </row>
    <row r="288" spans="1:28" x14ac:dyDescent="0.3">
      <c r="A288">
        <v>1287</v>
      </c>
      <c r="B288" t="s">
        <v>255</v>
      </c>
      <c r="C288" t="s">
        <v>62</v>
      </c>
      <c r="D288" t="s">
        <v>23</v>
      </c>
      <c r="E288" t="s">
        <v>68</v>
      </c>
      <c r="F288" t="s">
        <v>69</v>
      </c>
      <c r="G288">
        <v>7</v>
      </c>
      <c r="H288">
        <v>2000</v>
      </c>
      <c r="I288">
        <v>2</v>
      </c>
      <c r="J288">
        <v>387302</v>
      </c>
      <c r="K288">
        <v>8</v>
      </c>
      <c r="L288">
        <v>1</v>
      </c>
      <c r="M288" t="str">
        <f>VLOOKUP(Sales_Data!F288,Product_Master!$A$2:$D$11,2)</f>
        <v>Headset</v>
      </c>
      <c r="N288" t="str">
        <f>VLOOKUP(F288,Product_Master!$A$2:$C$11,3)</f>
        <v>Accessories</v>
      </c>
      <c r="O288">
        <f>VLOOKUP(F288,Product_Master!$A$2:$D$11,4,FALSE)</f>
        <v>1500</v>
      </c>
      <c r="P288">
        <f t="shared" si="40"/>
        <v>14000</v>
      </c>
      <c r="Q288">
        <f t="shared" si="41"/>
        <v>280</v>
      </c>
      <c r="R288">
        <f t="shared" si="42"/>
        <v>13720</v>
      </c>
      <c r="S288">
        <f t="shared" si="43"/>
        <v>3220</v>
      </c>
      <c r="T288" t="str">
        <f>_xlfn.CONCAT(Sales_Data!C288,"-",Sales_Data!E288,"-",Sales_Data!A288)</f>
        <v>East-C1043-1287</v>
      </c>
      <c r="U288" t="str">
        <f t="shared" si="44"/>
        <v>Regular</v>
      </c>
      <c r="V288" t="str" cm="1">
        <f t="array" ref="V288">_xlfn.IFS(R288&gt;=100000,"Excellent",R288&gt;=50000,"Good",R288&gt;=20000,"Average",TRUE,"Poor")</f>
        <v>Poor</v>
      </c>
      <c r="W288">
        <f t="shared" si="45"/>
        <v>2</v>
      </c>
      <c r="X288" t="str">
        <f t="shared" si="46"/>
        <v>June</v>
      </c>
      <c r="Y288">
        <f>HLOOKUP("Q"&amp;W288,Bonus_HLookup!$A$1:$E$2,2,FALSE)</f>
        <v>0.04</v>
      </c>
      <c r="Z288">
        <f t="shared" si="47"/>
        <v>30984.16</v>
      </c>
      <c r="AA288" s="1">
        <f t="shared" si="48"/>
        <v>33690.792561641749</v>
      </c>
      <c r="AB288">
        <f t="shared" si="49"/>
        <v>549</v>
      </c>
    </row>
    <row r="289" spans="1:28" x14ac:dyDescent="0.3">
      <c r="A289">
        <v>1288</v>
      </c>
      <c r="B289" t="s">
        <v>155</v>
      </c>
      <c r="C289" t="s">
        <v>30</v>
      </c>
      <c r="D289" t="s">
        <v>46</v>
      </c>
      <c r="E289" t="s">
        <v>54</v>
      </c>
      <c r="F289" t="s">
        <v>25</v>
      </c>
      <c r="G289">
        <v>10</v>
      </c>
      <c r="H289">
        <v>1500</v>
      </c>
      <c r="I289">
        <v>12</v>
      </c>
      <c r="J289">
        <v>246624</v>
      </c>
      <c r="K289">
        <v>9</v>
      </c>
      <c r="L289">
        <v>4</v>
      </c>
      <c r="M289" t="str">
        <f>VLOOKUP(Sales_Data!F289,Product_Master!$A$2:$D$11,2)</f>
        <v>Keyboard</v>
      </c>
      <c r="N289" t="str">
        <f>VLOOKUP(F289,Product_Master!$A$2:$C$11,3)</f>
        <v>Accessories</v>
      </c>
      <c r="O289">
        <f>VLOOKUP(F289,Product_Master!$A$2:$D$11,4,FALSE)</f>
        <v>1200</v>
      </c>
      <c r="P289">
        <f t="shared" si="40"/>
        <v>15000</v>
      </c>
      <c r="Q289">
        <f t="shared" si="41"/>
        <v>1800</v>
      </c>
      <c r="R289">
        <f t="shared" si="42"/>
        <v>13200</v>
      </c>
      <c r="S289">
        <f t="shared" si="43"/>
        <v>1200</v>
      </c>
      <c r="T289" t="str">
        <f>_xlfn.CONCAT(Sales_Data!C289,"-",Sales_Data!E289,"-",Sales_Data!A289)</f>
        <v>South-C1034-1288</v>
      </c>
      <c r="U289" t="str">
        <f t="shared" si="44"/>
        <v>Regular</v>
      </c>
      <c r="V289" t="str" cm="1">
        <f t="array" ref="V289">_xlfn.IFS(R289&gt;=100000,"Excellent",R289&gt;=50000,"Good",R289&gt;=20000,"Average",TRUE,"Poor")</f>
        <v>Poor</v>
      </c>
      <c r="W289">
        <f t="shared" si="45"/>
        <v>3</v>
      </c>
      <c r="X289" t="str">
        <f t="shared" si="46"/>
        <v>July</v>
      </c>
      <c r="Y289">
        <f>HLOOKUP("Q"&amp;W289,Bonus_HLookup!$A$1:$E$2,2,FALSE)</f>
        <v>0.06</v>
      </c>
      <c r="Z289">
        <f t="shared" si="47"/>
        <v>88784.639999999999</v>
      </c>
      <c r="AA289" s="1">
        <f t="shared" si="48"/>
        <v>6137.2486904291509</v>
      </c>
      <c r="AB289">
        <f t="shared" si="49"/>
        <v>564</v>
      </c>
    </row>
    <row r="290" spans="1:28" x14ac:dyDescent="0.3">
      <c r="A290">
        <v>1289</v>
      </c>
      <c r="B290" t="s">
        <v>70</v>
      </c>
      <c r="C290" t="s">
        <v>62</v>
      </c>
      <c r="D290" t="s">
        <v>50</v>
      </c>
      <c r="E290" t="s">
        <v>94</v>
      </c>
      <c r="F290" t="s">
        <v>28</v>
      </c>
      <c r="G290">
        <v>2</v>
      </c>
      <c r="H290">
        <v>950</v>
      </c>
      <c r="I290">
        <v>8</v>
      </c>
      <c r="J290">
        <v>487300</v>
      </c>
      <c r="K290">
        <v>12</v>
      </c>
      <c r="L290">
        <v>1</v>
      </c>
      <c r="M290" t="str">
        <f>VLOOKUP(Sales_Data!F290,Product_Master!$A$2:$D$11,2)</f>
        <v>Webcam</v>
      </c>
      <c r="N290" t="str">
        <f>VLOOKUP(F290,Product_Master!$A$2:$C$11,3)</f>
        <v>Accessories</v>
      </c>
      <c r="O290">
        <f>VLOOKUP(F290,Product_Master!$A$2:$D$11,4,FALSE)</f>
        <v>700</v>
      </c>
      <c r="P290">
        <f t="shared" si="40"/>
        <v>1900</v>
      </c>
      <c r="Q290">
        <f t="shared" si="41"/>
        <v>152</v>
      </c>
      <c r="R290">
        <f t="shared" si="42"/>
        <v>1748</v>
      </c>
      <c r="S290">
        <f t="shared" si="43"/>
        <v>348</v>
      </c>
      <c r="T290" t="str">
        <f>_xlfn.CONCAT(Sales_Data!C290,"-",Sales_Data!E290,"-",Sales_Data!A290)</f>
        <v>East-C1027-1289</v>
      </c>
      <c r="U290" t="str">
        <f t="shared" si="44"/>
        <v>Regular</v>
      </c>
      <c r="V290" t="str" cm="1">
        <f t="array" ref="V290">_xlfn.IFS(R290&gt;=100000,"Excellent",R290&gt;=50000,"Good",R290&gt;=20000,"Average",TRUE,"Poor")</f>
        <v>Poor</v>
      </c>
      <c r="W290">
        <f t="shared" si="45"/>
        <v>1</v>
      </c>
      <c r="X290" t="str">
        <f t="shared" si="46"/>
        <v>March</v>
      </c>
      <c r="Y290">
        <f>HLOOKUP("Q"&amp;W290,Bonus_HLookup!$A$1:$E$2,2,FALSE)</f>
        <v>0.02</v>
      </c>
      <c r="Z290">
        <f t="shared" si="47"/>
        <v>58476</v>
      </c>
      <c r="AA290" s="1">
        <f t="shared" si="48"/>
        <v>43296.014722955908</v>
      </c>
      <c r="AB290">
        <f t="shared" si="49"/>
        <v>946</v>
      </c>
    </row>
    <row r="291" spans="1:28" x14ac:dyDescent="0.3">
      <c r="A291">
        <v>1290</v>
      </c>
      <c r="B291" t="s">
        <v>190</v>
      </c>
      <c r="C291" t="s">
        <v>13</v>
      </c>
      <c r="D291" t="s">
        <v>33</v>
      </c>
      <c r="E291" t="s">
        <v>102</v>
      </c>
      <c r="F291" t="s">
        <v>42</v>
      </c>
      <c r="G291">
        <v>9</v>
      </c>
      <c r="H291">
        <v>8000</v>
      </c>
      <c r="I291">
        <v>15</v>
      </c>
      <c r="J291">
        <v>442179</v>
      </c>
      <c r="K291">
        <v>9</v>
      </c>
      <c r="L291">
        <v>1</v>
      </c>
      <c r="M291" t="str">
        <f>VLOOKUP(Sales_Data!F291,Product_Master!$A$2:$D$11,2)</f>
        <v>Printer</v>
      </c>
      <c r="N291" t="str">
        <f>VLOOKUP(F291,Product_Master!$A$2:$C$11,3)</f>
        <v>Electronics</v>
      </c>
      <c r="O291">
        <f>VLOOKUP(F291,Product_Master!$A$2:$D$11,4,FALSE)</f>
        <v>6500</v>
      </c>
      <c r="P291">
        <f t="shared" si="40"/>
        <v>72000</v>
      </c>
      <c r="Q291">
        <f t="shared" si="41"/>
        <v>10800</v>
      </c>
      <c r="R291">
        <f t="shared" si="42"/>
        <v>61200</v>
      </c>
      <c r="S291">
        <f t="shared" si="43"/>
        <v>2700</v>
      </c>
      <c r="T291" t="str">
        <f>_xlfn.CONCAT(Sales_Data!C291,"-",Sales_Data!E291,"-",Sales_Data!A291)</f>
        <v>West-C1049-1290</v>
      </c>
      <c r="U291" t="str">
        <f t="shared" si="44"/>
        <v>High Value</v>
      </c>
      <c r="V291" t="str" cm="1">
        <f t="array" ref="V291">_xlfn.IFS(R291&gt;=100000,"Excellent",R291&gt;=50000,"Good",R291&gt;=20000,"Average",TRUE,"Poor")</f>
        <v>Good</v>
      </c>
      <c r="W291">
        <f t="shared" si="45"/>
        <v>2</v>
      </c>
      <c r="X291" t="str">
        <f t="shared" si="46"/>
        <v>April</v>
      </c>
      <c r="Y291">
        <f>HLOOKUP("Q"&amp;W291,Bonus_HLookup!$A$1:$E$2,2,FALSE)</f>
        <v>0.04</v>
      </c>
      <c r="Z291">
        <f t="shared" si="47"/>
        <v>39796.11</v>
      </c>
      <c r="AA291" s="1">
        <f t="shared" si="48"/>
        <v>38669.206546647089</v>
      </c>
      <c r="AB291">
        <f t="shared" si="49"/>
        <v>251</v>
      </c>
    </row>
    <row r="292" spans="1:28" x14ac:dyDescent="0.3">
      <c r="A292">
        <v>1291</v>
      </c>
      <c r="B292" t="s">
        <v>288</v>
      </c>
      <c r="C292" t="s">
        <v>30</v>
      </c>
      <c r="D292" t="s">
        <v>50</v>
      </c>
      <c r="E292" t="s">
        <v>189</v>
      </c>
      <c r="F292" t="s">
        <v>36</v>
      </c>
      <c r="G292">
        <v>7</v>
      </c>
      <c r="H292">
        <v>55000</v>
      </c>
      <c r="I292">
        <v>10</v>
      </c>
      <c r="J292">
        <v>227916</v>
      </c>
      <c r="K292">
        <v>9</v>
      </c>
      <c r="L292">
        <v>1</v>
      </c>
      <c r="M292" t="str">
        <f>VLOOKUP(Sales_Data!F292,Product_Master!$A$2:$D$11,2)</f>
        <v>Laptop</v>
      </c>
      <c r="N292" t="str">
        <f>VLOOKUP(F292,Product_Master!$A$2:$C$11,3)</f>
        <v>Electronics</v>
      </c>
      <c r="O292">
        <f>VLOOKUP(F292,Product_Master!$A$2:$D$11,4,FALSE)</f>
        <v>45000</v>
      </c>
      <c r="P292">
        <f t="shared" si="40"/>
        <v>385000</v>
      </c>
      <c r="Q292">
        <f t="shared" si="41"/>
        <v>38500</v>
      </c>
      <c r="R292">
        <f t="shared" si="42"/>
        <v>346500</v>
      </c>
      <c r="S292">
        <f t="shared" si="43"/>
        <v>31500</v>
      </c>
      <c r="T292" t="str">
        <f>_xlfn.CONCAT(Sales_Data!C292,"-",Sales_Data!E292,"-",Sales_Data!A292)</f>
        <v>South-C1015-1291</v>
      </c>
      <c r="U292" t="str">
        <f t="shared" si="44"/>
        <v>High Value</v>
      </c>
      <c r="V292" t="str" cm="1">
        <f t="array" ref="V292">_xlfn.IFS(R292&gt;=100000,"Excellent",R292&gt;=50000,"Good",R292&gt;=20000,"Average",TRUE,"Poor")</f>
        <v>Excellent</v>
      </c>
      <c r="W292">
        <f t="shared" si="45"/>
        <v>2</v>
      </c>
      <c r="X292" t="str">
        <f t="shared" si="46"/>
        <v>May</v>
      </c>
      <c r="Y292">
        <f>HLOOKUP("Q"&amp;W292,Bonus_HLookup!$A$1:$E$2,2,FALSE)</f>
        <v>0.04</v>
      </c>
      <c r="Z292">
        <f t="shared" si="47"/>
        <v>20512.439999999999</v>
      </c>
      <c r="AA292" s="1">
        <f t="shared" si="48"/>
        <v>19931.59077949341</v>
      </c>
      <c r="AB292">
        <f t="shared" si="49"/>
        <v>35</v>
      </c>
    </row>
    <row r="293" spans="1:28" x14ac:dyDescent="0.3">
      <c r="A293">
        <v>1292</v>
      </c>
      <c r="B293" t="s">
        <v>109</v>
      </c>
      <c r="C293" t="s">
        <v>13</v>
      </c>
      <c r="D293" t="s">
        <v>59</v>
      </c>
      <c r="E293" t="s">
        <v>77</v>
      </c>
      <c r="F293" t="s">
        <v>21</v>
      </c>
      <c r="G293">
        <v>8</v>
      </c>
      <c r="H293">
        <v>12000</v>
      </c>
      <c r="I293">
        <v>2</v>
      </c>
      <c r="J293">
        <v>405865</v>
      </c>
      <c r="K293">
        <v>7</v>
      </c>
      <c r="L293">
        <v>2</v>
      </c>
      <c r="M293" t="str">
        <f>VLOOKUP(Sales_Data!F293,Product_Master!$A$2:$D$11,2)</f>
        <v>Monitor</v>
      </c>
      <c r="N293" t="str">
        <f>VLOOKUP(F293,Product_Master!$A$2:$C$11,3)</f>
        <v>Electronics</v>
      </c>
      <c r="O293">
        <f>VLOOKUP(F293,Product_Master!$A$2:$D$11,4,FALSE)</f>
        <v>9000</v>
      </c>
      <c r="P293">
        <f t="shared" si="40"/>
        <v>96000</v>
      </c>
      <c r="Q293">
        <f t="shared" si="41"/>
        <v>1920</v>
      </c>
      <c r="R293">
        <f t="shared" si="42"/>
        <v>94080</v>
      </c>
      <c r="S293">
        <f t="shared" si="43"/>
        <v>22080</v>
      </c>
      <c r="T293" t="str">
        <f>_xlfn.CONCAT(Sales_Data!C293,"-",Sales_Data!E293,"-",Sales_Data!A293)</f>
        <v>West-C1020-1292</v>
      </c>
      <c r="U293" t="str">
        <f t="shared" si="44"/>
        <v>High Value</v>
      </c>
      <c r="V293" t="str" cm="1">
        <f t="array" ref="V293">_xlfn.IFS(R293&gt;=100000,"Excellent",R293&gt;=50000,"Good",R293&gt;=20000,"Average",TRUE,"Poor")</f>
        <v>Good</v>
      </c>
      <c r="W293">
        <f t="shared" si="45"/>
        <v>2</v>
      </c>
      <c r="X293" t="str">
        <f t="shared" si="46"/>
        <v>May</v>
      </c>
      <c r="Y293">
        <f>HLOOKUP("Q"&amp;W293,Bonus_HLookup!$A$1:$E$2,2,FALSE)</f>
        <v>0.04</v>
      </c>
      <c r="Z293">
        <f t="shared" si="47"/>
        <v>56821.1</v>
      </c>
      <c r="AA293" s="1">
        <f t="shared" si="48"/>
        <v>18171.622817698113</v>
      </c>
      <c r="AB293">
        <f t="shared" si="49"/>
        <v>176</v>
      </c>
    </row>
    <row r="294" spans="1:28" x14ac:dyDescent="0.3">
      <c r="A294">
        <v>1293</v>
      </c>
      <c r="B294" t="s">
        <v>56</v>
      </c>
      <c r="C294" t="s">
        <v>13</v>
      </c>
      <c r="D294" t="s">
        <v>46</v>
      </c>
      <c r="E294" t="s">
        <v>151</v>
      </c>
      <c r="F294" t="s">
        <v>36</v>
      </c>
      <c r="G294">
        <v>10</v>
      </c>
      <c r="H294">
        <v>55000</v>
      </c>
      <c r="I294">
        <v>15</v>
      </c>
      <c r="J294">
        <v>411745</v>
      </c>
      <c r="K294">
        <v>11</v>
      </c>
      <c r="L294">
        <v>5</v>
      </c>
      <c r="M294" t="str">
        <f>VLOOKUP(Sales_Data!F294,Product_Master!$A$2:$D$11,2)</f>
        <v>Laptop</v>
      </c>
      <c r="N294" t="str">
        <f>VLOOKUP(F294,Product_Master!$A$2:$C$11,3)</f>
        <v>Electronics</v>
      </c>
      <c r="O294">
        <f>VLOOKUP(F294,Product_Master!$A$2:$D$11,4,FALSE)</f>
        <v>45000</v>
      </c>
      <c r="P294">
        <f t="shared" si="40"/>
        <v>550000</v>
      </c>
      <c r="Q294">
        <f t="shared" si="41"/>
        <v>82500</v>
      </c>
      <c r="R294">
        <f t="shared" si="42"/>
        <v>467500</v>
      </c>
      <c r="S294">
        <f t="shared" si="43"/>
        <v>17500</v>
      </c>
      <c r="T294" t="str">
        <f>_xlfn.CONCAT(Sales_Data!C294,"-",Sales_Data!E294,"-",Sales_Data!A294)</f>
        <v>West-C1001-1293</v>
      </c>
      <c r="U294" t="str">
        <f t="shared" si="44"/>
        <v>High Value</v>
      </c>
      <c r="V294" t="str" cm="1">
        <f t="array" ref="V294">_xlfn.IFS(R294&gt;=100000,"Excellent",R294&gt;=50000,"Good",R294&gt;=20000,"Average",TRUE,"Poor")</f>
        <v>Excellent</v>
      </c>
      <c r="W294">
        <f t="shared" si="45"/>
        <v>4</v>
      </c>
      <c r="X294" t="str">
        <f t="shared" si="46"/>
        <v>November</v>
      </c>
      <c r="Y294">
        <f>HLOOKUP("Q"&amp;W294,Bonus_HLookup!$A$1:$E$2,2,FALSE)</f>
        <v>0.08</v>
      </c>
      <c r="Z294">
        <f t="shared" si="47"/>
        <v>226459.75</v>
      </c>
      <c r="AA294" s="1">
        <f t="shared" si="48"/>
        <v>8952.3339880455187</v>
      </c>
      <c r="AB294">
        <f t="shared" si="49"/>
        <v>13</v>
      </c>
    </row>
    <row r="295" spans="1:28" x14ac:dyDescent="0.3">
      <c r="A295">
        <v>1294</v>
      </c>
      <c r="B295" t="s">
        <v>289</v>
      </c>
      <c r="C295" t="s">
        <v>18</v>
      </c>
      <c r="D295" t="s">
        <v>19</v>
      </c>
      <c r="E295" t="s">
        <v>71</v>
      </c>
      <c r="F295" t="s">
        <v>28</v>
      </c>
      <c r="G295">
        <v>4</v>
      </c>
      <c r="H295">
        <v>950</v>
      </c>
      <c r="I295">
        <v>5</v>
      </c>
      <c r="J295">
        <v>479838</v>
      </c>
      <c r="K295">
        <v>11</v>
      </c>
      <c r="L295">
        <v>3</v>
      </c>
      <c r="M295" t="str">
        <f>VLOOKUP(Sales_Data!F295,Product_Master!$A$2:$D$11,2)</f>
        <v>Webcam</v>
      </c>
      <c r="N295" t="str">
        <f>VLOOKUP(F295,Product_Master!$A$2:$C$11,3)</f>
        <v>Accessories</v>
      </c>
      <c r="O295">
        <f>VLOOKUP(F295,Product_Master!$A$2:$D$11,4,FALSE)</f>
        <v>700</v>
      </c>
      <c r="P295">
        <f t="shared" si="40"/>
        <v>3800</v>
      </c>
      <c r="Q295">
        <f t="shared" si="41"/>
        <v>190</v>
      </c>
      <c r="R295">
        <f t="shared" si="42"/>
        <v>3610</v>
      </c>
      <c r="S295">
        <f t="shared" si="43"/>
        <v>810</v>
      </c>
      <c r="T295" t="str">
        <f>_xlfn.CONCAT(Sales_Data!C295,"-",Sales_Data!E295,"-",Sales_Data!A295)</f>
        <v>North-C1019-1294</v>
      </c>
      <c r="U295" t="str">
        <f t="shared" si="44"/>
        <v>Regular</v>
      </c>
      <c r="V295" t="str" cm="1">
        <f t="array" ref="V295">_xlfn.IFS(R295&gt;=100000,"Excellent",R295&gt;=50000,"Good",R295&gt;=20000,"Average",TRUE,"Poor")</f>
        <v>Poor</v>
      </c>
      <c r="W295">
        <f t="shared" si="45"/>
        <v>4</v>
      </c>
      <c r="X295" t="str">
        <f t="shared" si="46"/>
        <v>October</v>
      </c>
      <c r="Y295">
        <f>HLOOKUP("Q"&amp;W295,Bonus_HLookup!$A$1:$E$2,2,FALSE)</f>
        <v>0.08</v>
      </c>
      <c r="Z295">
        <f t="shared" si="47"/>
        <v>158346.54</v>
      </c>
      <c r="AA295" s="1">
        <f t="shared" si="48"/>
        <v>15709.280543988025</v>
      </c>
      <c r="AB295">
        <f t="shared" si="49"/>
        <v>859</v>
      </c>
    </row>
    <row r="296" spans="1:28" x14ac:dyDescent="0.3">
      <c r="A296">
        <v>1295</v>
      </c>
      <c r="B296" t="s">
        <v>244</v>
      </c>
      <c r="C296" t="s">
        <v>18</v>
      </c>
      <c r="D296" t="s">
        <v>59</v>
      </c>
      <c r="E296" t="s">
        <v>99</v>
      </c>
      <c r="F296" t="s">
        <v>16</v>
      </c>
      <c r="G296">
        <v>4</v>
      </c>
      <c r="H296">
        <v>2500</v>
      </c>
      <c r="I296">
        <v>8</v>
      </c>
      <c r="J296">
        <v>243723</v>
      </c>
      <c r="K296">
        <v>9</v>
      </c>
      <c r="L296">
        <v>5</v>
      </c>
      <c r="M296" t="str">
        <f>VLOOKUP(Sales_Data!F296,Product_Master!$A$2:$D$11,2)</f>
        <v>Speaker</v>
      </c>
      <c r="N296" t="str">
        <f>VLOOKUP(F296,Product_Master!$A$2:$C$11,3)</f>
        <v>Accessories</v>
      </c>
      <c r="O296">
        <f>VLOOKUP(F296,Product_Master!$A$2:$D$11,4,FALSE)</f>
        <v>1800</v>
      </c>
      <c r="P296">
        <f t="shared" si="40"/>
        <v>10000</v>
      </c>
      <c r="Q296">
        <f t="shared" si="41"/>
        <v>800</v>
      </c>
      <c r="R296">
        <f t="shared" si="42"/>
        <v>9200</v>
      </c>
      <c r="S296">
        <f t="shared" si="43"/>
        <v>2000</v>
      </c>
      <c r="T296" t="str">
        <f>_xlfn.CONCAT(Sales_Data!C296,"-",Sales_Data!E296,"-",Sales_Data!A296)</f>
        <v>North-C1050-1295</v>
      </c>
      <c r="U296" t="str">
        <f t="shared" si="44"/>
        <v>Regular</v>
      </c>
      <c r="V296" t="str" cm="1">
        <f t="array" ref="V296">_xlfn.IFS(R296&gt;=100000,"Excellent",R296&gt;=50000,"Good",R296&gt;=20000,"Average",TRUE,"Poor")</f>
        <v>Poor</v>
      </c>
      <c r="W296">
        <f t="shared" si="45"/>
        <v>1</v>
      </c>
      <c r="X296" t="str">
        <f t="shared" si="46"/>
        <v>March</v>
      </c>
      <c r="Y296">
        <f>HLOOKUP("Q"&amp;W296,Bonus_HLookup!$A$1:$E$2,2,FALSE)</f>
        <v>0.02</v>
      </c>
      <c r="Z296">
        <f t="shared" si="47"/>
        <v>109675.35</v>
      </c>
      <c r="AA296" s="1">
        <f t="shared" si="48"/>
        <v>5059.2886108326784</v>
      </c>
      <c r="AB296">
        <f t="shared" si="49"/>
        <v>657</v>
      </c>
    </row>
    <row r="297" spans="1:28" x14ac:dyDescent="0.3">
      <c r="A297">
        <v>1296</v>
      </c>
      <c r="B297" t="s">
        <v>290</v>
      </c>
      <c r="C297" t="s">
        <v>18</v>
      </c>
      <c r="D297" t="s">
        <v>59</v>
      </c>
      <c r="E297" t="s">
        <v>165</v>
      </c>
      <c r="F297" t="s">
        <v>16</v>
      </c>
      <c r="G297">
        <v>5</v>
      </c>
      <c r="H297">
        <v>2500</v>
      </c>
      <c r="I297">
        <v>12</v>
      </c>
      <c r="J297">
        <v>409602</v>
      </c>
      <c r="K297">
        <v>10</v>
      </c>
      <c r="L297">
        <v>1</v>
      </c>
      <c r="M297" t="str">
        <f>VLOOKUP(Sales_Data!F297,Product_Master!$A$2:$D$11,2)</f>
        <v>Speaker</v>
      </c>
      <c r="N297" t="str">
        <f>VLOOKUP(F297,Product_Master!$A$2:$C$11,3)</f>
        <v>Accessories</v>
      </c>
      <c r="O297">
        <f>VLOOKUP(F297,Product_Master!$A$2:$D$11,4,FALSE)</f>
        <v>1800</v>
      </c>
      <c r="P297">
        <f t="shared" si="40"/>
        <v>12500</v>
      </c>
      <c r="Q297">
        <f t="shared" si="41"/>
        <v>1500</v>
      </c>
      <c r="R297">
        <f t="shared" si="42"/>
        <v>11000</v>
      </c>
      <c r="S297">
        <f t="shared" si="43"/>
        <v>2000</v>
      </c>
      <c r="T297" t="str">
        <f>_xlfn.CONCAT(Sales_Data!C297,"-",Sales_Data!E297,"-",Sales_Data!A297)</f>
        <v>North-C1042-1296</v>
      </c>
      <c r="U297" t="str">
        <f t="shared" si="44"/>
        <v>Regular</v>
      </c>
      <c r="V297" t="str" cm="1">
        <f t="array" ref="V297">_xlfn.IFS(R297&gt;=100000,"Excellent",R297&gt;=50000,"Good",R297&gt;=20000,"Average",TRUE,"Poor")</f>
        <v>Poor</v>
      </c>
      <c r="W297">
        <f t="shared" si="45"/>
        <v>4</v>
      </c>
      <c r="X297" t="str">
        <f t="shared" si="46"/>
        <v>December</v>
      </c>
      <c r="Y297">
        <f>HLOOKUP("Q"&amp;W297,Bonus_HLookup!$A$1:$E$2,2,FALSE)</f>
        <v>0.08</v>
      </c>
      <c r="Z297">
        <f t="shared" si="47"/>
        <v>40960.199999999997</v>
      </c>
      <c r="AA297" s="1">
        <f t="shared" si="48"/>
        <v>36010.523241186391</v>
      </c>
      <c r="AB297">
        <f t="shared" si="49"/>
        <v>616</v>
      </c>
    </row>
    <row r="298" spans="1:28" x14ac:dyDescent="0.3">
      <c r="A298">
        <v>1297</v>
      </c>
      <c r="B298" t="s">
        <v>270</v>
      </c>
      <c r="C298" t="s">
        <v>18</v>
      </c>
      <c r="D298" t="s">
        <v>33</v>
      </c>
      <c r="E298" t="s">
        <v>54</v>
      </c>
      <c r="F298" t="s">
        <v>36</v>
      </c>
      <c r="G298">
        <v>1</v>
      </c>
      <c r="H298">
        <v>55000</v>
      </c>
      <c r="I298">
        <v>15</v>
      </c>
      <c r="J298">
        <v>105855</v>
      </c>
      <c r="K298">
        <v>12</v>
      </c>
      <c r="L298">
        <v>5</v>
      </c>
      <c r="M298" t="str">
        <f>VLOOKUP(Sales_Data!F298,Product_Master!$A$2:$D$11,2)</f>
        <v>Laptop</v>
      </c>
      <c r="N298" t="str">
        <f>VLOOKUP(F298,Product_Master!$A$2:$C$11,3)</f>
        <v>Electronics</v>
      </c>
      <c r="O298">
        <f>VLOOKUP(F298,Product_Master!$A$2:$D$11,4,FALSE)</f>
        <v>45000</v>
      </c>
      <c r="P298">
        <f t="shared" si="40"/>
        <v>55000</v>
      </c>
      <c r="Q298">
        <f t="shared" si="41"/>
        <v>8250</v>
      </c>
      <c r="R298">
        <f t="shared" si="42"/>
        <v>46750</v>
      </c>
      <c r="S298">
        <f t="shared" si="43"/>
        <v>1750</v>
      </c>
      <c r="T298" t="str">
        <f>_xlfn.CONCAT(Sales_Data!C298,"-",Sales_Data!E298,"-",Sales_Data!A298)</f>
        <v>North-C1034-1297</v>
      </c>
      <c r="U298" t="str">
        <f t="shared" si="44"/>
        <v>Regular</v>
      </c>
      <c r="V298" t="str" cm="1">
        <f t="array" ref="V298">_xlfn.IFS(R298&gt;=100000,"Excellent",R298&gt;=50000,"Good",R298&gt;=20000,"Average",TRUE,"Poor")</f>
        <v>Average</v>
      </c>
      <c r="W298">
        <f t="shared" si="45"/>
        <v>3</v>
      </c>
      <c r="X298" t="str">
        <f t="shared" si="46"/>
        <v>September</v>
      </c>
      <c r="Y298">
        <f>HLOOKUP("Q"&amp;W298,Bonus_HLookup!$A$1:$E$2,2,FALSE)</f>
        <v>0.06</v>
      </c>
      <c r="Z298">
        <f t="shared" si="47"/>
        <v>63513</v>
      </c>
      <c r="AA298" s="1">
        <f t="shared" si="48"/>
        <v>2354.6860096852774</v>
      </c>
      <c r="AB298">
        <f t="shared" si="49"/>
        <v>313</v>
      </c>
    </row>
    <row r="299" spans="1:28" x14ac:dyDescent="0.3">
      <c r="A299">
        <v>1298</v>
      </c>
      <c r="B299" t="s">
        <v>242</v>
      </c>
      <c r="C299" t="s">
        <v>30</v>
      </c>
      <c r="D299" t="s">
        <v>33</v>
      </c>
      <c r="E299" t="s">
        <v>63</v>
      </c>
      <c r="F299" t="s">
        <v>21</v>
      </c>
      <c r="G299">
        <v>5</v>
      </c>
      <c r="H299">
        <v>12000</v>
      </c>
      <c r="I299">
        <v>12</v>
      </c>
      <c r="J299">
        <v>336224</v>
      </c>
      <c r="K299">
        <v>9</v>
      </c>
      <c r="L299">
        <v>1</v>
      </c>
      <c r="M299" t="str">
        <f>VLOOKUP(Sales_Data!F299,Product_Master!$A$2:$D$11,2)</f>
        <v>Monitor</v>
      </c>
      <c r="N299" t="str">
        <f>VLOOKUP(F299,Product_Master!$A$2:$C$11,3)</f>
        <v>Electronics</v>
      </c>
      <c r="O299">
        <f>VLOOKUP(F299,Product_Master!$A$2:$D$11,4,FALSE)</f>
        <v>9000</v>
      </c>
      <c r="P299">
        <f t="shared" si="40"/>
        <v>60000</v>
      </c>
      <c r="Q299">
        <f t="shared" si="41"/>
        <v>7200</v>
      </c>
      <c r="R299">
        <f t="shared" si="42"/>
        <v>52800</v>
      </c>
      <c r="S299">
        <f t="shared" si="43"/>
        <v>7800</v>
      </c>
      <c r="T299" t="str">
        <f>_xlfn.CONCAT(Sales_Data!C299,"-",Sales_Data!E299,"-",Sales_Data!A299)</f>
        <v>South-C1035-1298</v>
      </c>
      <c r="U299" t="str">
        <f t="shared" si="44"/>
        <v>High Value</v>
      </c>
      <c r="V299" t="str" cm="1">
        <f t="array" ref="V299">_xlfn.IFS(R299&gt;=100000,"Excellent",R299&gt;=50000,"Good",R299&gt;=20000,"Average",TRUE,"Poor")</f>
        <v>Good</v>
      </c>
      <c r="W299">
        <f t="shared" si="45"/>
        <v>2</v>
      </c>
      <c r="X299" t="str">
        <f t="shared" si="46"/>
        <v>April</v>
      </c>
      <c r="Y299">
        <f>HLOOKUP("Q"&amp;W299,Bonus_HLookup!$A$1:$E$2,2,FALSE)</f>
        <v>0.04</v>
      </c>
      <c r="Z299">
        <f t="shared" si="47"/>
        <v>30260.16</v>
      </c>
      <c r="AA299" s="1">
        <f t="shared" si="48"/>
        <v>29403.285325490062</v>
      </c>
      <c r="AB299">
        <f t="shared" si="49"/>
        <v>285</v>
      </c>
    </row>
    <row r="300" spans="1:28" x14ac:dyDescent="0.3">
      <c r="A300">
        <v>1299</v>
      </c>
      <c r="B300" t="s">
        <v>291</v>
      </c>
      <c r="C300" t="s">
        <v>62</v>
      </c>
      <c r="D300" t="s">
        <v>23</v>
      </c>
      <c r="E300" t="s">
        <v>174</v>
      </c>
      <c r="F300" t="s">
        <v>16</v>
      </c>
      <c r="G300">
        <v>2</v>
      </c>
      <c r="H300">
        <v>2500</v>
      </c>
      <c r="I300">
        <v>5</v>
      </c>
      <c r="J300">
        <v>90501</v>
      </c>
      <c r="K300">
        <v>10</v>
      </c>
      <c r="L300">
        <v>1</v>
      </c>
      <c r="M300" t="str">
        <f>VLOOKUP(Sales_Data!F300,Product_Master!$A$2:$D$11,2)</f>
        <v>Speaker</v>
      </c>
      <c r="N300" t="str">
        <f>VLOOKUP(F300,Product_Master!$A$2:$C$11,3)</f>
        <v>Accessories</v>
      </c>
      <c r="O300">
        <f>VLOOKUP(F300,Product_Master!$A$2:$D$11,4,FALSE)</f>
        <v>1800</v>
      </c>
      <c r="P300">
        <f t="shared" si="40"/>
        <v>5000</v>
      </c>
      <c r="Q300">
        <f t="shared" si="41"/>
        <v>250</v>
      </c>
      <c r="R300">
        <f t="shared" si="42"/>
        <v>4750</v>
      </c>
      <c r="S300">
        <f t="shared" si="43"/>
        <v>1150</v>
      </c>
      <c r="T300" t="str">
        <f>_xlfn.CONCAT(Sales_Data!C300,"-",Sales_Data!E300,"-",Sales_Data!A300)</f>
        <v>East-C1044-1299</v>
      </c>
      <c r="U300" t="str">
        <f t="shared" si="44"/>
        <v>Regular</v>
      </c>
      <c r="V300" t="str" cm="1">
        <f t="array" ref="V300">_xlfn.IFS(R300&gt;=100000,"Excellent",R300&gt;=50000,"Good",R300&gt;=20000,"Average",TRUE,"Poor")</f>
        <v>Poor</v>
      </c>
      <c r="W300">
        <f t="shared" si="45"/>
        <v>1</v>
      </c>
      <c r="X300" t="str">
        <f t="shared" si="46"/>
        <v>March</v>
      </c>
      <c r="Y300">
        <f>HLOOKUP("Q"&amp;W300,Bonus_HLookup!$A$1:$E$2,2,FALSE)</f>
        <v>0.02</v>
      </c>
      <c r="Z300">
        <f t="shared" si="47"/>
        <v>9050.1</v>
      </c>
      <c r="AA300" s="1">
        <f t="shared" si="48"/>
        <v>7956.475710203099</v>
      </c>
      <c r="AB300">
        <f t="shared" si="49"/>
        <v>797</v>
      </c>
    </row>
    <row r="301" spans="1:28" x14ac:dyDescent="0.3">
      <c r="A301">
        <v>1300</v>
      </c>
      <c r="B301" t="s">
        <v>105</v>
      </c>
      <c r="C301" t="s">
        <v>62</v>
      </c>
      <c r="D301" t="s">
        <v>46</v>
      </c>
      <c r="E301" t="s">
        <v>27</v>
      </c>
      <c r="F301" t="s">
        <v>69</v>
      </c>
      <c r="G301">
        <v>6</v>
      </c>
      <c r="H301">
        <v>2000</v>
      </c>
      <c r="I301">
        <v>5</v>
      </c>
      <c r="J301">
        <v>290522</v>
      </c>
      <c r="K301">
        <v>9</v>
      </c>
      <c r="L301">
        <v>3</v>
      </c>
      <c r="M301" t="str">
        <f>VLOOKUP(Sales_Data!F301,Product_Master!$A$2:$D$11,2)</f>
        <v>Headset</v>
      </c>
      <c r="N301" t="str">
        <f>VLOOKUP(F301,Product_Master!$A$2:$C$11,3)</f>
        <v>Accessories</v>
      </c>
      <c r="O301">
        <f>VLOOKUP(F301,Product_Master!$A$2:$D$11,4,FALSE)</f>
        <v>1500</v>
      </c>
      <c r="P301">
        <f t="shared" si="40"/>
        <v>12000</v>
      </c>
      <c r="Q301">
        <f t="shared" si="41"/>
        <v>600</v>
      </c>
      <c r="R301">
        <f t="shared" si="42"/>
        <v>11400</v>
      </c>
      <c r="S301">
        <f t="shared" si="43"/>
        <v>2400</v>
      </c>
      <c r="T301" t="str">
        <f>_xlfn.CONCAT(Sales_Data!C301,"-",Sales_Data!E301,"-",Sales_Data!A301)</f>
        <v>East-C1007-1300</v>
      </c>
      <c r="U301" t="str">
        <f t="shared" si="44"/>
        <v>Regular</v>
      </c>
      <c r="V301" t="str" cm="1">
        <f t="array" ref="V301">_xlfn.IFS(R301&gt;=100000,"Excellent",R301&gt;=50000,"Good",R301&gt;=20000,"Average",TRUE,"Poor")</f>
        <v>Poor</v>
      </c>
      <c r="W301">
        <f t="shared" si="45"/>
        <v>2</v>
      </c>
      <c r="X301" t="str">
        <f t="shared" si="46"/>
        <v>May</v>
      </c>
      <c r="Y301">
        <f>HLOOKUP("Q"&amp;W301,Bonus_HLookup!$A$1:$E$2,2,FALSE)</f>
        <v>0.04</v>
      </c>
      <c r="Z301">
        <f t="shared" si="47"/>
        <v>78440.94</v>
      </c>
      <c r="AA301" s="1">
        <f t="shared" si="48"/>
        <v>9238.5219318312866</v>
      </c>
      <c r="AB301">
        <f t="shared" si="49"/>
        <v>607</v>
      </c>
    </row>
    <row r="302" spans="1:28" x14ac:dyDescent="0.3">
      <c r="A302">
        <v>1301</v>
      </c>
      <c r="B302" t="s">
        <v>292</v>
      </c>
      <c r="C302" t="s">
        <v>13</v>
      </c>
      <c r="D302" t="s">
        <v>50</v>
      </c>
      <c r="E302" t="s">
        <v>44</v>
      </c>
      <c r="F302" t="s">
        <v>25</v>
      </c>
      <c r="G302">
        <v>6</v>
      </c>
      <c r="H302">
        <v>1500</v>
      </c>
      <c r="I302">
        <v>10</v>
      </c>
      <c r="J302">
        <v>195264</v>
      </c>
      <c r="K302">
        <v>10</v>
      </c>
      <c r="L302">
        <v>4</v>
      </c>
      <c r="M302" t="str">
        <f>VLOOKUP(Sales_Data!F302,Product_Master!$A$2:$D$11,2)</f>
        <v>Keyboard</v>
      </c>
      <c r="N302" t="str">
        <f>VLOOKUP(F302,Product_Master!$A$2:$C$11,3)</f>
        <v>Accessories</v>
      </c>
      <c r="O302">
        <f>VLOOKUP(F302,Product_Master!$A$2:$D$11,4,FALSE)</f>
        <v>1200</v>
      </c>
      <c r="P302">
        <f t="shared" si="40"/>
        <v>9000</v>
      </c>
      <c r="Q302">
        <f t="shared" si="41"/>
        <v>900</v>
      </c>
      <c r="R302">
        <f t="shared" si="42"/>
        <v>8100</v>
      </c>
      <c r="S302">
        <f t="shared" si="43"/>
        <v>900</v>
      </c>
      <c r="T302" t="str">
        <f>_xlfn.CONCAT(Sales_Data!C302,"-",Sales_Data!E302,"-",Sales_Data!A302)</f>
        <v>West-C1028-1301</v>
      </c>
      <c r="U302" t="str">
        <f t="shared" si="44"/>
        <v>Regular</v>
      </c>
      <c r="V302" t="str" cm="1">
        <f t="array" ref="V302">_xlfn.IFS(R302&gt;=100000,"Excellent",R302&gt;=50000,"Good",R302&gt;=20000,"Average",TRUE,"Poor")</f>
        <v>Poor</v>
      </c>
      <c r="W302">
        <f t="shared" si="45"/>
        <v>1</v>
      </c>
      <c r="X302" t="str">
        <f t="shared" si="46"/>
        <v>March</v>
      </c>
      <c r="Y302">
        <f>HLOOKUP("Q"&amp;W302,Bonus_HLookup!$A$1:$E$2,2,FALSE)</f>
        <v>0.02</v>
      </c>
      <c r="Z302">
        <f t="shared" si="47"/>
        <v>78105.600000000006</v>
      </c>
      <c r="AA302" s="1">
        <f t="shared" si="48"/>
        <v>4952.3994918024746</v>
      </c>
      <c r="AB302">
        <f t="shared" si="49"/>
        <v>682</v>
      </c>
    </row>
    <row r="303" spans="1:28" x14ac:dyDescent="0.3">
      <c r="A303">
        <v>1302</v>
      </c>
      <c r="B303" t="s">
        <v>218</v>
      </c>
      <c r="C303" t="s">
        <v>30</v>
      </c>
      <c r="D303" t="s">
        <v>23</v>
      </c>
      <c r="E303" t="s">
        <v>157</v>
      </c>
      <c r="F303" t="s">
        <v>21</v>
      </c>
      <c r="G303">
        <v>7</v>
      </c>
      <c r="H303">
        <v>12000</v>
      </c>
      <c r="I303">
        <v>12</v>
      </c>
      <c r="J303">
        <v>225995</v>
      </c>
      <c r="K303">
        <v>7</v>
      </c>
      <c r="L303">
        <v>2</v>
      </c>
      <c r="M303" t="str">
        <f>VLOOKUP(Sales_Data!F303,Product_Master!$A$2:$D$11,2)</f>
        <v>Monitor</v>
      </c>
      <c r="N303" t="str">
        <f>VLOOKUP(F303,Product_Master!$A$2:$C$11,3)</f>
        <v>Electronics</v>
      </c>
      <c r="O303">
        <f>VLOOKUP(F303,Product_Master!$A$2:$D$11,4,FALSE)</f>
        <v>9000</v>
      </c>
      <c r="P303">
        <f t="shared" si="40"/>
        <v>84000</v>
      </c>
      <c r="Q303">
        <f t="shared" si="41"/>
        <v>10080</v>
      </c>
      <c r="R303">
        <f t="shared" si="42"/>
        <v>73920</v>
      </c>
      <c r="S303">
        <f t="shared" si="43"/>
        <v>10920</v>
      </c>
      <c r="T303" t="str">
        <f>_xlfn.CONCAT(Sales_Data!C303,"-",Sales_Data!E303,"-",Sales_Data!A303)</f>
        <v>South-C1024-1302</v>
      </c>
      <c r="U303" t="str">
        <f t="shared" si="44"/>
        <v>High Value</v>
      </c>
      <c r="V303" t="str" cm="1">
        <f t="array" ref="V303">_xlfn.IFS(R303&gt;=100000,"Excellent",R303&gt;=50000,"Good",R303&gt;=20000,"Average",TRUE,"Poor")</f>
        <v>Good</v>
      </c>
      <c r="W303">
        <f t="shared" si="45"/>
        <v>3</v>
      </c>
      <c r="X303" t="str">
        <f t="shared" si="46"/>
        <v>July</v>
      </c>
      <c r="Y303">
        <f>HLOOKUP("Q"&amp;W303,Bonus_HLookup!$A$1:$E$2,2,FALSE)</f>
        <v>0.06</v>
      </c>
      <c r="Z303">
        <f t="shared" si="47"/>
        <v>31639.3</v>
      </c>
      <c r="AA303" s="1">
        <f t="shared" si="48"/>
        <v>10118.379014415348</v>
      </c>
      <c r="AB303">
        <f t="shared" si="49"/>
        <v>202</v>
      </c>
    </row>
    <row r="304" spans="1:28" x14ac:dyDescent="0.3">
      <c r="A304">
        <v>1303</v>
      </c>
      <c r="B304" t="s">
        <v>278</v>
      </c>
      <c r="C304" t="s">
        <v>13</v>
      </c>
      <c r="D304" t="s">
        <v>23</v>
      </c>
      <c r="E304" t="s">
        <v>24</v>
      </c>
      <c r="F304" t="s">
        <v>69</v>
      </c>
      <c r="G304">
        <v>10</v>
      </c>
      <c r="H304">
        <v>2000</v>
      </c>
      <c r="I304">
        <v>10</v>
      </c>
      <c r="J304">
        <v>147898</v>
      </c>
      <c r="K304">
        <v>12</v>
      </c>
      <c r="L304">
        <v>4</v>
      </c>
      <c r="M304" t="str">
        <f>VLOOKUP(Sales_Data!F304,Product_Master!$A$2:$D$11,2)</f>
        <v>Headset</v>
      </c>
      <c r="N304" t="str">
        <f>VLOOKUP(F304,Product_Master!$A$2:$C$11,3)</f>
        <v>Accessories</v>
      </c>
      <c r="O304">
        <f>VLOOKUP(F304,Product_Master!$A$2:$D$11,4,FALSE)</f>
        <v>1500</v>
      </c>
      <c r="P304">
        <f t="shared" si="40"/>
        <v>20000</v>
      </c>
      <c r="Q304">
        <f t="shared" si="41"/>
        <v>2000</v>
      </c>
      <c r="R304">
        <f t="shared" si="42"/>
        <v>18000</v>
      </c>
      <c r="S304">
        <f t="shared" si="43"/>
        <v>3000</v>
      </c>
      <c r="T304" t="str">
        <f>_xlfn.CONCAT(Sales_Data!C304,"-",Sales_Data!E304,"-",Sales_Data!A304)</f>
        <v>West-C1029-1303</v>
      </c>
      <c r="U304" t="str">
        <f t="shared" si="44"/>
        <v>Regular</v>
      </c>
      <c r="V304" t="str" cm="1">
        <f t="array" ref="V304">_xlfn.IFS(R304&gt;=100000,"Excellent",R304&gt;=50000,"Good",R304&gt;=20000,"Average",TRUE,"Poor")</f>
        <v>Poor</v>
      </c>
      <c r="W304">
        <f t="shared" si="45"/>
        <v>1</v>
      </c>
      <c r="X304" t="str">
        <f t="shared" si="46"/>
        <v>February</v>
      </c>
      <c r="Y304">
        <f>HLOOKUP("Q"&amp;W304,Bonus_HLookup!$A$1:$E$2,2,FALSE)</f>
        <v>0.02</v>
      </c>
      <c r="Z304">
        <f t="shared" si="47"/>
        <v>70991.039999999994</v>
      </c>
      <c r="AA304" s="1">
        <f t="shared" si="48"/>
        <v>3894.7215927112529</v>
      </c>
      <c r="AB304">
        <f t="shared" si="49"/>
        <v>480</v>
      </c>
    </row>
    <row r="305" spans="1:28" x14ac:dyDescent="0.3">
      <c r="A305">
        <v>1304</v>
      </c>
      <c r="B305" t="s">
        <v>287</v>
      </c>
      <c r="C305" t="s">
        <v>18</v>
      </c>
      <c r="D305" t="s">
        <v>14</v>
      </c>
      <c r="E305" t="s">
        <v>34</v>
      </c>
      <c r="F305" t="s">
        <v>42</v>
      </c>
      <c r="G305">
        <v>10</v>
      </c>
      <c r="H305">
        <v>8000</v>
      </c>
      <c r="I305">
        <v>2</v>
      </c>
      <c r="J305">
        <v>141070</v>
      </c>
      <c r="K305">
        <v>10</v>
      </c>
      <c r="L305">
        <v>1</v>
      </c>
      <c r="M305" t="str">
        <f>VLOOKUP(Sales_Data!F305,Product_Master!$A$2:$D$11,2)</f>
        <v>Printer</v>
      </c>
      <c r="N305" t="str">
        <f>VLOOKUP(F305,Product_Master!$A$2:$C$11,3)</f>
        <v>Electronics</v>
      </c>
      <c r="O305">
        <f>VLOOKUP(F305,Product_Master!$A$2:$D$11,4,FALSE)</f>
        <v>6500</v>
      </c>
      <c r="P305">
        <f t="shared" si="40"/>
        <v>80000</v>
      </c>
      <c r="Q305">
        <f t="shared" si="41"/>
        <v>1600</v>
      </c>
      <c r="R305">
        <f t="shared" si="42"/>
        <v>78400</v>
      </c>
      <c r="S305">
        <f t="shared" si="43"/>
        <v>13400</v>
      </c>
      <c r="T305" t="str">
        <f>_xlfn.CONCAT(Sales_Data!C305,"-",Sales_Data!E305,"-",Sales_Data!A305)</f>
        <v>North-C1036-1304</v>
      </c>
      <c r="U305" t="str">
        <f t="shared" si="44"/>
        <v>High Value</v>
      </c>
      <c r="V305" t="str" cm="1">
        <f t="array" ref="V305">_xlfn.IFS(R305&gt;=100000,"Excellent",R305&gt;=50000,"Good",R305&gt;=20000,"Average",TRUE,"Poor")</f>
        <v>Good</v>
      </c>
      <c r="W305">
        <f t="shared" si="45"/>
        <v>3</v>
      </c>
      <c r="X305" t="str">
        <f t="shared" si="46"/>
        <v>July</v>
      </c>
      <c r="Y305">
        <f>HLOOKUP("Q"&amp;W305,Bonus_HLookup!$A$1:$E$2,2,FALSE)</f>
        <v>0.06</v>
      </c>
      <c r="Z305">
        <f t="shared" si="47"/>
        <v>14107</v>
      </c>
      <c r="AA305" s="1">
        <f t="shared" si="48"/>
        <v>12402.294211537454</v>
      </c>
      <c r="AB305">
        <f t="shared" si="49"/>
        <v>197</v>
      </c>
    </row>
    <row r="306" spans="1:28" x14ac:dyDescent="0.3">
      <c r="A306">
        <v>1305</v>
      </c>
      <c r="B306" t="s">
        <v>293</v>
      </c>
      <c r="C306" t="s">
        <v>30</v>
      </c>
      <c r="D306" t="s">
        <v>19</v>
      </c>
      <c r="E306" t="s">
        <v>99</v>
      </c>
      <c r="F306" t="s">
        <v>21</v>
      </c>
      <c r="G306">
        <v>8</v>
      </c>
      <c r="H306">
        <v>12000</v>
      </c>
      <c r="I306">
        <v>12</v>
      </c>
      <c r="J306">
        <v>290025</v>
      </c>
      <c r="K306">
        <v>12</v>
      </c>
      <c r="L306">
        <v>2</v>
      </c>
      <c r="M306" t="str">
        <f>VLOOKUP(Sales_Data!F306,Product_Master!$A$2:$D$11,2)</f>
        <v>Monitor</v>
      </c>
      <c r="N306" t="str">
        <f>VLOOKUP(F306,Product_Master!$A$2:$C$11,3)</f>
        <v>Electronics</v>
      </c>
      <c r="O306">
        <f>VLOOKUP(F306,Product_Master!$A$2:$D$11,4,FALSE)</f>
        <v>9000</v>
      </c>
      <c r="P306">
        <f t="shared" si="40"/>
        <v>96000</v>
      </c>
      <c r="Q306">
        <f t="shared" si="41"/>
        <v>11520</v>
      </c>
      <c r="R306">
        <f t="shared" si="42"/>
        <v>84480</v>
      </c>
      <c r="S306">
        <f t="shared" si="43"/>
        <v>12480</v>
      </c>
      <c r="T306" t="str">
        <f>_xlfn.CONCAT(Sales_Data!C306,"-",Sales_Data!E306,"-",Sales_Data!A306)</f>
        <v>South-C1050-1305</v>
      </c>
      <c r="U306" t="str">
        <f t="shared" si="44"/>
        <v>High Value</v>
      </c>
      <c r="V306" t="str" cm="1">
        <f t="array" ref="V306">_xlfn.IFS(R306&gt;=100000,"Excellent",R306&gt;=50000,"Good",R306&gt;=20000,"Average",TRUE,"Poor")</f>
        <v>Good</v>
      </c>
      <c r="W306">
        <f t="shared" si="45"/>
        <v>4</v>
      </c>
      <c r="X306" t="str">
        <f t="shared" si="46"/>
        <v>December</v>
      </c>
      <c r="Y306">
        <f>HLOOKUP("Q"&amp;W306,Bonus_HLookup!$A$1:$E$2,2,FALSE)</f>
        <v>0.08</v>
      </c>
      <c r="Z306">
        <f t="shared" si="47"/>
        <v>69606</v>
      </c>
      <c r="AA306" s="1">
        <f t="shared" si="48"/>
        <v>13652.483781552346</v>
      </c>
      <c r="AB306">
        <f t="shared" si="49"/>
        <v>190</v>
      </c>
    </row>
    <row r="307" spans="1:28" x14ac:dyDescent="0.3">
      <c r="A307">
        <v>1306</v>
      </c>
      <c r="B307" t="s">
        <v>294</v>
      </c>
      <c r="C307" t="s">
        <v>30</v>
      </c>
      <c r="D307" t="s">
        <v>59</v>
      </c>
      <c r="E307" t="s">
        <v>106</v>
      </c>
      <c r="F307" t="s">
        <v>52</v>
      </c>
      <c r="G307">
        <v>2</v>
      </c>
      <c r="H307">
        <v>500</v>
      </c>
      <c r="I307">
        <v>2</v>
      </c>
      <c r="J307">
        <v>284413</v>
      </c>
      <c r="K307">
        <v>11</v>
      </c>
      <c r="L307">
        <v>4</v>
      </c>
      <c r="M307" t="str">
        <f>VLOOKUP(Sales_Data!F307,Product_Master!$A$2:$D$11,2)</f>
        <v>Mouse</v>
      </c>
      <c r="N307" t="str">
        <f>VLOOKUP(F307,Product_Master!$A$2:$C$11,3)</f>
        <v>Accessories</v>
      </c>
      <c r="O307">
        <f>VLOOKUP(F307,Product_Master!$A$2:$D$11,4,FALSE)</f>
        <v>350</v>
      </c>
      <c r="P307">
        <f t="shared" si="40"/>
        <v>1000</v>
      </c>
      <c r="Q307">
        <f t="shared" si="41"/>
        <v>20</v>
      </c>
      <c r="R307">
        <f t="shared" si="42"/>
        <v>980</v>
      </c>
      <c r="S307">
        <f t="shared" si="43"/>
        <v>280</v>
      </c>
      <c r="T307" t="str">
        <f>_xlfn.CONCAT(Sales_Data!C307,"-",Sales_Data!E307,"-",Sales_Data!A307)</f>
        <v>South-C1004-1306</v>
      </c>
      <c r="U307" t="str">
        <f t="shared" si="44"/>
        <v>Regular</v>
      </c>
      <c r="V307" t="str" cm="1">
        <f t="array" ref="V307">_xlfn.IFS(R307&gt;=100000,"Excellent",R307&gt;=50000,"Good",R307&gt;=20000,"Average",TRUE,"Poor")</f>
        <v>Poor</v>
      </c>
      <c r="W307">
        <f t="shared" si="45"/>
        <v>3</v>
      </c>
      <c r="X307" t="str">
        <f t="shared" si="46"/>
        <v>July</v>
      </c>
      <c r="Y307">
        <f>HLOOKUP("Q"&amp;W307,Bonus_HLookup!$A$1:$E$2,2,FALSE)</f>
        <v>0.06</v>
      </c>
      <c r="Z307">
        <f t="shared" si="47"/>
        <v>125141.72</v>
      </c>
      <c r="AA307" s="1">
        <f t="shared" si="48"/>
        <v>7350.8026224911291</v>
      </c>
      <c r="AB307">
        <f t="shared" si="49"/>
        <v>966</v>
      </c>
    </row>
    <row r="308" spans="1:28" x14ac:dyDescent="0.3">
      <c r="A308">
        <v>1307</v>
      </c>
      <c r="B308" t="s">
        <v>205</v>
      </c>
      <c r="C308" t="s">
        <v>13</v>
      </c>
      <c r="D308" t="s">
        <v>59</v>
      </c>
      <c r="E308" t="s">
        <v>77</v>
      </c>
      <c r="F308" t="s">
        <v>16</v>
      </c>
      <c r="G308">
        <v>8</v>
      </c>
      <c r="H308">
        <v>2500</v>
      </c>
      <c r="I308">
        <v>8</v>
      </c>
      <c r="J308">
        <v>497668</v>
      </c>
      <c r="K308">
        <v>9</v>
      </c>
      <c r="L308">
        <v>4</v>
      </c>
      <c r="M308" t="str">
        <f>VLOOKUP(Sales_Data!F308,Product_Master!$A$2:$D$11,2)</f>
        <v>Speaker</v>
      </c>
      <c r="N308" t="str">
        <f>VLOOKUP(F308,Product_Master!$A$2:$C$11,3)</f>
        <v>Accessories</v>
      </c>
      <c r="O308">
        <f>VLOOKUP(F308,Product_Master!$A$2:$D$11,4,FALSE)</f>
        <v>1800</v>
      </c>
      <c r="P308">
        <f t="shared" si="40"/>
        <v>20000</v>
      </c>
      <c r="Q308">
        <f t="shared" si="41"/>
        <v>1600</v>
      </c>
      <c r="R308">
        <f t="shared" si="42"/>
        <v>18400</v>
      </c>
      <c r="S308">
        <f t="shared" si="43"/>
        <v>4000</v>
      </c>
      <c r="T308" t="str">
        <f>_xlfn.CONCAT(Sales_Data!C308,"-",Sales_Data!E308,"-",Sales_Data!A308)</f>
        <v>West-C1020-1307</v>
      </c>
      <c r="U308" t="str">
        <f t="shared" si="44"/>
        <v>Regular</v>
      </c>
      <c r="V308" t="str" cm="1">
        <f t="array" ref="V308">_xlfn.IFS(R308&gt;=100000,"Excellent",R308&gt;=50000,"Good",R308&gt;=20000,"Average",TRUE,"Poor")</f>
        <v>Poor</v>
      </c>
      <c r="W308">
        <f t="shared" si="45"/>
        <v>3</v>
      </c>
      <c r="X308" t="str">
        <f t="shared" si="46"/>
        <v>August</v>
      </c>
      <c r="Y308">
        <f>HLOOKUP("Q"&amp;W308,Bonus_HLookup!$A$1:$E$2,2,FALSE)</f>
        <v>0.06</v>
      </c>
      <c r="Z308">
        <f t="shared" si="47"/>
        <v>179160.48</v>
      </c>
      <c r="AA308" s="1">
        <f t="shared" si="48"/>
        <v>12384.48926815109</v>
      </c>
      <c r="AB308">
        <f t="shared" si="49"/>
        <v>473</v>
      </c>
    </row>
    <row r="309" spans="1:28" x14ac:dyDescent="0.3">
      <c r="A309">
        <v>1308</v>
      </c>
      <c r="B309" t="s">
        <v>226</v>
      </c>
      <c r="C309" t="s">
        <v>30</v>
      </c>
      <c r="D309" t="s">
        <v>59</v>
      </c>
      <c r="E309" t="s">
        <v>38</v>
      </c>
      <c r="F309" t="s">
        <v>36</v>
      </c>
      <c r="G309">
        <v>6</v>
      </c>
      <c r="H309">
        <v>55000</v>
      </c>
      <c r="I309">
        <v>15</v>
      </c>
      <c r="J309">
        <v>484940</v>
      </c>
      <c r="K309">
        <v>12</v>
      </c>
      <c r="L309">
        <v>4</v>
      </c>
      <c r="M309" t="str">
        <f>VLOOKUP(Sales_Data!F309,Product_Master!$A$2:$D$11,2)</f>
        <v>Laptop</v>
      </c>
      <c r="N309" t="str">
        <f>VLOOKUP(F309,Product_Master!$A$2:$C$11,3)</f>
        <v>Electronics</v>
      </c>
      <c r="O309">
        <f>VLOOKUP(F309,Product_Master!$A$2:$D$11,4,FALSE)</f>
        <v>45000</v>
      </c>
      <c r="P309">
        <f t="shared" si="40"/>
        <v>330000</v>
      </c>
      <c r="Q309">
        <f t="shared" si="41"/>
        <v>49500</v>
      </c>
      <c r="R309">
        <f t="shared" si="42"/>
        <v>280500</v>
      </c>
      <c r="S309">
        <f t="shared" si="43"/>
        <v>10500</v>
      </c>
      <c r="T309" t="str">
        <f>_xlfn.CONCAT(Sales_Data!C309,"-",Sales_Data!E309,"-",Sales_Data!A309)</f>
        <v>South-C1009-1308</v>
      </c>
      <c r="U309" t="str">
        <f t="shared" si="44"/>
        <v>High Value</v>
      </c>
      <c r="V309" t="str" cm="1">
        <f t="array" ref="V309">_xlfn.IFS(R309&gt;=100000,"Excellent",R309&gt;=50000,"Good",R309&gt;=20000,"Average",TRUE,"Poor")</f>
        <v>Excellent</v>
      </c>
      <c r="W309">
        <f t="shared" si="45"/>
        <v>3</v>
      </c>
      <c r="X309" t="str">
        <f t="shared" si="46"/>
        <v>July</v>
      </c>
      <c r="Y309">
        <f>HLOOKUP("Q"&amp;W309,Bonus_HLookup!$A$1:$E$2,2,FALSE)</f>
        <v>0.06</v>
      </c>
      <c r="Z309">
        <f t="shared" si="47"/>
        <v>232771.20000000001</v>
      </c>
      <c r="AA309" s="1">
        <f t="shared" si="48"/>
        <v>12770.33015435905</v>
      </c>
      <c r="AB309">
        <f t="shared" si="49"/>
        <v>59</v>
      </c>
    </row>
    <row r="310" spans="1:28" x14ac:dyDescent="0.3">
      <c r="A310">
        <v>1309</v>
      </c>
      <c r="B310" t="s">
        <v>123</v>
      </c>
      <c r="C310" t="s">
        <v>62</v>
      </c>
      <c r="D310" t="s">
        <v>19</v>
      </c>
      <c r="E310" t="s">
        <v>94</v>
      </c>
      <c r="F310" t="s">
        <v>28</v>
      </c>
      <c r="G310">
        <v>8</v>
      </c>
      <c r="H310">
        <v>950</v>
      </c>
      <c r="I310">
        <v>12</v>
      </c>
      <c r="J310">
        <v>480088</v>
      </c>
      <c r="K310">
        <v>12</v>
      </c>
      <c r="L310">
        <v>1</v>
      </c>
      <c r="M310" t="str">
        <f>VLOOKUP(Sales_Data!F310,Product_Master!$A$2:$D$11,2)</f>
        <v>Webcam</v>
      </c>
      <c r="N310" t="str">
        <f>VLOOKUP(F310,Product_Master!$A$2:$C$11,3)</f>
        <v>Accessories</v>
      </c>
      <c r="O310">
        <f>VLOOKUP(F310,Product_Master!$A$2:$D$11,4,FALSE)</f>
        <v>700</v>
      </c>
      <c r="P310">
        <f t="shared" si="40"/>
        <v>7600</v>
      </c>
      <c r="Q310">
        <f t="shared" si="41"/>
        <v>912</v>
      </c>
      <c r="R310">
        <f t="shared" si="42"/>
        <v>6688</v>
      </c>
      <c r="S310">
        <f t="shared" si="43"/>
        <v>1088</v>
      </c>
      <c r="T310" t="str">
        <f>_xlfn.CONCAT(Sales_Data!C310,"-",Sales_Data!E310,"-",Sales_Data!A310)</f>
        <v>East-C1027-1309</v>
      </c>
      <c r="U310" t="str">
        <f t="shared" si="44"/>
        <v>Regular</v>
      </c>
      <c r="V310" t="str" cm="1">
        <f t="array" ref="V310">_xlfn.IFS(R310&gt;=100000,"Excellent",R310&gt;=50000,"Good",R310&gt;=20000,"Average",TRUE,"Poor")</f>
        <v>Poor</v>
      </c>
      <c r="W310">
        <f t="shared" si="45"/>
        <v>1</v>
      </c>
      <c r="X310" t="str">
        <f t="shared" si="46"/>
        <v>February</v>
      </c>
      <c r="Y310">
        <f>HLOOKUP("Q"&amp;W310,Bonus_HLookup!$A$1:$E$2,2,FALSE)</f>
        <v>0.02</v>
      </c>
      <c r="Z310">
        <f t="shared" si="47"/>
        <v>57610.559999999998</v>
      </c>
      <c r="AA310" s="1">
        <f t="shared" si="48"/>
        <v>42655.237259007699</v>
      </c>
      <c r="AB310">
        <f t="shared" si="49"/>
        <v>732</v>
      </c>
    </row>
    <row r="311" spans="1:28" x14ac:dyDescent="0.3">
      <c r="A311">
        <v>1310</v>
      </c>
      <c r="B311" t="s">
        <v>295</v>
      </c>
      <c r="C311" t="s">
        <v>62</v>
      </c>
      <c r="D311" t="s">
        <v>91</v>
      </c>
      <c r="E311" t="s">
        <v>189</v>
      </c>
      <c r="F311" t="s">
        <v>69</v>
      </c>
      <c r="G311">
        <v>10</v>
      </c>
      <c r="H311">
        <v>2000</v>
      </c>
      <c r="I311">
        <v>2</v>
      </c>
      <c r="J311">
        <v>187045</v>
      </c>
      <c r="K311">
        <v>7</v>
      </c>
      <c r="L311">
        <v>5</v>
      </c>
      <c r="M311" t="str">
        <f>VLOOKUP(Sales_Data!F311,Product_Master!$A$2:$D$11,2)</f>
        <v>Headset</v>
      </c>
      <c r="N311" t="str">
        <f>VLOOKUP(F311,Product_Master!$A$2:$C$11,3)</f>
        <v>Accessories</v>
      </c>
      <c r="O311">
        <f>VLOOKUP(F311,Product_Master!$A$2:$D$11,4,FALSE)</f>
        <v>1500</v>
      </c>
      <c r="P311">
        <f t="shared" si="40"/>
        <v>20000</v>
      </c>
      <c r="Q311">
        <f t="shared" si="41"/>
        <v>400</v>
      </c>
      <c r="R311">
        <f t="shared" si="42"/>
        <v>19600</v>
      </c>
      <c r="S311">
        <f t="shared" si="43"/>
        <v>4600</v>
      </c>
      <c r="T311" t="str">
        <f>_xlfn.CONCAT(Sales_Data!C311,"-",Sales_Data!E311,"-",Sales_Data!A311)</f>
        <v>East-C1015-1310</v>
      </c>
      <c r="U311" t="str">
        <f t="shared" si="44"/>
        <v>Regular</v>
      </c>
      <c r="V311" t="str" cm="1">
        <f t="array" ref="V311">_xlfn.IFS(R311&gt;=100000,"Excellent",R311&gt;=50000,"Good",R311&gt;=20000,"Average",TRUE,"Poor")</f>
        <v>Poor</v>
      </c>
      <c r="W311">
        <f t="shared" si="45"/>
        <v>4</v>
      </c>
      <c r="X311" t="str">
        <f t="shared" si="46"/>
        <v>October</v>
      </c>
      <c r="Y311">
        <f>HLOOKUP("Q"&amp;W311,Bonus_HLookup!$A$1:$E$2,2,FALSE)</f>
        <v>0.08</v>
      </c>
      <c r="Z311">
        <f t="shared" si="47"/>
        <v>65465.75</v>
      </c>
      <c r="AA311" s="1">
        <f t="shared" si="48"/>
        <v>3703.7151809796787</v>
      </c>
      <c r="AB311">
        <f t="shared" si="49"/>
        <v>461</v>
      </c>
    </row>
    <row r="312" spans="1:28" x14ac:dyDescent="0.3">
      <c r="A312">
        <v>1311</v>
      </c>
      <c r="B312" t="s">
        <v>177</v>
      </c>
      <c r="C312" t="s">
        <v>18</v>
      </c>
      <c r="D312" t="s">
        <v>50</v>
      </c>
      <c r="E312" t="s">
        <v>165</v>
      </c>
      <c r="F312" t="s">
        <v>52</v>
      </c>
      <c r="G312">
        <v>4</v>
      </c>
      <c r="H312">
        <v>500</v>
      </c>
      <c r="I312">
        <v>0</v>
      </c>
      <c r="J312">
        <v>374440</v>
      </c>
      <c r="K312">
        <v>10</v>
      </c>
      <c r="L312">
        <v>3</v>
      </c>
      <c r="M312" t="str">
        <f>VLOOKUP(Sales_Data!F312,Product_Master!$A$2:$D$11,2)</f>
        <v>Mouse</v>
      </c>
      <c r="N312" t="str">
        <f>VLOOKUP(F312,Product_Master!$A$2:$C$11,3)</f>
        <v>Accessories</v>
      </c>
      <c r="O312">
        <f>VLOOKUP(F312,Product_Master!$A$2:$D$11,4,FALSE)</f>
        <v>350</v>
      </c>
      <c r="P312">
        <f t="shared" si="40"/>
        <v>2000</v>
      </c>
      <c r="Q312">
        <f t="shared" si="41"/>
        <v>0</v>
      </c>
      <c r="R312">
        <f t="shared" si="42"/>
        <v>2000</v>
      </c>
      <c r="S312">
        <f t="shared" si="43"/>
        <v>600</v>
      </c>
      <c r="T312" t="str">
        <f>_xlfn.CONCAT(Sales_Data!C312,"-",Sales_Data!E312,"-",Sales_Data!A312)</f>
        <v>North-C1042-1311</v>
      </c>
      <c r="U312" t="str">
        <f t="shared" si="44"/>
        <v>Regular</v>
      </c>
      <c r="V312" t="str" cm="1">
        <f t="array" ref="V312">_xlfn.IFS(R312&gt;=100000,"Excellent",R312&gt;=50000,"Good",R312&gt;=20000,"Average",TRUE,"Poor")</f>
        <v>Poor</v>
      </c>
      <c r="W312">
        <f t="shared" si="45"/>
        <v>2</v>
      </c>
      <c r="X312" t="str">
        <f t="shared" si="46"/>
        <v>May</v>
      </c>
      <c r="Y312">
        <f>HLOOKUP("Q"&amp;W312,Bonus_HLookup!$A$1:$E$2,2,FALSE)</f>
        <v>0.04</v>
      </c>
      <c r="Z312">
        <f t="shared" si="47"/>
        <v>112332</v>
      </c>
      <c r="AA312" s="1">
        <f t="shared" si="48"/>
        <v>12082.125572860508</v>
      </c>
      <c r="AB312">
        <f t="shared" si="49"/>
        <v>926</v>
      </c>
    </row>
    <row r="313" spans="1:28" x14ac:dyDescent="0.3">
      <c r="A313">
        <v>1312</v>
      </c>
      <c r="B313" t="s">
        <v>273</v>
      </c>
      <c r="C313" t="s">
        <v>62</v>
      </c>
      <c r="D313" t="s">
        <v>23</v>
      </c>
      <c r="E313" t="s">
        <v>15</v>
      </c>
      <c r="F313" t="s">
        <v>28</v>
      </c>
      <c r="G313">
        <v>6</v>
      </c>
      <c r="H313">
        <v>950</v>
      </c>
      <c r="I313">
        <v>2</v>
      </c>
      <c r="J313">
        <v>328439</v>
      </c>
      <c r="K313">
        <v>7</v>
      </c>
      <c r="L313">
        <v>2</v>
      </c>
      <c r="M313" t="str">
        <f>VLOOKUP(Sales_Data!F313,Product_Master!$A$2:$D$11,2)</f>
        <v>Webcam</v>
      </c>
      <c r="N313" t="str">
        <f>VLOOKUP(F313,Product_Master!$A$2:$C$11,3)</f>
        <v>Accessories</v>
      </c>
      <c r="O313">
        <f>VLOOKUP(F313,Product_Master!$A$2:$D$11,4,FALSE)</f>
        <v>700</v>
      </c>
      <c r="P313">
        <f t="shared" si="40"/>
        <v>5700</v>
      </c>
      <c r="Q313">
        <f t="shared" si="41"/>
        <v>114</v>
      </c>
      <c r="R313">
        <f t="shared" si="42"/>
        <v>5586</v>
      </c>
      <c r="S313">
        <f t="shared" si="43"/>
        <v>1386</v>
      </c>
      <c r="T313" t="str">
        <f>_xlfn.CONCAT(Sales_Data!C313,"-",Sales_Data!E313,"-",Sales_Data!A313)</f>
        <v>East-C1016-1312</v>
      </c>
      <c r="U313" t="str">
        <f t="shared" si="44"/>
        <v>Regular</v>
      </c>
      <c r="V313" t="str" cm="1">
        <f t="array" ref="V313">_xlfn.IFS(R313&gt;=100000,"Excellent",R313&gt;=50000,"Good",R313&gt;=20000,"Average",TRUE,"Poor")</f>
        <v>Poor</v>
      </c>
      <c r="W313">
        <f t="shared" si="45"/>
        <v>1</v>
      </c>
      <c r="X313" t="str">
        <f t="shared" si="46"/>
        <v>March</v>
      </c>
      <c r="Y313">
        <f>HLOOKUP("Q"&amp;W313,Bonus_HLookup!$A$1:$E$2,2,FALSE)</f>
        <v>0.02</v>
      </c>
      <c r="Z313">
        <f t="shared" si="47"/>
        <v>45981.46</v>
      </c>
      <c r="AA313" s="1">
        <f t="shared" si="48"/>
        <v>14705.061108057977</v>
      </c>
      <c r="AB313">
        <f t="shared" si="49"/>
        <v>770</v>
      </c>
    </row>
    <row r="314" spans="1:28" x14ac:dyDescent="0.3">
      <c r="A314">
        <v>1313</v>
      </c>
      <c r="B314" t="s">
        <v>296</v>
      </c>
      <c r="C314" t="s">
        <v>62</v>
      </c>
      <c r="D314" t="s">
        <v>14</v>
      </c>
      <c r="E314" t="s">
        <v>131</v>
      </c>
      <c r="F314" t="s">
        <v>74</v>
      </c>
      <c r="G314">
        <v>7</v>
      </c>
      <c r="H314">
        <v>35000</v>
      </c>
      <c r="I314">
        <v>8</v>
      </c>
      <c r="J314">
        <v>379750</v>
      </c>
      <c r="K314">
        <v>11</v>
      </c>
      <c r="L314">
        <v>4</v>
      </c>
      <c r="M314" t="str">
        <f>VLOOKUP(Sales_Data!F314,Product_Master!$A$2:$D$11,2)</f>
        <v>Tablet</v>
      </c>
      <c r="N314" t="str">
        <f>VLOOKUP(F314,Product_Master!$A$2:$C$11,3)</f>
        <v>Electronics</v>
      </c>
      <c r="O314">
        <f>VLOOKUP(F314,Product_Master!$A$2:$D$11,4,FALSE)</f>
        <v>29000</v>
      </c>
      <c r="P314">
        <f t="shared" si="40"/>
        <v>245000</v>
      </c>
      <c r="Q314">
        <f t="shared" si="41"/>
        <v>19600</v>
      </c>
      <c r="R314">
        <f t="shared" si="42"/>
        <v>225400</v>
      </c>
      <c r="S314">
        <f t="shared" si="43"/>
        <v>22400</v>
      </c>
      <c r="T314" t="str">
        <f>_xlfn.CONCAT(Sales_Data!C314,"-",Sales_Data!E314,"-",Sales_Data!A314)</f>
        <v>East-C1047-1313</v>
      </c>
      <c r="U314" t="str">
        <f t="shared" si="44"/>
        <v>High Value</v>
      </c>
      <c r="V314" t="str" cm="1">
        <f t="array" ref="V314">_xlfn.IFS(R314&gt;=100000,"Excellent",R314&gt;=50000,"Good",R314&gt;=20000,"Average",TRUE,"Poor")</f>
        <v>Excellent</v>
      </c>
      <c r="W314">
        <f t="shared" si="45"/>
        <v>2</v>
      </c>
      <c r="X314" t="str">
        <f t="shared" si="46"/>
        <v>May</v>
      </c>
      <c r="Y314">
        <f>HLOOKUP("Q"&amp;W314,Bonus_HLookup!$A$1:$E$2,2,FALSE)</f>
        <v>0.04</v>
      </c>
      <c r="Z314">
        <f t="shared" si="47"/>
        <v>167090</v>
      </c>
      <c r="AA314" s="1">
        <f t="shared" si="48"/>
        <v>9814.837211699205</v>
      </c>
      <c r="AB314">
        <f t="shared" si="49"/>
        <v>93</v>
      </c>
    </row>
    <row r="315" spans="1:28" x14ac:dyDescent="0.3">
      <c r="A315">
        <v>1314</v>
      </c>
      <c r="B315" t="s">
        <v>124</v>
      </c>
      <c r="C315" t="s">
        <v>62</v>
      </c>
      <c r="D315" t="s">
        <v>50</v>
      </c>
      <c r="E315" t="s">
        <v>51</v>
      </c>
      <c r="F315" t="s">
        <v>21</v>
      </c>
      <c r="G315">
        <v>10</v>
      </c>
      <c r="H315">
        <v>12000</v>
      </c>
      <c r="I315">
        <v>0</v>
      </c>
      <c r="J315">
        <v>312351</v>
      </c>
      <c r="K315">
        <v>8</v>
      </c>
      <c r="L315">
        <v>4</v>
      </c>
      <c r="M315" t="str">
        <f>VLOOKUP(Sales_Data!F315,Product_Master!$A$2:$D$11,2)</f>
        <v>Monitor</v>
      </c>
      <c r="N315" t="str">
        <f>VLOOKUP(F315,Product_Master!$A$2:$C$11,3)</f>
        <v>Electronics</v>
      </c>
      <c r="O315">
        <f>VLOOKUP(F315,Product_Master!$A$2:$D$11,4,FALSE)</f>
        <v>9000</v>
      </c>
      <c r="P315">
        <f t="shared" si="40"/>
        <v>120000</v>
      </c>
      <c r="Q315">
        <f t="shared" si="41"/>
        <v>0</v>
      </c>
      <c r="R315">
        <f t="shared" si="42"/>
        <v>120000</v>
      </c>
      <c r="S315">
        <f t="shared" si="43"/>
        <v>30000</v>
      </c>
      <c r="T315" t="str">
        <f>_xlfn.CONCAT(Sales_Data!C315,"-",Sales_Data!E315,"-",Sales_Data!A315)</f>
        <v>East-C1002-1314</v>
      </c>
      <c r="U315" t="str">
        <f t="shared" si="44"/>
        <v>High Value</v>
      </c>
      <c r="V315" t="str" cm="1">
        <f t="array" ref="V315">_xlfn.IFS(R315&gt;=100000,"Excellent",R315&gt;=50000,"Good",R315&gt;=20000,"Average",TRUE,"Poor")</f>
        <v>Excellent</v>
      </c>
      <c r="W315">
        <f t="shared" si="45"/>
        <v>4</v>
      </c>
      <c r="X315" t="str">
        <f t="shared" si="46"/>
        <v>October</v>
      </c>
      <c r="Y315">
        <f>HLOOKUP("Q"&amp;W315,Bonus_HLookup!$A$1:$E$2,2,FALSE)</f>
        <v>0.08</v>
      </c>
      <c r="Z315">
        <f t="shared" si="47"/>
        <v>99952.320000000007</v>
      </c>
      <c r="AA315" s="1">
        <f t="shared" si="48"/>
        <v>7625.4007062906421</v>
      </c>
      <c r="AB315">
        <f t="shared" si="49"/>
        <v>143</v>
      </c>
    </row>
    <row r="316" spans="1:28" x14ac:dyDescent="0.3">
      <c r="A316">
        <v>1315</v>
      </c>
      <c r="B316" t="s">
        <v>295</v>
      </c>
      <c r="C316" t="s">
        <v>13</v>
      </c>
      <c r="D316" t="s">
        <v>91</v>
      </c>
      <c r="E316" t="s">
        <v>54</v>
      </c>
      <c r="F316" t="s">
        <v>39</v>
      </c>
      <c r="G316">
        <v>2</v>
      </c>
      <c r="H316">
        <v>7000</v>
      </c>
      <c r="I316">
        <v>15</v>
      </c>
      <c r="J316">
        <v>106047</v>
      </c>
      <c r="K316">
        <v>10</v>
      </c>
      <c r="L316">
        <v>2</v>
      </c>
      <c r="M316" t="str">
        <f>VLOOKUP(Sales_Data!F316,Product_Master!$A$2:$D$11,2)</f>
        <v>Router</v>
      </c>
      <c r="N316" t="str">
        <f>VLOOKUP(F316,Product_Master!$A$2:$C$11,3)</f>
        <v>Electronics</v>
      </c>
      <c r="O316">
        <f>VLOOKUP(F316,Product_Master!$A$2:$D$11,4,FALSE)</f>
        <v>5000</v>
      </c>
      <c r="P316">
        <f t="shared" si="40"/>
        <v>14000</v>
      </c>
      <c r="Q316">
        <f t="shared" si="41"/>
        <v>2100</v>
      </c>
      <c r="R316">
        <f t="shared" si="42"/>
        <v>11900</v>
      </c>
      <c r="S316">
        <f t="shared" si="43"/>
        <v>1900</v>
      </c>
      <c r="T316" t="str">
        <f>_xlfn.CONCAT(Sales_Data!C316,"-",Sales_Data!E316,"-",Sales_Data!A316)</f>
        <v>West-C1034-1315</v>
      </c>
      <c r="U316" t="str">
        <f t="shared" si="44"/>
        <v>Regular</v>
      </c>
      <c r="V316" t="str" cm="1">
        <f t="array" ref="V316">_xlfn.IFS(R316&gt;=100000,"Excellent",R316&gt;=50000,"Good",R316&gt;=20000,"Average",TRUE,"Poor")</f>
        <v>Poor</v>
      </c>
      <c r="W316">
        <f t="shared" si="45"/>
        <v>4</v>
      </c>
      <c r="X316" t="str">
        <f t="shared" si="46"/>
        <v>October</v>
      </c>
      <c r="Y316">
        <f>HLOOKUP("Q"&amp;W316,Bonus_HLookup!$A$1:$E$2,2,FALSE)</f>
        <v>0.08</v>
      </c>
      <c r="Z316">
        <f t="shared" si="47"/>
        <v>21209.4</v>
      </c>
      <c r="AA316" s="1">
        <f t="shared" si="48"/>
        <v>4893.5310033146125</v>
      </c>
      <c r="AB316">
        <f t="shared" si="49"/>
        <v>592</v>
      </c>
    </row>
    <row r="317" spans="1:28" x14ac:dyDescent="0.3">
      <c r="A317">
        <v>1316</v>
      </c>
      <c r="B317" t="s">
        <v>297</v>
      </c>
      <c r="C317" t="s">
        <v>30</v>
      </c>
      <c r="D317" t="s">
        <v>91</v>
      </c>
      <c r="E317" t="s">
        <v>66</v>
      </c>
      <c r="F317" t="s">
        <v>16</v>
      </c>
      <c r="G317">
        <v>9</v>
      </c>
      <c r="H317">
        <v>2500</v>
      </c>
      <c r="I317">
        <v>15</v>
      </c>
      <c r="J317">
        <v>145063</v>
      </c>
      <c r="K317">
        <v>10</v>
      </c>
      <c r="L317">
        <v>3</v>
      </c>
      <c r="M317" t="str">
        <f>VLOOKUP(Sales_Data!F317,Product_Master!$A$2:$D$11,2)</f>
        <v>Speaker</v>
      </c>
      <c r="N317" t="str">
        <f>VLOOKUP(F317,Product_Master!$A$2:$C$11,3)</f>
        <v>Accessories</v>
      </c>
      <c r="O317">
        <f>VLOOKUP(F317,Product_Master!$A$2:$D$11,4,FALSE)</f>
        <v>1800</v>
      </c>
      <c r="P317">
        <f t="shared" si="40"/>
        <v>22500</v>
      </c>
      <c r="Q317">
        <f t="shared" si="41"/>
        <v>3375</v>
      </c>
      <c r="R317">
        <f t="shared" si="42"/>
        <v>19125</v>
      </c>
      <c r="S317">
        <f t="shared" si="43"/>
        <v>2925</v>
      </c>
      <c r="T317" t="str">
        <f>_xlfn.CONCAT(Sales_Data!C317,"-",Sales_Data!E317,"-",Sales_Data!A317)</f>
        <v>South-C1010-1316</v>
      </c>
      <c r="U317" t="str">
        <f t="shared" si="44"/>
        <v>Regular</v>
      </c>
      <c r="V317" t="str" cm="1">
        <f t="array" ref="V317">_xlfn.IFS(R317&gt;=100000,"Excellent",R317&gt;=50000,"Good",R317&gt;=20000,"Average",TRUE,"Poor")</f>
        <v>Poor</v>
      </c>
      <c r="W317">
        <f t="shared" si="45"/>
        <v>4</v>
      </c>
      <c r="X317" t="str">
        <f t="shared" si="46"/>
        <v>October</v>
      </c>
      <c r="Y317">
        <f>HLOOKUP("Q"&amp;W317,Bonus_HLookup!$A$1:$E$2,2,FALSE)</f>
        <v>0.08</v>
      </c>
      <c r="Z317">
        <f t="shared" si="47"/>
        <v>43518.9</v>
      </c>
      <c r="AA317" s="1">
        <f t="shared" si="48"/>
        <v>4680.774975899647</v>
      </c>
      <c r="AB317">
        <f t="shared" si="49"/>
        <v>464</v>
      </c>
    </row>
    <row r="318" spans="1:28" x14ac:dyDescent="0.3">
      <c r="A318">
        <v>1317</v>
      </c>
      <c r="B318" t="s">
        <v>179</v>
      </c>
      <c r="C318" t="s">
        <v>18</v>
      </c>
      <c r="D318" t="s">
        <v>91</v>
      </c>
      <c r="E318" t="s">
        <v>151</v>
      </c>
      <c r="F318" t="s">
        <v>16</v>
      </c>
      <c r="G318">
        <v>5</v>
      </c>
      <c r="H318">
        <v>2500</v>
      </c>
      <c r="I318">
        <v>10</v>
      </c>
      <c r="J318">
        <v>341572</v>
      </c>
      <c r="K318">
        <v>8</v>
      </c>
      <c r="L318">
        <v>3</v>
      </c>
      <c r="M318" t="str">
        <f>VLOOKUP(Sales_Data!F318,Product_Master!$A$2:$D$11,2)</f>
        <v>Speaker</v>
      </c>
      <c r="N318" t="str">
        <f>VLOOKUP(F318,Product_Master!$A$2:$C$11,3)</f>
        <v>Accessories</v>
      </c>
      <c r="O318">
        <f>VLOOKUP(F318,Product_Master!$A$2:$D$11,4,FALSE)</f>
        <v>1800</v>
      </c>
      <c r="P318">
        <f t="shared" si="40"/>
        <v>12500</v>
      </c>
      <c r="Q318">
        <f t="shared" si="41"/>
        <v>1250</v>
      </c>
      <c r="R318">
        <f t="shared" si="42"/>
        <v>11250</v>
      </c>
      <c r="S318">
        <f t="shared" si="43"/>
        <v>2250</v>
      </c>
      <c r="T318" t="str">
        <f>_xlfn.CONCAT(Sales_Data!C318,"-",Sales_Data!E318,"-",Sales_Data!A318)</f>
        <v>North-C1001-1317</v>
      </c>
      <c r="U318" t="str">
        <f t="shared" si="44"/>
        <v>Regular</v>
      </c>
      <c r="V318" t="str" cm="1">
        <f t="array" ref="V318">_xlfn.IFS(R318&gt;=100000,"Excellent",R318&gt;=50000,"Good",R318&gt;=20000,"Average",TRUE,"Poor")</f>
        <v>Poor</v>
      </c>
      <c r="W318">
        <f t="shared" si="45"/>
        <v>3</v>
      </c>
      <c r="X318" t="str">
        <f t="shared" si="46"/>
        <v>August</v>
      </c>
      <c r="Y318">
        <f>HLOOKUP("Q"&amp;W318,Bonus_HLookup!$A$1:$E$2,2,FALSE)</f>
        <v>0.06</v>
      </c>
      <c r="Z318">
        <f t="shared" si="47"/>
        <v>81977.279999999999</v>
      </c>
      <c r="AA318" s="1">
        <f t="shared" si="48"/>
        <v>10703.625023391858</v>
      </c>
      <c r="AB318">
        <f t="shared" si="49"/>
        <v>612</v>
      </c>
    </row>
    <row r="319" spans="1:28" x14ac:dyDescent="0.3">
      <c r="A319">
        <v>1318</v>
      </c>
      <c r="B319" t="s">
        <v>298</v>
      </c>
      <c r="C319" t="s">
        <v>13</v>
      </c>
      <c r="D319" t="s">
        <v>33</v>
      </c>
      <c r="E319" t="s">
        <v>174</v>
      </c>
      <c r="F319" t="s">
        <v>74</v>
      </c>
      <c r="G319">
        <v>6</v>
      </c>
      <c r="H319">
        <v>35000</v>
      </c>
      <c r="I319">
        <v>0</v>
      </c>
      <c r="J319">
        <v>69114</v>
      </c>
      <c r="K319">
        <v>12</v>
      </c>
      <c r="L319">
        <v>5</v>
      </c>
      <c r="M319" t="str">
        <f>VLOOKUP(Sales_Data!F319,Product_Master!$A$2:$D$11,2)</f>
        <v>Tablet</v>
      </c>
      <c r="N319" t="str">
        <f>VLOOKUP(F319,Product_Master!$A$2:$C$11,3)</f>
        <v>Electronics</v>
      </c>
      <c r="O319">
        <f>VLOOKUP(F319,Product_Master!$A$2:$D$11,4,FALSE)</f>
        <v>29000</v>
      </c>
      <c r="P319">
        <f t="shared" si="40"/>
        <v>210000</v>
      </c>
      <c r="Q319">
        <f t="shared" si="41"/>
        <v>0</v>
      </c>
      <c r="R319">
        <f t="shared" si="42"/>
        <v>210000</v>
      </c>
      <c r="S319">
        <f t="shared" si="43"/>
        <v>36000</v>
      </c>
      <c r="T319" t="str">
        <f>_xlfn.CONCAT(Sales_Data!C319,"-",Sales_Data!E319,"-",Sales_Data!A319)</f>
        <v>West-C1044-1318</v>
      </c>
      <c r="U319" t="str">
        <f t="shared" si="44"/>
        <v>High Value</v>
      </c>
      <c r="V319" t="str" cm="1">
        <f t="array" ref="V319">_xlfn.IFS(R319&gt;=100000,"Excellent",R319&gt;=50000,"Good",R319&gt;=20000,"Average",TRUE,"Poor")</f>
        <v>Excellent</v>
      </c>
      <c r="W319">
        <f t="shared" si="45"/>
        <v>1</v>
      </c>
      <c r="X319" t="str">
        <f t="shared" si="46"/>
        <v>February</v>
      </c>
      <c r="Y319">
        <f>HLOOKUP("Q"&amp;W319,Bonus_HLookup!$A$1:$E$2,2,FALSE)</f>
        <v>0.02</v>
      </c>
      <c r="Z319">
        <f t="shared" si="47"/>
        <v>41468.400000000001</v>
      </c>
      <c r="AA319" s="1">
        <f t="shared" si="48"/>
        <v>1537.4027572943012</v>
      </c>
      <c r="AB319">
        <f t="shared" si="49"/>
        <v>100</v>
      </c>
    </row>
    <row r="320" spans="1:28" x14ac:dyDescent="0.3">
      <c r="A320">
        <v>1319</v>
      </c>
      <c r="B320" t="s">
        <v>299</v>
      </c>
      <c r="C320" t="s">
        <v>30</v>
      </c>
      <c r="D320" t="s">
        <v>50</v>
      </c>
      <c r="E320" t="s">
        <v>122</v>
      </c>
      <c r="F320" t="s">
        <v>52</v>
      </c>
      <c r="G320">
        <v>1</v>
      </c>
      <c r="H320">
        <v>500</v>
      </c>
      <c r="I320">
        <v>12</v>
      </c>
      <c r="J320">
        <v>335600</v>
      </c>
      <c r="K320">
        <v>7</v>
      </c>
      <c r="L320">
        <v>2</v>
      </c>
      <c r="M320" t="str">
        <f>VLOOKUP(Sales_Data!F320,Product_Master!$A$2:$D$11,2)</f>
        <v>Mouse</v>
      </c>
      <c r="N320" t="str">
        <f>VLOOKUP(F320,Product_Master!$A$2:$C$11,3)</f>
        <v>Accessories</v>
      </c>
      <c r="O320">
        <f>VLOOKUP(F320,Product_Master!$A$2:$D$11,4,FALSE)</f>
        <v>350</v>
      </c>
      <c r="P320">
        <f t="shared" si="40"/>
        <v>500</v>
      </c>
      <c r="Q320">
        <f t="shared" si="41"/>
        <v>60</v>
      </c>
      <c r="R320">
        <f t="shared" si="42"/>
        <v>440</v>
      </c>
      <c r="S320">
        <f t="shared" si="43"/>
        <v>90</v>
      </c>
      <c r="T320" t="str">
        <f>_xlfn.CONCAT(Sales_Data!C320,"-",Sales_Data!E320,"-",Sales_Data!A320)</f>
        <v>South-C1046-1319</v>
      </c>
      <c r="U320" t="str">
        <f t="shared" si="44"/>
        <v>Regular</v>
      </c>
      <c r="V320" t="str" cm="1">
        <f t="array" ref="V320">_xlfn.IFS(R320&gt;=100000,"Excellent",R320&gt;=50000,"Good",R320&gt;=20000,"Average",TRUE,"Poor")</f>
        <v>Poor</v>
      </c>
      <c r="W320">
        <f t="shared" si="45"/>
        <v>4</v>
      </c>
      <c r="X320" t="str">
        <f t="shared" si="46"/>
        <v>December</v>
      </c>
      <c r="Y320">
        <f>HLOOKUP("Q"&amp;W320,Bonus_HLookup!$A$1:$E$2,2,FALSE)</f>
        <v>0.08</v>
      </c>
      <c r="Z320">
        <f t="shared" si="47"/>
        <v>46984</v>
      </c>
      <c r="AA320" s="1">
        <f t="shared" si="48"/>
        <v>15025.677547015603</v>
      </c>
      <c r="AB320">
        <f t="shared" si="49"/>
        <v>997</v>
      </c>
    </row>
    <row r="321" spans="1:28" x14ac:dyDescent="0.3">
      <c r="A321">
        <v>1320</v>
      </c>
      <c r="B321" t="s">
        <v>268</v>
      </c>
      <c r="C321" t="s">
        <v>62</v>
      </c>
      <c r="D321" t="s">
        <v>33</v>
      </c>
      <c r="E321" t="s">
        <v>172</v>
      </c>
      <c r="F321" t="s">
        <v>36</v>
      </c>
      <c r="G321">
        <v>8</v>
      </c>
      <c r="H321">
        <v>55000</v>
      </c>
      <c r="I321">
        <v>15</v>
      </c>
      <c r="J321">
        <v>297910</v>
      </c>
      <c r="K321">
        <v>7</v>
      </c>
      <c r="L321">
        <v>1</v>
      </c>
      <c r="M321" t="str">
        <f>VLOOKUP(Sales_Data!F321,Product_Master!$A$2:$D$11,2)</f>
        <v>Laptop</v>
      </c>
      <c r="N321" t="str">
        <f>VLOOKUP(F321,Product_Master!$A$2:$C$11,3)</f>
        <v>Electronics</v>
      </c>
      <c r="O321">
        <f>VLOOKUP(F321,Product_Master!$A$2:$D$11,4,FALSE)</f>
        <v>45000</v>
      </c>
      <c r="P321">
        <f t="shared" si="40"/>
        <v>440000</v>
      </c>
      <c r="Q321">
        <f t="shared" si="41"/>
        <v>66000</v>
      </c>
      <c r="R321">
        <f t="shared" si="42"/>
        <v>374000</v>
      </c>
      <c r="S321">
        <f t="shared" si="43"/>
        <v>14000</v>
      </c>
      <c r="T321" t="str">
        <f>_xlfn.CONCAT(Sales_Data!C321,"-",Sales_Data!E321,"-",Sales_Data!A321)</f>
        <v>East-C1033-1320</v>
      </c>
      <c r="U321" t="str">
        <f t="shared" si="44"/>
        <v>High Value</v>
      </c>
      <c r="V321" t="str" cm="1">
        <f t="array" ref="V321">_xlfn.IFS(R321&gt;=100000,"Excellent",R321&gt;=50000,"Good",R321&gt;=20000,"Average",TRUE,"Poor")</f>
        <v>Excellent</v>
      </c>
      <c r="W321">
        <f t="shared" si="45"/>
        <v>3</v>
      </c>
      <c r="X321" t="str">
        <f t="shared" si="46"/>
        <v>September</v>
      </c>
      <c r="Y321">
        <f>HLOOKUP("Q"&amp;W321,Bonus_HLookup!$A$1:$E$2,2,FALSE)</f>
        <v>0.06</v>
      </c>
      <c r="Z321">
        <f t="shared" si="47"/>
        <v>20853.7</v>
      </c>
      <c r="AA321" s="1">
        <f t="shared" si="48"/>
        <v>25777.182930096307</v>
      </c>
      <c r="AB321">
        <f t="shared" si="49"/>
        <v>27</v>
      </c>
    </row>
    <row r="322" spans="1:28" x14ac:dyDescent="0.3">
      <c r="A322">
        <v>1321</v>
      </c>
      <c r="B322" t="s">
        <v>271</v>
      </c>
      <c r="C322" t="s">
        <v>18</v>
      </c>
      <c r="D322" t="s">
        <v>59</v>
      </c>
      <c r="E322" t="s">
        <v>60</v>
      </c>
      <c r="F322" t="s">
        <v>16</v>
      </c>
      <c r="G322">
        <v>9</v>
      </c>
      <c r="H322">
        <v>2500</v>
      </c>
      <c r="I322">
        <v>8</v>
      </c>
      <c r="J322">
        <v>373230</v>
      </c>
      <c r="K322">
        <v>10</v>
      </c>
      <c r="L322">
        <v>5</v>
      </c>
      <c r="M322" t="str">
        <f>VLOOKUP(Sales_Data!F322,Product_Master!$A$2:$D$11,2)</f>
        <v>Speaker</v>
      </c>
      <c r="N322" t="str">
        <f>VLOOKUP(F322,Product_Master!$A$2:$C$11,3)</f>
        <v>Accessories</v>
      </c>
      <c r="O322">
        <f>VLOOKUP(F322,Product_Master!$A$2:$D$11,4,FALSE)</f>
        <v>1800</v>
      </c>
      <c r="P322">
        <f t="shared" si="40"/>
        <v>22500</v>
      </c>
      <c r="Q322">
        <f t="shared" si="41"/>
        <v>1800</v>
      </c>
      <c r="R322">
        <f t="shared" si="42"/>
        <v>20700</v>
      </c>
      <c r="S322">
        <f t="shared" si="43"/>
        <v>4500</v>
      </c>
      <c r="T322" t="str">
        <f>_xlfn.CONCAT(Sales_Data!C322,"-",Sales_Data!E322,"-",Sales_Data!A322)</f>
        <v>North-C1018-1321</v>
      </c>
      <c r="U322" t="str">
        <f t="shared" si="44"/>
        <v>Regular</v>
      </c>
      <c r="V322" t="str" cm="1">
        <f t="array" ref="V322">_xlfn.IFS(R322&gt;=100000,"Excellent",R322&gt;=50000,"Good",R322&gt;=20000,"Average",TRUE,"Poor")</f>
        <v>Average</v>
      </c>
      <c r="W322">
        <f t="shared" si="45"/>
        <v>3</v>
      </c>
      <c r="X322" t="str">
        <f t="shared" si="46"/>
        <v>September</v>
      </c>
      <c r="Y322">
        <f>HLOOKUP("Q"&amp;W322,Bonus_HLookup!$A$1:$E$2,2,FALSE)</f>
        <v>0.06</v>
      </c>
      <c r="Z322">
        <f t="shared" si="47"/>
        <v>186615</v>
      </c>
      <c r="AA322" s="1">
        <f t="shared" si="48"/>
        <v>7930.0344975866592</v>
      </c>
      <c r="AB322">
        <f t="shared" si="49"/>
        <v>438</v>
      </c>
    </row>
    <row r="323" spans="1:28" x14ac:dyDescent="0.3">
      <c r="A323">
        <v>1322</v>
      </c>
      <c r="B323" t="s">
        <v>300</v>
      </c>
      <c r="C323" t="s">
        <v>62</v>
      </c>
      <c r="D323" t="s">
        <v>19</v>
      </c>
      <c r="E323" t="s">
        <v>15</v>
      </c>
      <c r="F323" t="s">
        <v>69</v>
      </c>
      <c r="G323">
        <v>7</v>
      </c>
      <c r="H323">
        <v>2000</v>
      </c>
      <c r="I323">
        <v>15</v>
      </c>
      <c r="J323">
        <v>415455</v>
      </c>
      <c r="K323">
        <v>11</v>
      </c>
      <c r="L323">
        <v>4</v>
      </c>
      <c r="M323" t="str">
        <f>VLOOKUP(Sales_Data!F323,Product_Master!$A$2:$D$11,2)</f>
        <v>Headset</v>
      </c>
      <c r="N323" t="str">
        <f>VLOOKUP(F323,Product_Master!$A$2:$C$11,3)</f>
        <v>Accessories</v>
      </c>
      <c r="O323">
        <f>VLOOKUP(F323,Product_Master!$A$2:$D$11,4,FALSE)</f>
        <v>1500</v>
      </c>
      <c r="P323">
        <f t="shared" ref="P323:P386" si="50">H323*G323</f>
        <v>14000</v>
      </c>
      <c r="Q323">
        <f t="shared" ref="Q323:Q386" si="51">P323*(I323/100)</f>
        <v>2100</v>
      </c>
      <c r="R323">
        <f t="shared" ref="R323:R386" si="52">P323-Q323</f>
        <v>11900</v>
      </c>
      <c r="S323">
        <f t="shared" ref="S323:S386" si="53">R323-(G323*O323)</f>
        <v>1400</v>
      </c>
      <c r="T323" t="str">
        <f>_xlfn.CONCAT(Sales_Data!C323,"-",Sales_Data!E323,"-",Sales_Data!A323)</f>
        <v>East-C1016-1322</v>
      </c>
      <c r="U323" t="str">
        <f t="shared" ref="U323:U386" si="54">IF(R323&gt;=50000,"High Value","Regular")</f>
        <v>Regular</v>
      </c>
      <c r="V323" t="str" cm="1">
        <f t="array" ref="V323">_xlfn.IFS(R323&gt;=100000,"Excellent",R323&gt;=50000,"Good",R323&gt;=20000,"Average",TRUE,"Poor")</f>
        <v>Poor</v>
      </c>
      <c r="W323">
        <f t="shared" ref="W323:W386" si="55">ROUNDUP(MONTH(B323)/3,0)</f>
        <v>2</v>
      </c>
      <c r="X323" t="str">
        <f t="shared" ref="X323:X386" si="56">TEXT(B323,"mmmm")</f>
        <v>June</v>
      </c>
      <c r="Y323">
        <f>HLOOKUP("Q"&amp;W323,Bonus_HLookup!$A$1:$E$2,2,FALSE)</f>
        <v>0.04</v>
      </c>
      <c r="Z323">
        <f t="shared" ref="Z323:Z386" si="57">(J323*K323*L323)/100</f>
        <v>182800.2</v>
      </c>
      <c r="AA323" s="1">
        <f t="shared" ref="AA323:AA386" si="58">PMT(K323/1200,L323*12,-J323)</f>
        <v>10737.651596541129</v>
      </c>
      <c r="AB323">
        <f t="shared" ref="AB323:AB386" si="59">RANK(R323,$R$2:$R$1001)</f>
        <v>592</v>
      </c>
    </row>
    <row r="324" spans="1:28" x14ac:dyDescent="0.3">
      <c r="A324">
        <v>1323</v>
      </c>
      <c r="B324" t="s">
        <v>301</v>
      </c>
      <c r="C324" t="s">
        <v>18</v>
      </c>
      <c r="D324" t="s">
        <v>46</v>
      </c>
      <c r="E324" t="s">
        <v>34</v>
      </c>
      <c r="F324" t="s">
        <v>42</v>
      </c>
      <c r="G324">
        <v>4</v>
      </c>
      <c r="H324">
        <v>8000</v>
      </c>
      <c r="I324">
        <v>12</v>
      </c>
      <c r="J324">
        <v>261227</v>
      </c>
      <c r="K324">
        <v>7</v>
      </c>
      <c r="L324">
        <v>3</v>
      </c>
      <c r="M324" t="str">
        <f>VLOOKUP(Sales_Data!F324,Product_Master!$A$2:$D$11,2)</f>
        <v>Printer</v>
      </c>
      <c r="N324" t="str">
        <f>VLOOKUP(F324,Product_Master!$A$2:$C$11,3)</f>
        <v>Electronics</v>
      </c>
      <c r="O324">
        <f>VLOOKUP(F324,Product_Master!$A$2:$D$11,4,FALSE)</f>
        <v>6500</v>
      </c>
      <c r="P324">
        <f t="shared" si="50"/>
        <v>32000</v>
      </c>
      <c r="Q324">
        <f t="shared" si="51"/>
        <v>3840</v>
      </c>
      <c r="R324">
        <f t="shared" si="52"/>
        <v>28160</v>
      </c>
      <c r="S324">
        <f t="shared" si="53"/>
        <v>2160</v>
      </c>
      <c r="T324" t="str">
        <f>_xlfn.CONCAT(Sales_Data!C324,"-",Sales_Data!E324,"-",Sales_Data!A324)</f>
        <v>North-C1036-1323</v>
      </c>
      <c r="U324" t="str">
        <f t="shared" si="54"/>
        <v>Regular</v>
      </c>
      <c r="V324" t="str" cm="1">
        <f t="array" ref="V324">_xlfn.IFS(R324&gt;=100000,"Excellent",R324&gt;=50000,"Good",R324&gt;=20000,"Average",TRUE,"Poor")</f>
        <v>Average</v>
      </c>
      <c r="W324">
        <f t="shared" si="55"/>
        <v>2</v>
      </c>
      <c r="X324" t="str">
        <f t="shared" si="56"/>
        <v>May</v>
      </c>
      <c r="Y324">
        <f>HLOOKUP("Q"&amp;W324,Bonus_HLookup!$A$1:$E$2,2,FALSE)</f>
        <v>0.04</v>
      </c>
      <c r="Z324">
        <f t="shared" si="57"/>
        <v>54857.67</v>
      </c>
      <c r="AA324" s="1">
        <f t="shared" si="58"/>
        <v>8065.9313828505155</v>
      </c>
      <c r="AB324">
        <f t="shared" si="59"/>
        <v>388</v>
      </c>
    </row>
    <row r="325" spans="1:28" x14ac:dyDescent="0.3">
      <c r="A325">
        <v>1324</v>
      </c>
      <c r="B325" t="s">
        <v>273</v>
      </c>
      <c r="C325" t="s">
        <v>13</v>
      </c>
      <c r="D325" t="s">
        <v>23</v>
      </c>
      <c r="E325" t="s">
        <v>140</v>
      </c>
      <c r="F325" t="s">
        <v>25</v>
      </c>
      <c r="G325">
        <v>2</v>
      </c>
      <c r="H325">
        <v>1500</v>
      </c>
      <c r="I325">
        <v>8</v>
      </c>
      <c r="J325">
        <v>283036</v>
      </c>
      <c r="K325">
        <v>8</v>
      </c>
      <c r="L325">
        <v>3</v>
      </c>
      <c r="M325" t="str">
        <f>VLOOKUP(Sales_Data!F325,Product_Master!$A$2:$D$11,2)</f>
        <v>Keyboard</v>
      </c>
      <c r="N325" t="str">
        <f>VLOOKUP(F325,Product_Master!$A$2:$C$11,3)</f>
        <v>Accessories</v>
      </c>
      <c r="O325">
        <f>VLOOKUP(F325,Product_Master!$A$2:$D$11,4,FALSE)</f>
        <v>1200</v>
      </c>
      <c r="P325">
        <f t="shared" si="50"/>
        <v>3000</v>
      </c>
      <c r="Q325">
        <f t="shared" si="51"/>
        <v>240</v>
      </c>
      <c r="R325">
        <f t="shared" si="52"/>
        <v>2760</v>
      </c>
      <c r="S325">
        <f t="shared" si="53"/>
        <v>360</v>
      </c>
      <c r="T325" t="str">
        <f>_xlfn.CONCAT(Sales_Data!C325,"-",Sales_Data!E325,"-",Sales_Data!A325)</f>
        <v>West-C1011-1324</v>
      </c>
      <c r="U325" t="str">
        <f t="shared" si="54"/>
        <v>Regular</v>
      </c>
      <c r="V325" t="str" cm="1">
        <f t="array" ref="V325">_xlfn.IFS(R325&gt;=100000,"Excellent",R325&gt;=50000,"Good",R325&gt;=20000,"Average",TRUE,"Poor")</f>
        <v>Poor</v>
      </c>
      <c r="W325">
        <f t="shared" si="55"/>
        <v>1</v>
      </c>
      <c r="X325" t="str">
        <f t="shared" si="56"/>
        <v>March</v>
      </c>
      <c r="Y325">
        <f>HLOOKUP("Q"&amp;W325,Bonus_HLookup!$A$1:$E$2,2,FALSE)</f>
        <v>0.02</v>
      </c>
      <c r="Z325">
        <f t="shared" si="57"/>
        <v>67928.639999999999</v>
      </c>
      <c r="AA325" s="1">
        <f t="shared" si="58"/>
        <v>8869.3195347415422</v>
      </c>
      <c r="AB325">
        <f t="shared" si="59"/>
        <v>893</v>
      </c>
    </row>
    <row r="326" spans="1:28" x14ac:dyDescent="0.3">
      <c r="A326">
        <v>1325</v>
      </c>
      <c r="B326" t="s">
        <v>302</v>
      </c>
      <c r="C326" t="s">
        <v>18</v>
      </c>
      <c r="D326" t="s">
        <v>50</v>
      </c>
      <c r="E326" t="s">
        <v>85</v>
      </c>
      <c r="F326" t="s">
        <v>21</v>
      </c>
      <c r="G326">
        <v>9</v>
      </c>
      <c r="H326">
        <v>12000</v>
      </c>
      <c r="I326">
        <v>0</v>
      </c>
      <c r="J326">
        <v>364232</v>
      </c>
      <c r="K326">
        <v>11</v>
      </c>
      <c r="L326">
        <v>2</v>
      </c>
      <c r="M326" t="str">
        <f>VLOOKUP(Sales_Data!F326,Product_Master!$A$2:$D$11,2)</f>
        <v>Monitor</v>
      </c>
      <c r="N326" t="str">
        <f>VLOOKUP(F326,Product_Master!$A$2:$C$11,3)</f>
        <v>Electronics</v>
      </c>
      <c r="O326">
        <f>VLOOKUP(F326,Product_Master!$A$2:$D$11,4,FALSE)</f>
        <v>9000</v>
      </c>
      <c r="P326">
        <f t="shared" si="50"/>
        <v>108000</v>
      </c>
      <c r="Q326">
        <f t="shared" si="51"/>
        <v>0</v>
      </c>
      <c r="R326">
        <f t="shared" si="52"/>
        <v>108000</v>
      </c>
      <c r="S326">
        <f t="shared" si="53"/>
        <v>27000</v>
      </c>
      <c r="T326" t="str">
        <f>_xlfn.CONCAT(Sales_Data!C326,"-",Sales_Data!E326,"-",Sales_Data!A326)</f>
        <v>North-C1005-1325</v>
      </c>
      <c r="U326" t="str">
        <f t="shared" si="54"/>
        <v>High Value</v>
      </c>
      <c r="V326" t="str" cm="1">
        <f t="array" ref="V326">_xlfn.IFS(R326&gt;=100000,"Excellent",R326&gt;=50000,"Good",R326&gt;=20000,"Average",TRUE,"Poor")</f>
        <v>Excellent</v>
      </c>
      <c r="W326">
        <f t="shared" si="55"/>
        <v>1</v>
      </c>
      <c r="X326" t="str">
        <f t="shared" si="56"/>
        <v>January</v>
      </c>
      <c r="Y326">
        <f>HLOOKUP("Q"&amp;W326,Bonus_HLookup!$A$1:$E$2,2,FALSE)</f>
        <v>0.02</v>
      </c>
      <c r="Z326">
        <f t="shared" si="57"/>
        <v>80131.039999999994</v>
      </c>
      <c r="AA326" s="1">
        <f t="shared" si="58"/>
        <v>16976.066121996715</v>
      </c>
      <c r="AB326">
        <f t="shared" si="59"/>
        <v>154</v>
      </c>
    </row>
    <row r="327" spans="1:28" x14ac:dyDescent="0.3">
      <c r="A327">
        <v>1326</v>
      </c>
      <c r="B327" t="s">
        <v>126</v>
      </c>
      <c r="C327" t="s">
        <v>62</v>
      </c>
      <c r="D327" t="s">
        <v>23</v>
      </c>
      <c r="E327" t="s">
        <v>187</v>
      </c>
      <c r="F327" t="s">
        <v>36</v>
      </c>
      <c r="G327">
        <v>3</v>
      </c>
      <c r="H327">
        <v>55000</v>
      </c>
      <c r="I327">
        <v>5</v>
      </c>
      <c r="J327">
        <v>171834</v>
      </c>
      <c r="K327">
        <v>7</v>
      </c>
      <c r="L327">
        <v>4</v>
      </c>
      <c r="M327" t="str">
        <f>VLOOKUP(Sales_Data!F327,Product_Master!$A$2:$D$11,2)</f>
        <v>Laptop</v>
      </c>
      <c r="N327" t="str">
        <f>VLOOKUP(F327,Product_Master!$A$2:$C$11,3)</f>
        <v>Electronics</v>
      </c>
      <c r="O327">
        <f>VLOOKUP(F327,Product_Master!$A$2:$D$11,4,FALSE)</f>
        <v>45000</v>
      </c>
      <c r="P327">
        <f t="shared" si="50"/>
        <v>165000</v>
      </c>
      <c r="Q327">
        <f t="shared" si="51"/>
        <v>8250</v>
      </c>
      <c r="R327">
        <f t="shared" si="52"/>
        <v>156750</v>
      </c>
      <c r="S327">
        <f t="shared" si="53"/>
        <v>21750</v>
      </c>
      <c r="T327" t="str">
        <f>_xlfn.CONCAT(Sales_Data!C327,"-",Sales_Data!E327,"-",Sales_Data!A327)</f>
        <v>East-C1041-1326</v>
      </c>
      <c r="U327" t="str">
        <f t="shared" si="54"/>
        <v>High Value</v>
      </c>
      <c r="V327" t="str" cm="1">
        <f t="array" ref="V327">_xlfn.IFS(R327&gt;=100000,"Excellent",R327&gt;=50000,"Good",R327&gt;=20000,"Average",TRUE,"Poor")</f>
        <v>Excellent</v>
      </c>
      <c r="W327">
        <f t="shared" si="55"/>
        <v>2</v>
      </c>
      <c r="X327" t="str">
        <f t="shared" si="56"/>
        <v>June</v>
      </c>
      <c r="Y327">
        <f>HLOOKUP("Q"&amp;W327,Bonus_HLookup!$A$1:$E$2,2,FALSE)</f>
        <v>0.04</v>
      </c>
      <c r="Z327">
        <f t="shared" si="57"/>
        <v>48113.52</v>
      </c>
      <c r="AA327" s="1">
        <f t="shared" si="58"/>
        <v>4114.7790053262152</v>
      </c>
      <c r="AB327">
        <f t="shared" si="59"/>
        <v>129</v>
      </c>
    </row>
    <row r="328" spans="1:28" x14ac:dyDescent="0.3">
      <c r="A328">
        <v>1327</v>
      </c>
      <c r="B328" t="s">
        <v>260</v>
      </c>
      <c r="C328" t="s">
        <v>30</v>
      </c>
      <c r="D328" t="s">
        <v>19</v>
      </c>
      <c r="E328" t="s">
        <v>102</v>
      </c>
      <c r="F328" t="s">
        <v>21</v>
      </c>
      <c r="G328">
        <v>8</v>
      </c>
      <c r="H328">
        <v>12000</v>
      </c>
      <c r="I328">
        <v>2</v>
      </c>
      <c r="J328">
        <v>375815</v>
      </c>
      <c r="K328">
        <v>9</v>
      </c>
      <c r="L328">
        <v>4</v>
      </c>
      <c r="M328" t="str">
        <f>VLOOKUP(Sales_Data!F328,Product_Master!$A$2:$D$11,2)</f>
        <v>Monitor</v>
      </c>
      <c r="N328" t="str">
        <f>VLOOKUP(F328,Product_Master!$A$2:$C$11,3)</f>
        <v>Electronics</v>
      </c>
      <c r="O328">
        <f>VLOOKUP(F328,Product_Master!$A$2:$D$11,4,FALSE)</f>
        <v>9000</v>
      </c>
      <c r="P328">
        <f t="shared" si="50"/>
        <v>96000</v>
      </c>
      <c r="Q328">
        <f t="shared" si="51"/>
        <v>1920</v>
      </c>
      <c r="R328">
        <f t="shared" si="52"/>
        <v>94080</v>
      </c>
      <c r="S328">
        <f t="shared" si="53"/>
        <v>22080</v>
      </c>
      <c r="T328" t="str">
        <f>_xlfn.CONCAT(Sales_Data!C328,"-",Sales_Data!E328,"-",Sales_Data!A328)</f>
        <v>South-C1049-1327</v>
      </c>
      <c r="U328" t="str">
        <f t="shared" si="54"/>
        <v>High Value</v>
      </c>
      <c r="V328" t="str" cm="1">
        <f t="array" ref="V328">_xlfn.IFS(R328&gt;=100000,"Excellent",R328&gt;=50000,"Good",R328&gt;=20000,"Average",TRUE,"Poor")</f>
        <v>Good</v>
      </c>
      <c r="W328">
        <f t="shared" si="55"/>
        <v>2</v>
      </c>
      <c r="X328" t="str">
        <f t="shared" si="56"/>
        <v>April</v>
      </c>
      <c r="Y328">
        <f>HLOOKUP("Q"&amp;W328,Bonus_HLookup!$A$1:$E$2,2,FALSE)</f>
        <v>0.04</v>
      </c>
      <c r="Z328">
        <f t="shared" si="57"/>
        <v>135293.4</v>
      </c>
      <c r="AA328" s="1">
        <f t="shared" si="58"/>
        <v>9352.1721997600835</v>
      </c>
      <c r="AB328">
        <f t="shared" si="59"/>
        <v>176</v>
      </c>
    </row>
    <row r="329" spans="1:28" x14ac:dyDescent="0.3">
      <c r="A329">
        <v>1328</v>
      </c>
      <c r="B329" t="s">
        <v>216</v>
      </c>
      <c r="C329" t="s">
        <v>13</v>
      </c>
      <c r="D329" t="s">
        <v>23</v>
      </c>
      <c r="E329" t="s">
        <v>122</v>
      </c>
      <c r="F329" t="s">
        <v>21</v>
      </c>
      <c r="G329">
        <v>6</v>
      </c>
      <c r="H329">
        <v>12000</v>
      </c>
      <c r="I329">
        <v>10</v>
      </c>
      <c r="J329">
        <v>350773</v>
      </c>
      <c r="K329">
        <v>8</v>
      </c>
      <c r="L329">
        <v>1</v>
      </c>
      <c r="M329" t="str">
        <f>VLOOKUP(Sales_Data!F329,Product_Master!$A$2:$D$11,2)</f>
        <v>Monitor</v>
      </c>
      <c r="N329" t="str">
        <f>VLOOKUP(F329,Product_Master!$A$2:$C$11,3)</f>
        <v>Electronics</v>
      </c>
      <c r="O329">
        <f>VLOOKUP(F329,Product_Master!$A$2:$D$11,4,FALSE)</f>
        <v>9000</v>
      </c>
      <c r="P329">
        <f t="shared" si="50"/>
        <v>72000</v>
      </c>
      <c r="Q329">
        <f t="shared" si="51"/>
        <v>7200</v>
      </c>
      <c r="R329">
        <f t="shared" si="52"/>
        <v>64800</v>
      </c>
      <c r="S329">
        <f t="shared" si="53"/>
        <v>10800</v>
      </c>
      <c r="T329" t="str">
        <f>_xlfn.CONCAT(Sales_Data!C329,"-",Sales_Data!E329,"-",Sales_Data!A329)</f>
        <v>West-C1046-1328</v>
      </c>
      <c r="U329" t="str">
        <f t="shared" si="54"/>
        <v>High Value</v>
      </c>
      <c r="V329" t="str" cm="1">
        <f t="array" ref="V329">_xlfn.IFS(R329&gt;=100000,"Excellent",R329&gt;=50000,"Good",R329&gt;=20000,"Average",TRUE,"Poor")</f>
        <v>Good</v>
      </c>
      <c r="W329">
        <f t="shared" si="55"/>
        <v>1</v>
      </c>
      <c r="X329" t="str">
        <f t="shared" si="56"/>
        <v>February</v>
      </c>
      <c r="Y329">
        <f>HLOOKUP("Q"&amp;W329,Bonus_HLookup!$A$1:$E$2,2,FALSE)</f>
        <v>0.02</v>
      </c>
      <c r="Z329">
        <f t="shared" si="57"/>
        <v>28061.84</v>
      </c>
      <c r="AA329" s="1">
        <f t="shared" si="58"/>
        <v>30513.192235580405</v>
      </c>
      <c r="AB329">
        <f t="shared" si="59"/>
        <v>231</v>
      </c>
    </row>
    <row r="330" spans="1:28" x14ac:dyDescent="0.3">
      <c r="A330">
        <v>1329</v>
      </c>
      <c r="B330" t="s">
        <v>232</v>
      </c>
      <c r="C330" t="s">
        <v>30</v>
      </c>
      <c r="D330" t="s">
        <v>46</v>
      </c>
      <c r="E330" t="s">
        <v>31</v>
      </c>
      <c r="F330" t="s">
        <v>52</v>
      </c>
      <c r="G330">
        <v>4</v>
      </c>
      <c r="H330">
        <v>500</v>
      </c>
      <c r="I330">
        <v>12</v>
      </c>
      <c r="J330">
        <v>396075</v>
      </c>
      <c r="K330">
        <v>9</v>
      </c>
      <c r="L330">
        <v>5</v>
      </c>
      <c r="M330" t="str">
        <f>VLOOKUP(Sales_Data!F330,Product_Master!$A$2:$D$11,2)</f>
        <v>Mouse</v>
      </c>
      <c r="N330" t="str">
        <f>VLOOKUP(F330,Product_Master!$A$2:$C$11,3)</f>
        <v>Accessories</v>
      </c>
      <c r="O330">
        <f>VLOOKUP(F330,Product_Master!$A$2:$D$11,4,FALSE)</f>
        <v>350</v>
      </c>
      <c r="P330">
        <f t="shared" si="50"/>
        <v>2000</v>
      </c>
      <c r="Q330">
        <f t="shared" si="51"/>
        <v>240</v>
      </c>
      <c r="R330">
        <f t="shared" si="52"/>
        <v>1760</v>
      </c>
      <c r="S330">
        <f t="shared" si="53"/>
        <v>360</v>
      </c>
      <c r="T330" t="str">
        <f>_xlfn.CONCAT(Sales_Data!C330,"-",Sales_Data!E330,"-",Sales_Data!A330)</f>
        <v>South-C1025-1329</v>
      </c>
      <c r="U330" t="str">
        <f t="shared" si="54"/>
        <v>Regular</v>
      </c>
      <c r="V330" t="str" cm="1">
        <f t="array" ref="V330">_xlfn.IFS(R330&gt;=100000,"Excellent",R330&gt;=50000,"Good",R330&gt;=20000,"Average",TRUE,"Poor")</f>
        <v>Poor</v>
      </c>
      <c r="W330">
        <f t="shared" si="55"/>
        <v>2</v>
      </c>
      <c r="X330" t="str">
        <f t="shared" si="56"/>
        <v>April</v>
      </c>
      <c r="Y330">
        <f>HLOOKUP("Q"&amp;W330,Bonus_HLookup!$A$1:$E$2,2,FALSE)</f>
        <v>0.04</v>
      </c>
      <c r="Z330">
        <f t="shared" si="57"/>
        <v>178233.75</v>
      </c>
      <c r="AA330" s="1">
        <f t="shared" si="58"/>
        <v>8221.8655462781644</v>
      </c>
      <c r="AB330">
        <f t="shared" si="59"/>
        <v>944</v>
      </c>
    </row>
    <row r="331" spans="1:28" x14ac:dyDescent="0.3">
      <c r="A331">
        <v>1330</v>
      </c>
      <c r="B331" t="s">
        <v>303</v>
      </c>
      <c r="C331" t="s">
        <v>62</v>
      </c>
      <c r="D331" t="s">
        <v>33</v>
      </c>
      <c r="E331" t="s">
        <v>99</v>
      </c>
      <c r="F331" t="s">
        <v>74</v>
      </c>
      <c r="G331">
        <v>6</v>
      </c>
      <c r="H331">
        <v>35000</v>
      </c>
      <c r="I331">
        <v>12</v>
      </c>
      <c r="J331">
        <v>118312</v>
      </c>
      <c r="K331">
        <v>11</v>
      </c>
      <c r="L331">
        <v>1</v>
      </c>
      <c r="M331" t="str">
        <f>VLOOKUP(Sales_Data!F331,Product_Master!$A$2:$D$11,2)</f>
        <v>Tablet</v>
      </c>
      <c r="N331" t="str">
        <f>VLOOKUP(F331,Product_Master!$A$2:$C$11,3)</f>
        <v>Electronics</v>
      </c>
      <c r="O331">
        <f>VLOOKUP(F331,Product_Master!$A$2:$D$11,4,FALSE)</f>
        <v>29000</v>
      </c>
      <c r="P331">
        <f t="shared" si="50"/>
        <v>210000</v>
      </c>
      <c r="Q331">
        <f t="shared" si="51"/>
        <v>25200</v>
      </c>
      <c r="R331">
        <f t="shared" si="52"/>
        <v>184800</v>
      </c>
      <c r="S331">
        <f t="shared" si="53"/>
        <v>10800</v>
      </c>
      <c r="T331" t="str">
        <f>_xlfn.CONCAT(Sales_Data!C331,"-",Sales_Data!E331,"-",Sales_Data!A331)</f>
        <v>East-C1050-1330</v>
      </c>
      <c r="U331" t="str">
        <f t="shared" si="54"/>
        <v>High Value</v>
      </c>
      <c r="V331" t="str" cm="1">
        <f t="array" ref="V331">_xlfn.IFS(R331&gt;=100000,"Excellent",R331&gt;=50000,"Good",R331&gt;=20000,"Average",TRUE,"Poor")</f>
        <v>Excellent</v>
      </c>
      <c r="W331">
        <f t="shared" si="55"/>
        <v>3</v>
      </c>
      <c r="X331" t="str">
        <f t="shared" si="56"/>
        <v>September</v>
      </c>
      <c r="Y331">
        <f>HLOOKUP("Q"&amp;W331,Bonus_HLookup!$A$1:$E$2,2,FALSE)</f>
        <v>0.06</v>
      </c>
      <c r="Z331">
        <f t="shared" si="57"/>
        <v>13014.32</v>
      </c>
      <c r="AA331" s="1">
        <f t="shared" si="58"/>
        <v>10456.610783008016</v>
      </c>
      <c r="AB331">
        <f t="shared" si="59"/>
        <v>118</v>
      </c>
    </row>
    <row r="332" spans="1:28" x14ac:dyDescent="0.3">
      <c r="A332">
        <v>1331</v>
      </c>
      <c r="B332" t="s">
        <v>215</v>
      </c>
      <c r="C332" t="s">
        <v>18</v>
      </c>
      <c r="D332" t="s">
        <v>23</v>
      </c>
      <c r="E332" t="s">
        <v>57</v>
      </c>
      <c r="F332" t="s">
        <v>21</v>
      </c>
      <c r="G332">
        <v>2</v>
      </c>
      <c r="H332">
        <v>12000</v>
      </c>
      <c r="I332">
        <v>15</v>
      </c>
      <c r="J332">
        <v>89662</v>
      </c>
      <c r="K332">
        <v>12</v>
      </c>
      <c r="L332">
        <v>4</v>
      </c>
      <c r="M332" t="str">
        <f>VLOOKUP(Sales_Data!F332,Product_Master!$A$2:$D$11,2)</f>
        <v>Monitor</v>
      </c>
      <c r="N332" t="str">
        <f>VLOOKUP(F332,Product_Master!$A$2:$C$11,3)</f>
        <v>Electronics</v>
      </c>
      <c r="O332">
        <f>VLOOKUP(F332,Product_Master!$A$2:$D$11,4,FALSE)</f>
        <v>9000</v>
      </c>
      <c r="P332">
        <f t="shared" si="50"/>
        <v>24000</v>
      </c>
      <c r="Q332">
        <f t="shared" si="51"/>
        <v>3600</v>
      </c>
      <c r="R332">
        <f t="shared" si="52"/>
        <v>20400</v>
      </c>
      <c r="S332">
        <f t="shared" si="53"/>
        <v>2400</v>
      </c>
      <c r="T332" t="str">
        <f>_xlfn.CONCAT(Sales_Data!C332,"-",Sales_Data!E332,"-",Sales_Data!A332)</f>
        <v>North-C1012-1331</v>
      </c>
      <c r="U332" t="str">
        <f t="shared" si="54"/>
        <v>Regular</v>
      </c>
      <c r="V332" t="str" cm="1">
        <f t="array" ref="V332">_xlfn.IFS(R332&gt;=100000,"Excellent",R332&gt;=50000,"Good",R332&gt;=20000,"Average",TRUE,"Poor")</f>
        <v>Average</v>
      </c>
      <c r="W332">
        <f t="shared" si="55"/>
        <v>1</v>
      </c>
      <c r="X332" t="str">
        <f t="shared" si="56"/>
        <v>March</v>
      </c>
      <c r="Y332">
        <f>HLOOKUP("Q"&amp;W332,Bonus_HLookup!$A$1:$E$2,2,FALSE)</f>
        <v>0.02</v>
      </c>
      <c r="Z332">
        <f t="shared" si="57"/>
        <v>43037.760000000002</v>
      </c>
      <c r="AA332" s="1">
        <f t="shared" si="58"/>
        <v>2361.1443524975075</v>
      </c>
      <c r="AB332">
        <f t="shared" si="59"/>
        <v>446</v>
      </c>
    </row>
    <row r="333" spans="1:28" x14ac:dyDescent="0.3">
      <c r="A333">
        <v>1332</v>
      </c>
      <c r="B333" t="s">
        <v>304</v>
      </c>
      <c r="C333" t="s">
        <v>30</v>
      </c>
      <c r="D333" t="s">
        <v>50</v>
      </c>
      <c r="E333" t="s">
        <v>82</v>
      </c>
      <c r="F333" t="s">
        <v>16</v>
      </c>
      <c r="G333">
        <v>7</v>
      </c>
      <c r="H333">
        <v>2500</v>
      </c>
      <c r="I333">
        <v>2</v>
      </c>
      <c r="J333">
        <v>371525</v>
      </c>
      <c r="K333">
        <v>10</v>
      </c>
      <c r="L333">
        <v>1</v>
      </c>
      <c r="M333" t="str">
        <f>VLOOKUP(Sales_Data!F333,Product_Master!$A$2:$D$11,2)</f>
        <v>Speaker</v>
      </c>
      <c r="N333" t="str">
        <f>VLOOKUP(F333,Product_Master!$A$2:$C$11,3)</f>
        <v>Accessories</v>
      </c>
      <c r="O333">
        <f>VLOOKUP(F333,Product_Master!$A$2:$D$11,4,FALSE)</f>
        <v>1800</v>
      </c>
      <c r="P333">
        <f t="shared" si="50"/>
        <v>17500</v>
      </c>
      <c r="Q333">
        <f t="shared" si="51"/>
        <v>350</v>
      </c>
      <c r="R333">
        <f t="shared" si="52"/>
        <v>17150</v>
      </c>
      <c r="S333">
        <f t="shared" si="53"/>
        <v>4550</v>
      </c>
      <c r="T333" t="str">
        <f>_xlfn.CONCAT(Sales_Data!C333,"-",Sales_Data!E333,"-",Sales_Data!A333)</f>
        <v>South-C1045-1332</v>
      </c>
      <c r="U333" t="str">
        <f t="shared" si="54"/>
        <v>Regular</v>
      </c>
      <c r="V333" t="str" cm="1">
        <f t="array" ref="V333">_xlfn.IFS(R333&gt;=100000,"Excellent",R333&gt;=50000,"Good",R333&gt;=20000,"Average",TRUE,"Poor")</f>
        <v>Poor</v>
      </c>
      <c r="W333">
        <f t="shared" si="55"/>
        <v>2</v>
      </c>
      <c r="X333" t="str">
        <f t="shared" si="56"/>
        <v>April</v>
      </c>
      <c r="Y333">
        <f>HLOOKUP("Q"&amp;W333,Bonus_HLookup!$A$1:$E$2,2,FALSE)</f>
        <v>0.04</v>
      </c>
      <c r="Z333">
        <f t="shared" si="57"/>
        <v>37152.5</v>
      </c>
      <c r="AA333" s="1">
        <f t="shared" si="58"/>
        <v>32662.950003129314</v>
      </c>
      <c r="AB333">
        <f t="shared" si="59"/>
        <v>498</v>
      </c>
    </row>
    <row r="334" spans="1:28" x14ac:dyDescent="0.3">
      <c r="A334">
        <v>1333</v>
      </c>
      <c r="B334" t="s">
        <v>305</v>
      </c>
      <c r="C334" t="s">
        <v>62</v>
      </c>
      <c r="D334" t="s">
        <v>19</v>
      </c>
      <c r="E334" t="s">
        <v>146</v>
      </c>
      <c r="F334" t="s">
        <v>36</v>
      </c>
      <c r="G334">
        <v>5</v>
      </c>
      <c r="H334">
        <v>55000</v>
      </c>
      <c r="I334">
        <v>10</v>
      </c>
      <c r="J334">
        <v>433713</v>
      </c>
      <c r="K334">
        <v>8</v>
      </c>
      <c r="L334">
        <v>3</v>
      </c>
      <c r="M334" t="str">
        <f>VLOOKUP(Sales_Data!F334,Product_Master!$A$2:$D$11,2)</f>
        <v>Laptop</v>
      </c>
      <c r="N334" t="str">
        <f>VLOOKUP(F334,Product_Master!$A$2:$C$11,3)</f>
        <v>Electronics</v>
      </c>
      <c r="O334">
        <f>VLOOKUP(F334,Product_Master!$A$2:$D$11,4,FALSE)</f>
        <v>45000</v>
      </c>
      <c r="P334">
        <f t="shared" si="50"/>
        <v>275000</v>
      </c>
      <c r="Q334">
        <f t="shared" si="51"/>
        <v>27500</v>
      </c>
      <c r="R334">
        <f t="shared" si="52"/>
        <v>247500</v>
      </c>
      <c r="S334">
        <f t="shared" si="53"/>
        <v>22500</v>
      </c>
      <c r="T334" t="str">
        <f>_xlfn.CONCAT(Sales_Data!C334,"-",Sales_Data!E334,"-",Sales_Data!A334)</f>
        <v>East-C1017-1333</v>
      </c>
      <c r="U334" t="str">
        <f t="shared" si="54"/>
        <v>High Value</v>
      </c>
      <c r="V334" t="str" cm="1">
        <f t="array" ref="V334">_xlfn.IFS(R334&gt;=100000,"Excellent",R334&gt;=50000,"Good",R334&gt;=20000,"Average",TRUE,"Poor")</f>
        <v>Excellent</v>
      </c>
      <c r="W334">
        <f t="shared" si="55"/>
        <v>3</v>
      </c>
      <c r="X334" t="str">
        <f t="shared" si="56"/>
        <v>August</v>
      </c>
      <c r="Y334">
        <f>HLOOKUP("Q"&amp;W334,Bonus_HLookup!$A$1:$E$2,2,FALSE)</f>
        <v>0.06</v>
      </c>
      <c r="Z334">
        <f t="shared" si="57"/>
        <v>104091.12</v>
      </c>
      <c r="AA334" s="1">
        <f t="shared" si="58"/>
        <v>13590.989073373557</v>
      </c>
      <c r="AB334">
        <f t="shared" si="59"/>
        <v>81</v>
      </c>
    </row>
    <row r="335" spans="1:28" x14ac:dyDescent="0.3">
      <c r="A335">
        <v>1334</v>
      </c>
      <c r="B335" t="s">
        <v>268</v>
      </c>
      <c r="C335" t="s">
        <v>30</v>
      </c>
      <c r="D335" t="s">
        <v>91</v>
      </c>
      <c r="E335" t="s">
        <v>172</v>
      </c>
      <c r="F335" t="s">
        <v>39</v>
      </c>
      <c r="G335">
        <v>3</v>
      </c>
      <c r="H335">
        <v>7000</v>
      </c>
      <c r="I335">
        <v>2</v>
      </c>
      <c r="J335">
        <v>378132</v>
      </c>
      <c r="K335">
        <v>8</v>
      </c>
      <c r="L335">
        <v>3</v>
      </c>
      <c r="M335" t="str">
        <f>VLOOKUP(Sales_Data!F335,Product_Master!$A$2:$D$11,2)</f>
        <v>Router</v>
      </c>
      <c r="N335" t="str">
        <f>VLOOKUP(F335,Product_Master!$A$2:$C$11,3)</f>
        <v>Electronics</v>
      </c>
      <c r="O335">
        <f>VLOOKUP(F335,Product_Master!$A$2:$D$11,4,FALSE)</f>
        <v>5000</v>
      </c>
      <c r="P335">
        <f t="shared" si="50"/>
        <v>21000</v>
      </c>
      <c r="Q335">
        <f t="shared" si="51"/>
        <v>420</v>
      </c>
      <c r="R335">
        <f t="shared" si="52"/>
        <v>20580</v>
      </c>
      <c r="S335">
        <f t="shared" si="53"/>
        <v>5580</v>
      </c>
      <c r="T335" t="str">
        <f>_xlfn.CONCAT(Sales_Data!C335,"-",Sales_Data!E335,"-",Sales_Data!A335)</f>
        <v>South-C1033-1334</v>
      </c>
      <c r="U335" t="str">
        <f t="shared" si="54"/>
        <v>Regular</v>
      </c>
      <c r="V335" t="str" cm="1">
        <f t="array" ref="V335">_xlfn.IFS(R335&gt;=100000,"Excellent",R335&gt;=50000,"Good",R335&gt;=20000,"Average",TRUE,"Poor")</f>
        <v>Average</v>
      </c>
      <c r="W335">
        <f t="shared" si="55"/>
        <v>3</v>
      </c>
      <c r="X335" t="str">
        <f t="shared" si="56"/>
        <v>September</v>
      </c>
      <c r="Y335">
        <f>HLOOKUP("Q"&amp;W335,Bonus_HLookup!$A$1:$E$2,2,FALSE)</f>
        <v>0.06</v>
      </c>
      <c r="Z335">
        <f t="shared" si="57"/>
        <v>90751.679999999993</v>
      </c>
      <c r="AA335" s="1">
        <f t="shared" si="58"/>
        <v>11849.28254466177</v>
      </c>
      <c r="AB335">
        <f t="shared" si="59"/>
        <v>442</v>
      </c>
    </row>
    <row r="336" spans="1:28" x14ac:dyDescent="0.3">
      <c r="A336">
        <v>1335</v>
      </c>
      <c r="B336" t="s">
        <v>132</v>
      </c>
      <c r="C336" t="s">
        <v>18</v>
      </c>
      <c r="D336" t="s">
        <v>33</v>
      </c>
      <c r="E336" t="s">
        <v>102</v>
      </c>
      <c r="F336" t="s">
        <v>69</v>
      </c>
      <c r="G336">
        <v>10</v>
      </c>
      <c r="H336">
        <v>2000</v>
      </c>
      <c r="I336">
        <v>5</v>
      </c>
      <c r="J336">
        <v>188397</v>
      </c>
      <c r="K336">
        <v>9</v>
      </c>
      <c r="L336">
        <v>2</v>
      </c>
      <c r="M336" t="str">
        <f>VLOOKUP(Sales_Data!F336,Product_Master!$A$2:$D$11,2)</f>
        <v>Headset</v>
      </c>
      <c r="N336" t="str">
        <f>VLOOKUP(F336,Product_Master!$A$2:$C$11,3)</f>
        <v>Accessories</v>
      </c>
      <c r="O336">
        <f>VLOOKUP(F336,Product_Master!$A$2:$D$11,4,FALSE)</f>
        <v>1500</v>
      </c>
      <c r="P336">
        <f t="shared" si="50"/>
        <v>20000</v>
      </c>
      <c r="Q336">
        <f t="shared" si="51"/>
        <v>1000</v>
      </c>
      <c r="R336">
        <f t="shared" si="52"/>
        <v>19000</v>
      </c>
      <c r="S336">
        <f t="shared" si="53"/>
        <v>4000</v>
      </c>
      <c r="T336" t="str">
        <f>_xlfn.CONCAT(Sales_Data!C336,"-",Sales_Data!E336,"-",Sales_Data!A336)</f>
        <v>North-C1049-1335</v>
      </c>
      <c r="U336" t="str">
        <f t="shared" si="54"/>
        <v>Regular</v>
      </c>
      <c r="V336" t="str" cm="1">
        <f t="array" ref="V336">_xlfn.IFS(R336&gt;=100000,"Excellent",R336&gt;=50000,"Good",R336&gt;=20000,"Average",TRUE,"Poor")</f>
        <v>Poor</v>
      </c>
      <c r="W336">
        <f t="shared" si="55"/>
        <v>3</v>
      </c>
      <c r="X336" t="str">
        <f t="shared" si="56"/>
        <v>September</v>
      </c>
      <c r="Y336">
        <f>HLOOKUP("Q"&amp;W336,Bonus_HLookup!$A$1:$E$2,2,FALSE)</f>
        <v>0.06</v>
      </c>
      <c r="Z336">
        <f t="shared" si="57"/>
        <v>33911.46</v>
      </c>
      <c r="AA336" s="1">
        <f t="shared" si="58"/>
        <v>8606.8683911693734</v>
      </c>
      <c r="AB336">
        <f t="shared" si="59"/>
        <v>465</v>
      </c>
    </row>
    <row r="337" spans="1:28" x14ac:dyDescent="0.3">
      <c r="A337">
        <v>1336</v>
      </c>
      <c r="B337" t="s">
        <v>81</v>
      </c>
      <c r="C337" t="s">
        <v>30</v>
      </c>
      <c r="D337" t="s">
        <v>91</v>
      </c>
      <c r="E337" t="s">
        <v>146</v>
      </c>
      <c r="F337" t="s">
        <v>74</v>
      </c>
      <c r="G337">
        <v>2</v>
      </c>
      <c r="H337">
        <v>35000</v>
      </c>
      <c r="I337">
        <v>10</v>
      </c>
      <c r="J337">
        <v>318362</v>
      </c>
      <c r="K337">
        <v>11</v>
      </c>
      <c r="L337">
        <v>5</v>
      </c>
      <c r="M337" t="str">
        <f>VLOOKUP(Sales_Data!F337,Product_Master!$A$2:$D$11,2)</f>
        <v>Tablet</v>
      </c>
      <c r="N337" t="str">
        <f>VLOOKUP(F337,Product_Master!$A$2:$C$11,3)</f>
        <v>Electronics</v>
      </c>
      <c r="O337">
        <f>VLOOKUP(F337,Product_Master!$A$2:$D$11,4,FALSE)</f>
        <v>29000</v>
      </c>
      <c r="P337">
        <f t="shared" si="50"/>
        <v>70000</v>
      </c>
      <c r="Q337">
        <f t="shared" si="51"/>
        <v>7000</v>
      </c>
      <c r="R337">
        <f t="shared" si="52"/>
        <v>63000</v>
      </c>
      <c r="S337">
        <f t="shared" si="53"/>
        <v>5000</v>
      </c>
      <c r="T337" t="str">
        <f>_xlfn.CONCAT(Sales_Data!C337,"-",Sales_Data!E337,"-",Sales_Data!A337)</f>
        <v>South-C1017-1336</v>
      </c>
      <c r="U337" t="str">
        <f t="shared" si="54"/>
        <v>High Value</v>
      </c>
      <c r="V337" t="str" cm="1">
        <f t="array" ref="V337">_xlfn.IFS(R337&gt;=100000,"Excellent",R337&gt;=50000,"Good",R337&gt;=20000,"Average",TRUE,"Poor")</f>
        <v>Good</v>
      </c>
      <c r="W337">
        <f t="shared" si="55"/>
        <v>4</v>
      </c>
      <c r="X337" t="str">
        <f t="shared" si="56"/>
        <v>December</v>
      </c>
      <c r="Y337">
        <f>HLOOKUP("Q"&amp;W337,Bonus_HLookup!$A$1:$E$2,2,FALSE)</f>
        <v>0.08</v>
      </c>
      <c r="Z337">
        <f t="shared" si="57"/>
        <v>175099.1</v>
      </c>
      <c r="AA337" s="1">
        <f t="shared" si="58"/>
        <v>6921.9612942528693</v>
      </c>
      <c r="AB337">
        <f t="shared" si="59"/>
        <v>245</v>
      </c>
    </row>
    <row r="338" spans="1:28" x14ac:dyDescent="0.3">
      <c r="A338">
        <v>1337</v>
      </c>
      <c r="B338" t="s">
        <v>81</v>
      </c>
      <c r="C338" t="s">
        <v>62</v>
      </c>
      <c r="D338" t="s">
        <v>46</v>
      </c>
      <c r="E338" t="s">
        <v>125</v>
      </c>
      <c r="F338" t="s">
        <v>39</v>
      </c>
      <c r="G338">
        <v>4</v>
      </c>
      <c r="H338">
        <v>7000</v>
      </c>
      <c r="I338">
        <v>8</v>
      </c>
      <c r="J338">
        <v>67519</v>
      </c>
      <c r="K338">
        <v>8</v>
      </c>
      <c r="L338">
        <v>1</v>
      </c>
      <c r="M338" t="str">
        <f>VLOOKUP(Sales_Data!F338,Product_Master!$A$2:$D$11,2)</f>
        <v>Router</v>
      </c>
      <c r="N338" t="str">
        <f>VLOOKUP(F338,Product_Master!$A$2:$C$11,3)</f>
        <v>Electronics</v>
      </c>
      <c r="O338">
        <f>VLOOKUP(F338,Product_Master!$A$2:$D$11,4,FALSE)</f>
        <v>5000</v>
      </c>
      <c r="P338">
        <f t="shared" si="50"/>
        <v>28000</v>
      </c>
      <c r="Q338">
        <f t="shared" si="51"/>
        <v>2240</v>
      </c>
      <c r="R338">
        <f t="shared" si="52"/>
        <v>25760</v>
      </c>
      <c r="S338">
        <f t="shared" si="53"/>
        <v>5760</v>
      </c>
      <c r="T338" t="str">
        <f>_xlfn.CONCAT(Sales_Data!C338,"-",Sales_Data!E338,"-",Sales_Data!A338)</f>
        <v>East-C1039-1337</v>
      </c>
      <c r="U338" t="str">
        <f t="shared" si="54"/>
        <v>Regular</v>
      </c>
      <c r="V338" t="str" cm="1">
        <f t="array" ref="V338">_xlfn.IFS(R338&gt;=100000,"Excellent",R338&gt;=50000,"Good",R338&gt;=20000,"Average",TRUE,"Poor")</f>
        <v>Average</v>
      </c>
      <c r="W338">
        <f t="shared" si="55"/>
        <v>4</v>
      </c>
      <c r="X338" t="str">
        <f t="shared" si="56"/>
        <v>December</v>
      </c>
      <c r="Y338">
        <f>HLOOKUP("Q"&amp;W338,Bonus_HLookup!$A$1:$E$2,2,FALSE)</f>
        <v>0.08</v>
      </c>
      <c r="Z338">
        <f t="shared" si="57"/>
        <v>5401.52</v>
      </c>
      <c r="AA338" s="1">
        <f t="shared" si="58"/>
        <v>5873.3717434185455</v>
      </c>
      <c r="AB338">
        <f t="shared" si="59"/>
        <v>393</v>
      </c>
    </row>
    <row r="339" spans="1:28" x14ac:dyDescent="0.3">
      <c r="A339">
        <v>1338</v>
      </c>
      <c r="B339" t="s">
        <v>98</v>
      </c>
      <c r="C339" t="s">
        <v>30</v>
      </c>
      <c r="D339" t="s">
        <v>33</v>
      </c>
      <c r="E339" t="s">
        <v>112</v>
      </c>
      <c r="F339" t="s">
        <v>39</v>
      </c>
      <c r="G339">
        <v>4</v>
      </c>
      <c r="H339">
        <v>7000</v>
      </c>
      <c r="I339">
        <v>15</v>
      </c>
      <c r="J339">
        <v>134980</v>
      </c>
      <c r="K339">
        <v>9</v>
      </c>
      <c r="L339">
        <v>4</v>
      </c>
      <c r="M339" t="str">
        <f>VLOOKUP(Sales_Data!F339,Product_Master!$A$2:$D$11,2)</f>
        <v>Router</v>
      </c>
      <c r="N339" t="str">
        <f>VLOOKUP(F339,Product_Master!$A$2:$C$11,3)</f>
        <v>Electronics</v>
      </c>
      <c r="O339">
        <f>VLOOKUP(F339,Product_Master!$A$2:$D$11,4,FALSE)</f>
        <v>5000</v>
      </c>
      <c r="P339">
        <f t="shared" si="50"/>
        <v>28000</v>
      </c>
      <c r="Q339">
        <f t="shared" si="51"/>
        <v>4200</v>
      </c>
      <c r="R339">
        <f t="shared" si="52"/>
        <v>23800</v>
      </c>
      <c r="S339">
        <f t="shared" si="53"/>
        <v>3800</v>
      </c>
      <c r="T339" t="str">
        <f>_xlfn.CONCAT(Sales_Data!C339,"-",Sales_Data!E339,"-",Sales_Data!A339)</f>
        <v>South-C1048-1338</v>
      </c>
      <c r="U339" t="str">
        <f t="shared" si="54"/>
        <v>Regular</v>
      </c>
      <c r="V339" t="str" cm="1">
        <f t="array" ref="V339">_xlfn.IFS(R339&gt;=100000,"Excellent",R339&gt;=50000,"Good",R339&gt;=20000,"Average",TRUE,"Poor")</f>
        <v>Average</v>
      </c>
      <c r="W339">
        <f t="shared" si="55"/>
        <v>4</v>
      </c>
      <c r="X339" t="str">
        <f t="shared" si="56"/>
        <v>December</v>
      </c>
      <c r="Y339">
        <f>HLOOKUP("Q"&amp;W339,Bonus_HLookup!$A$1:$E$2,2,FALSE)</f>
        <v>0.08</v>
      </c>
      <c r="Z339">
        <f t="shared" si="57"/>
        <v>48592.800000000003</v>
      </c>
      <c r="AA339" s="1">
        <f t="shared" si="58"/>
        <v>3358.9830196336393</v>
      </c>
      <c r="AB339">
        <f t="shared" si="59"/>
        <v>404</v>
      </c>
    </row>
    <row r="340" spans="1:28" x14ac:dyDescent="0.3">
      <c r="A340">
        <v>1339</v>
      </c>
      <c r="B340" t="s">
        <v>306</v>
      </c>
      <c r="C340" t="s">
        <v>62</v>
      </c>
      <c r="D340" t="s">
        <v>59</v>
      </c>
      <c r="E340" t="s">
        <v>51</v>
      </c>
      <c r="F340" t="s">
        <v>28</v>
      </c>
      <c r="G340">
        <v>9</v>
      </c>
      <c r="H340">
        <v>950</v>
      </c>
      <c r="I340">
        <v>0</v>
      </c>
      <c r="J340">
        <v>193093</v>
      </c>
      <c r="K340">
        <v>8</v>
      </c>
      <c r="L340">
        <v>2</v>
      </c>
      <c r="M340" t="str">
        <f>VLOOKUP(Sales_Data!F340,Product_Master!$A$2:$D$11,2)</f>
        <v>Webcam</v>
      </c>
      <c r="N340" t="str">
        <f>VLOOKUP(F340,Product_Master!$A$2:$C$11,3)</f>
        <v>Accessories</v>
      </c>
      <c r="O340">
        <f>VLOOKUP(F340,Product_Master!$A$2:$D$11,4,FALSE)</f>
        <v>700</v>
      </c>
      <c r="P340">
        <f t="shared" si="50"/>
        <v>8550</v>
      </c>
      <c r="Q340">
        <f t="shared" si="51"/>
        <v>0</v>
      </c>
      <c r="R340">
        <f t="shared" si="52"/>
        <v>8550</v>
      </c>
      <c r="S340">
        <f t="shared" si="53"/>
        <v>2250</v>
      </c>
      <c r="T340" t="str">
        <f>_xlfn.CONCAT(Sales_Data!C340,"-",Sales_Data!E340,"-",Sales_Data!A340)</f>
        <v>East-C1002-1339</v>
      </c>
      <c r="U340" t="str">
        <f t="shared" si="54"/>
        <v>Regular</v>
      </c>
      <c r="V340" t="str" cm="1">
        <f t="array" ref="V340">_xlfn.IFS(R340&gt;=100000,"Excellent",R340&gt;=50000,"Good",R340&gt;=20000,"Average",TRUE,"Poor")</f>
        <v>Poor</v>
      </c>
      <c r="W340">
        <f t="shared" si="55"/>
        <v>2</v>
      </c>
      <c r="X340" t="str">
        <f t="shared" si="56"/>
        <v>June</v>
      </c>
      <c r="Y340">
        <f>HLOOKUP("Q"&amp;W340,Bonus_HLookup!$A$1:$E$2,2,FALSE)</f>
        <v>0.04</v>
      </c>
      <c r="Z340">
        <f t="shared" si="57"/>
        <v>30894.880000000001</v>
      </c>
      <c r="AA340" s="1">
        <f t="shared" si="58"/>
        <v>8733.0733891489672</v>
      </c>
      <c r="AB340">
        <f t="shared" si="59"/>
        <v>675</v>
      </c>
    </row>
    <row r="341" spans="1:28" x14ac:dyDescent="0.3">
      <c r="A341">
        <v>1340</v>
      </c>
      <c r="B341" t="s">
        <v>307</v>
      </c>
      <c r="C341" t="s">
        <v>62</v>
      </c>
      <c r="D341" t="s">
        <v>19</v>
      </c>
      <c r="E341" t="s">
        <v>174</v>
      </c>
      <c r="F341" t="s">
        <v>25</v>
      </c>
      <c r="G341">
        <v>3</v>
      </c>
      <c r="H341">
        <v>1500</v>
      </c>
      <c r="I341">
        <v>8</v>
      </c>
      <c r="J341">
        <v>157018</v>
      </c>
      <c r="K341">
        <v>9</v>
      </c>
      <c r="L341">
        <v>5</v>
      </c>
      <c r="M341" t="str">
        <f>VLOOKUP(Sales_Data!F341,Product_Master!$A$2:$D$11,2)</f>
        <v>Keyboard</v>
      </c>
      <c r="N341" t="str">
        <f>VLOOKUP(F341,Product_Master!$A$2:$C$11,3)</f>
        <v>Accessories</v>
      </c>
      <c r="O341">
        <f>VLOOKUP(F341,Product_Master!$A$2:$D$11,4,FALSE)</f>
        <v>1200</v>
      </c>
      <c r="P341">
        <f t="shared" si="50"/>
        <v>4500</v>
      </c>
      <c r="Q341">
        <f t="shared" si="51"/>
        <v>360</v>
      </c>
      <c r="R341">
        <f t="shared" si="52"/>
        <v>4140</v>
      </c>
      <c r="S341">
        <f t="shared" si="53"/>
        <v>540</v>
      </c>
      <c r="T341" t="str">
        <f>_xlfn.CONCAT(Sales_Data!C341,"-",Sales_Data!E341,"-",Sales_Data!A341)</f>
        <v>East-C1044-1340</v>
      </c>
      <c r="U341" t="str">
        <f t="shared" si="54"/>
        <v>Regular</v>
      </c>
      <c r="V341" t="str" cm="1">
        <f t="array" ref="V341">_xlfn.IFS(R341&gt;=100000,"Excellent",R341&gt;=50000,"Good",R341&gt;=20000,"Average",TRUE,"Poor")</f>
        <v>Poor</v>
      </c>
      <c r="W341">
        <f t="shared" si="55"/>
        <v>2</v>
      </c>
      <c r="X341" t="str">
        <f t="shared" si="56"/>
        <v>April</v>
      </c>
      <c r="Y341">
        <f>HLOOKUP("Q"&amp;W341,Bonus_HLookup!$A$1:$E$2,2,FALSE)</f>
        <v>0.04</v>
      </c>
      <c r="Z341">
        <f t="shared" si="57"/>
        <v>70658.100000000006</v>
      </c>
      <c r="AA341" s="1">
        <f t="shared" si="58"/>
        <v>3259.4354209316539</v>
      </c>
      <c r="AB341">
        <f t="shared" si="59"/>
        <v>829</v>
      </c>
    </row>
    <row r="342" spans="1:28" x14ac:dyDescent="0.3">
      <c r="A342">
        <v>1341</v>
      </c>
      <c r="B342" t="s">
        <v>295</v>
      </c>
      <c r="C342" t="s">
        <v>18</v>
      </c>
      <c r="D342" t="s">
        <v>50</v>
      </c>
      <c r="E342" t="s">
        <v>20</v>
      </c>
      <c r="F342" t="s">
        <v>69</v>
      </c>
      <c r="G342">
        <v>10</v>
      </c>
      <c r="H342">
        <v>2000</v>
      </c>
      <c r="I342">
        <v>5</v>
      </c>
      <c r="J342">
        <v>497488</v>
      </c>
      <c r="K342">
        <v>10</v>
      </c>
      <c r="L342">
        <v>1</v>
      </c>
      <c r="M342" t="str">
        <f>VLOOKUP(Sales_Data!F342,Product_Master!$A$2:$D$11,2)</f>
        <v>Headset</v>
      </c>
      <c r="N342" t="str">
        <f>VLOOKUP(F342,Product_Master!$A$2:$C$11,3)</f>
        <v>Accessories</v>
      </c>
      <c r="O342">
        <f>VLOOKUP(F342,Product_Master!$A$2:$D$11,4,FALSE)</f>
        <v>1500</v>
      </c>
      <c r="P342">
        <f t="shared" si="50"/>
        <v>20000</v>
      </c>
      <c r="Q342">
        <f t="shared" si="51"/>
        <v>1000</v>
      </c>
      <c r="R342">
        <f t="shared" si="52"/>
        <v>19000</v>
      </c>
      <c r="S342">
        <f t="shared" si="53"/>
        <v>4000</v>
      </c>
      <c r="T342" t="str">
        <f>_xlfn.CONCAT(Sales_Data!C342,"-",Sales_Data!E342,"-",Sales_Data!A342)</f>
        <v>North-C1003-1341</v>
      </c>
      <c r="U342" t="str">
        <f t="shared" si="54"/>
        <v>Regular</v>
      </c>
      <c r="V342" t="str" cm="1">
        <f t="array" ref="V342">_xlfn.IFS(R342&gt;=100000,"Excellent",R342&gt;=50000,"Good",R342&gt;=20000,"Average",TRUE,"Poor")</f>
        <v>Poor</v>
      </c>
      <c r="W342">
        <f t="shared" si="55"/>
        <v>4</v>
      </c>
      <c r="X342" t="str">
        <f t="shared" si="56"/>
        <v>October</v>
      </c>
      <c r="Y342">
        <f>HLOOKUP("Q"&amp;W342,Bonus_HLookup!$A$1:$E$2,2,FALSE)</f>
        <v>0.08</v>
      </c>
      <c r="Z342">
        <f t="shared" si="57"/>
        <v>49748.800000000003</v>
      </c>
      <c r="AA342" s="1">
        <f t="shared" si="58"/>
        <v>43737.098906283012</v>
      </c>
      <c r="AB342">
        <f t="shared" si="59"/>
        <v>465</v>
      </c>
    </row>
    <row r="343" spans="1:28" x14ac:dyDescent="0.3">
      <c r="A343">
        <v>1342</v>
      </c>
      <c r="B343" t="s">
        <v>219</v>
      </c>
      <c r="C343" t="s">
        <v>13</v>
      </c>
      <c r="D343" t="s">
        <v>23</v>
      </c>
      <c r="E343" t="s">
        <v>31</v>
      </c>
      <c r="F343" t="s">
        <v>52</v>
      </c>
      <c r="G343">
        <v>10</v>
      </c>
      <c r="H343">
        <v>500</v>
      </c>
      <c r="I343">
        <v>8</v>
      </c>
      <c r="J343">
        <v>288627</v>
      </c>
      <c r="K343">
        <v>8</v>
      </c>
      <c r="L343">
        <v>3</v>
      </c>
      <c r="M343" t="str">
        <f>VLOOKUP(Sales_Data!F343,Product_Master!$A$2:$D$11,2)</f>
        <v>Mouse</v>
      </c>
      <c r="N343" t="str">
        <f>VLOOKUP(F343,Product_Master!$A$2:$C$11,3)</f>
        <v>Accessories</v>
      </c>
      <c r="O343">
        <f>VLOOKUP(F343,Product_Master!$A$2:$D$11,4,FALSE)</f>
        <v>350</v>
      </c>
      <c r="P343">
        <f t="shared" si="50"/>
        <v>5000</v>
      </c>
      <c r="Q343">
        <f t="shared" si="51"/>
        <v>400</v>
      </c>
      <c r="R343">
        <f t="shared" si="52"/>
        <v>4600</v>
      </c>
      <c r="S343">
        <f t="shared" si="53"/>
        <v>1100</v>
      </c>
      <c r="T343" t="str">
        <f>_xlfn.CONCAT(Sales_Data!C343,"-",Sales_Data!E343,"-",Sales_Data!A343)</f>
        <v>West-C1025-1342</v>
      </c>
      <c r="U343" t="str">
        <f t="shared" si="54"/>
        <v>Regular</v>
      </c>
      <c r="V343" t="str" cm="1">
        <f t="array" ref="V343">_xlfn.IFS(R343&gt;=100000,"Excellent",R343&gt;=50000,"Good",R343&gt;=20000,"Average",TRUE,"Poor")</f>
        <v>Poor</v>
      </c>
      <c r="W343">
        <f t="shared" si="55"/>
        <v>3</v>
      </c>
      <c r="X343" t="str">
        <f t="shared" si="56"/>
        <v>September</v>
      </c>
      <c r="Y343">
        <f>HLOOKUP("Q"&amp;W343,Bonus_HLookup!$A$1:$E$2,2,FALSE)</f>
        <v>0.06</v>
      </c>
      <c r="Z343">
        <f t="shared" si="57"/>
        <v>69270.48</v>
      </c>
      <c r="AA343" s="1">
        <f t="shared" si="58"/>
        <v>9044.5211540364016</v>
      </c>
      <c r="AB343">
        <f t="shared" si="59"/>
        <v>802</v>
      </c>
    </row>
    <row r="344" spans="1:28" x14ac:dyDescent="0.3">
      <c r="A344">
        <v>1343</v>
      </c>
      <c r="B344" t="s">
        <v>308</v>
      </c>
      <c r="C344" t="s">
        <v>62</v>
      </c>
      <c r="D344" t="s">
        <v>50</v>
      </c>
      <c r="E344" t="s">
        <v>27</v>
      </c>
      <c r="F344" t="s">
        <v>25</v>
      </c>
      <c r="G344">
        <v>2</v>
      </c>
      <c r="H344">
        <v>1500</v>
      </c>
      <c r="I344">
        <v>0</v>
      </c>
      <c r="J344">
        <v>157754</v>
      </c>
      <c r="K344">
        <v>12</v>
      </c>
      <c r="L344">
        <v>3</v>
      </c>
      <c r="M344" t="str">
        <f>VLOOKUP(Sales_Data!F344,Product_Master!$A$2:$D$11,2)</f>
        <v>Keyboard</v>
      </c>
      <c r="N344" t="str">
        <f>VLOOKUP(F344,Product_Master!$A$2:$C$11,3)</f>
        <v>Accessories</v>
      </c>
      <c r="O344">
        <f>VLOOKUP(F344,Product_Master!$A$2:$D$11,4,FALSE)</f>
        <v>1200</v>
      </c>
      <c r="P344">
        <f t="shared" si="50"/>
        <v>3000</v>
      </c>
      <c r="Q344">
        <f t="shared" si="51"/>
        <v>0</v>
      </c>
      <c r="R344">
        <f t="shared" si="52"/>
        <v>3000</v>
      </c>
      <c r="S344">
        <f t="shared" si="53"/>
        <v>600</v>
      </c>
      <c r="T344" t="str">
        <f>_xlfn.CONCAT(Sales_Data!C344,"-",Sales_Data!E344,"-",Sales_Data!A344)</f>
        <v>East-C1007-1343</v>
      </c>
      <c r="U344" t="str">
        <f t="shared" si="54"/>
        <v>Regular</v>
      </c>
      <c r="V344" t="str" cm="1">
        <f t="array" ref="V344">_xlfn.IFS(R344&gt;=100000,"Excellent",R344&gt;=50000,"Good",R344&gt;=20000,"Average",TRUE,"Poor")</f>
        <v>Poor</v>
      </c>
      <c r="W344">
        <f t="shared" si="55"/>
        <v>3</v>
      </c>
      <c r="X344" t="str">
        <f t="shared" si="56"/>
        <v>August</v>
      </c>
      <c r="Y344">
        <f>HLOOKUP("Q"&amp;W344,Bonus_HLookup!$A$1:$E$2,2,FALSE)</f>
        <v>0.06</v>
      </c>
      <c r="Z344">
        <f t="shared" si="57"/>
        <v>56791.44</v>
      </c>
      <c r="AA344" s="1">
        <f t="shared" si="58"/>
        <v>5239.6902302165263</v>
      </c>
      <c r="AB344">
        <f t="shared" si="59"/>
        <v>877</v>
      </c>
    </row>
    <row r="345" spans="1:28" x14ac:dyDescent="0.3">
      <c r="A345">
        <v>1344</v>
      </c>
      <c r="B345" t="s">
        <v>75</v>
      </c>
      <c r="C345" t="s">
        <v>30</v>
      </c>
      <c r="D345" t="s">
        <v>91</v>
      </c>
      <c r="E345" t="s">
        <v>31</v>
      </c>
      <c r="F345" t="s">
        <v>42</v>
      </c>
      <c r="G345">
        <v>2</v>
      </c>
      <c r="H345">
        <v>8000</v>
      </c>
      <c r="I345">
        <v>5</v>
      </c>
      <c r="J345">
        <v>435265</v>
      </c>
      <c r="K345">
        <v>12</v>
      </c>
      <c r="L345">
        <v>3</v>
      </c>
      <c r="M345" t="str">
        <f>VLOOKUP(Sales_Data!F345,Product_Master!$A$2:$D$11,2)</f>
        <v>Printer</v>
      </c>
      <c r="N345" t="str">
        <f>VLOOKUP(F345,Product_Master!$A$2:$C$11,3)</f>
        <v>Electronics</v>
      </c>
      <c r="O345">
        <f>VLOOKUP(F345,Product_Master!$A$2:$D$11,4,FALSE)</f>
        <v>6500</v>
      </c>
      <c r="P345">
        <f t="shared" si="50"/>
        <v>16000</v>
      </c>
      <c r="Q345">
        <f t="shared" si="51"/>
        <v>800</v>
      </c>
      <c r="R345">
        <f t="shared" si="52"/>
        <v>15200</v>
      </c>
      <c r="S345">
        <f t="shared" si="53"/>
        <v>2200</v>
      </c>
      <c r="T345" t="str">
        <f>_xlfn.CONCAT(Sales_Data!C345,"-",Sales_Data!E345,"-",Sales_Data!A345)</f>
        <v>South-C1025-1344</v>
      </c>
      <c r="U345" t="str">
        <f t="shared" si="54"/>
        <v>Regular</v>
      </c>
      <c r="V345" t="str" cm="1">
        <f t="array" ref="V345">_xlfn.IFS(R345&gt;=100000,"Excellent",R345&gt;=50000,"Good",R345&gt;=20000,"Average",TRUE,"Poor")</f>
        <v>Poor</v>
      </c>
      <c r="W345">
        <f t="shared" si="55"/>
        <v>1</v>
      </c>
      <c r="X345" t="str">
        <f t="shared" si="56"/>
        <v>February</v>
      </c>
      <c r="Y345">
        <f>HLOOKUP("Q"&amp;W345,Bonus_HLookup!$A$1:$E$2,2,FALSE)</f>
        <v>0.02</v>
      </c>
      <c r="Z345">
        <f t="shared" si="57"/>
        <v>156695.4</v>
      </c>
      <c r="AA345" s="1">
        <f t="shared" si="58"/>
        <v>14457.026560690674</v>
      </c>
      <c r="AB345">
        <f t="shared" si="59"/>
        <v>521</v>
      </c>
    </row>
    <row r="346" spans="1:28" x14ac:dyDescent="0.3">
      <c r="A346">
        <v>1345</v>
      </c>
      <c r="B346" t="s">
        <v>242</v>
      </c>
      <c r="C346" t="s">
        <v>18</v>
      </c>
      <c r="D346" t="s">
        <v>50</v>
      </c>
      <c r="E346" t="s">
        <v>71</v>
      </c>
      <c r="F346" t="s">
        <v>21</v>
      </c>
      <c r="G346">
        <v>7</v>
      </c>
      <c r="H346">
        <v>12000</v>
      </c>
      <c r="I346">
        <v>2</v>
      </c>
      <c r="J346">
        <v>459189</v>
      </c>
      <c r="K346">
        <v>9</v>
      </c>
      <c r="L346">
        <v>2</v>
      </c>
      <c r="M346" t="str">
        <f>VLOOKUP(Sales_Data!F346,Product_Master!$A$2:$D$11,2)</f>
        <v>Monitor</v>
      </c>
      <c r="N346" t="str">
        <f>VLOOKUP(F346,Product_Master!$A$2:$C$11,3)</f>
        <v>Electronics</v>
      </c>
      <c r="O346">
        <f>VLOOKUP(F346,Product_Master!$A$2:$D$11,4,FALSE)</f>
        <v>9000</v>
      </c>
      <c r="P346">
        <f t="shared" si="50"/>
        <v>84000</v>
      </c>
      <c r="Q346">
        <f t="shared" si="51"/>
        <v>1680</v>
      </c>
      <c r="R346">
        <f t="shared" si="52"/>
        <v>82320</v>
      </c>
      <c r="S346">
        <f t="shared" si="53"/>
        <v>19320</v>
      </c>
      <c r="T346" t="str">
        <f>_xlfn.CONCAT(Sales_Data!C346,"-",Sales_Data!E346,"-",Sales_Data!A346)</f>
        <v>North-C1019-1345</v>
      </c>
      <c r="U346" t="str">
        <f t="shared" si="54"/>
        <v>High Value</v>
      </c>
      <c r="V346" t="str" cm="1">
        <f t="array" ref="V346">_xlfn.IFS(R346&gt;=100000,"Excellent",R346&gt;=50000,"Good",R346&gt;=20000,"Average",TRUE,"Poor")</f>
        <v>Good</v>
      </c>
      <c r="W346">
        <f t="shared" si="55"/>
        <v>2</v>
      </c>
      <c r="X346" t="str">
        <f t="shared" si="56"/>
        <v>April</v>
      </c>
      <c r="Y346">
        <f>HLOOKUP("Q"&amp;W346,Bonus_HLookup!$A$1:$E$2,2,FALSE)</f>
        <v>0.04</v>
      </c>
      <c r="Z346">
        <f t="shared" si="57"/>
        <v>82654.02</v>
      </c>
      <c r="AA346" s="1">
        <f t="shared" si="58"/>
        <v>20977.931122431215</v>
      </c>
      <c r="AB346">
        <f t="shared" si="59"/>
        <v>193</v>
      </c>
    </row>
    <row r="347" spans="1:28" x14ac:dyDescent="0.3">
      <c r="A347">
        <v>1346</v>
      </c>
      <c r="B347" t="s">
        <v>223</v>
      </c>
      <c r="C347" t="s">
        <v>13</v>
      </c>
      <c r="D347" t="s">
        <v>23</v>
      </c>
      <c r="E347" t="s">
        <v>20</v>
      </c>
      <c r="F347" t="s">
        <v>39</v>
      </c>
      <c r="G347">
        <v>8</v>
      </c>
      <c r="H347">
        <v>7000</v>
      </c>
      <c r="I347">
        <v>8</v>
      </c>
      <c r="J347">
        <v>371580</v>
      </c>
      <c r="K347">
        <v>11</v>
      </c>
      <c r="L347">
        <v>2</v>
      </c>
      <c r="M347" t="str">
        <f>VLOOKUP(Sales_Data!F347,Product_Master!$A$2:$D$11,2)</f>
        <v>Router</v>
      </c>
      <c r="N347" t="str">
        <f>VLOOKUP(F347,Product_Master!$A$2:$C$11,3)</f>
        <v>Electronics</v>
      </c>
      <c r="O347">
        <f>VLOOKUP(F347,Product_Master!$A$2:$D$11,4,FALSE)</f>
        <v>5000</v>
      </c>
      <c r="P347">
        <f t="shared" si="50"/>
        <v>56000</v>
      </c>
      <c r="Q347">
        <f t="shared" si="51"/>
        <v>4480</v>
      </c>
      <c r="R347">
        <f t="shared" si="52"/>
        <v>51520</v>
      </c>
      <c r="S347">
        <f t="shared" si="53"/>
        <v>11520</v>
      </c>
      <c r="T347" t="str">
        <f>_xlfn.CONCAT(Sales_Data!C347,"-",Sales_Data!E347,"-",Sales_Data!A347)</f>
        <v>West-C1003-1346</v>
      </c>
      <c r="U347" t="str">
        <f t="shared" si="54"/>
        <v>High Value</v>
      </c>
      <c r="V347" t="str" cm="1">
        <f t="array" ref="V347">_xlfn.IFS(R347&gt;=100000,"Excellent",R347&gt;=50000,"Good",R347&gt;=20000,"Average",TRUE,"Poor")</f>
        <v>Good</v>
      </c>
      <c r="W347">
        <f t="shared" si="55"/>
        <v>2</v>
      </c>
      <c r="X347" t="str">
        <f t="shared" si="56"/>
        <v>April</v>
      </c>
      <c r="Y347">
        <f>HLOOKUP("Q"&amp;W347,Bonus_HLookup!$A$1:$E$2,2,FALSE)</f>
        <v>0.04</v>
      </c>
      <c r="Z347">
        <f t="shared" si="57"/>
        <v>81747.600000000006</v>
      </c>
      <c r="AA347" s="1">
        <f t="shared" si="58"/>
        <v>17318.540517064783</v>
      </c>
      <c r="AB347">
        <f t="shared" si="59"/>
        <v>287</v>
      </c>
    </row>
    <row r="348" spans="1:28" x14ac:dyDescent="0.3">
      <c r="A348">
        <v>1347</v>
      </c>
      <c r="B348" t="s">
        <v>298</v>
      </c>
      <c r="C348" t="s">
        <v>30</v>
      </c>
      <c r="D348" t="s">
        <v>59</v>
      </c>
      <c r="E348" t="s">
        <v>203</v>
      </c>
      <c r="F348" t="s">
        <v>36</v>
      </c>
      <c r="G348">
        <v>5</v>
      </c>
      <c r="H348">
        <v>55000</v>
      </c>
      <c r="I348">
        <v>10</v>
      </c>
      <c r="J348">
        <v>145765</v>
      </c>
      <c r="K348">
        <v>8</v>
      </c>
      <c r="L348">
        <v>5</v>
      </c>
      <c r="M348" t="str">
        <f>VLOOKUP(Sales_Data!F348,Product_Master!$A$2:$D$11,2)</f>
        <v>Laptop</v>
      </c>
      <c r="N348" t="str">
        <f>VLOOKUP(F348,Product_Master!$A$2:$C$11,3)</f>
        <v>Electronics</v>
      </c>
      <c r="O348">
        <f>VLOOKUP(F348,Product_Master!$A$2:$D$11,4,FALSE)</f>
        <v>45000</v>
      </c>
      <c r="P348">
        <f t="shared" si="50"/>
        <v>275000</v>
      </c>
      <c r="Q348">
        <f t="shared" si="51"/>
        <v>27500</v>
      </c>
      <c r="R348">
        <f t="shared" si="52"/>
        <v>247500</v>
      </c>
      <c r="S348">
        <f t="shared" si="53"/>
        <v>22500</v>
      </c>
      <c r="T348" t="str">
        <f>_xlfn.CONCAT(Sales_Data!C348,"-",Sales_Data!E348,"-",Sales_Data!A348)</f>
        <v>South-C1037-1347</v>
      </c>
      <c r="U348" t="str">
        <f t="shared" si="54"/>
        <v>High Value</v>
      </c>
      <c r="V348" t="str" cm="1">
        <f t="array" ref="V348">_xlfn.IFS(R348&gt;=100000,"Excellent",R348&gt;=50000,"Good",R348&gt;=20000,"Average",TRUE,"Poor")</f>
        <v>Excellent</v>
      </c>
      <c r="W348">
        <f t="shared" si="55"/>
        <v>1</v>
      </c>
      <c r="X348" t="str">
        <f t="shared" si="56"/>
        <v>February</v>
      </c>
      <c r="Y348">
        <f>HLOOKUP("Q"&amp;W348,Bonus_HLookup!$A$1:$E$2,2,FALSE)</f>
        <v>0.02</v>
      </c>
      <c r="Z348">
        <f t="shared" si="57"/>
        <v>58306</v>
      </c>
      <c r="AA348" s="1">
        <f t="shared" si="58"/>
        <v>2955.58861345062</v>
      </c>
      <c r="AB348">
        <f t="shared" si="59"/>
        <v>81</v>
      </c>
    </row>
    <row r="349" spans="1:28" x14ac:dyDescent="0.3">
      <c r="A349">
        <v>1348</v>
      </c>
      <c r="B349" t="s">
        <v>309</v>
      </c>
      <c r="C349" t="s">
        <v>62</v>
      </c>
      <c r="D349" t="s">
        <v>14</v>
      </c>
      <c r="E349" t="s">
        <v>99</v>
      </c>
      <c r="F349" t="s">
        <v>16</v>
      </c>
      <c r="G349">
        <v>5</v>
      </c>
      <c r="H349">
        <v>2500</v>
      </c>
      <c r="I349">
        <v>8</v>
      </c>
      <c r="J349">
        <v>478640</v>
      </c>
      <c r="K349">
        <v>9</v>
      </c>
      <c r="L349">
        <v>4</v>
      </c>
      <c r="M349" t="str">
        <f>VLOOKUP(Sales_Data!F349,Product_Master!$A$2:$D$11,2)</f>
        <v>Speaker</v>
      </c>
      <c r="N349" t="str">
        <f>VLOOKUP(F349,Product_Master!$A$2:$C$11,3)</f>
        <v>Accessories</v>
      </c>
      <c r="O349">
        <f>VLOOKUP(F349,Product_Master!$A$2:$D$11,4,FALSE)</f>
        <v>1800</v>
      </c>
      <c r="P349">
        <f t="shared" si="50"/>
        <v>12500</v>
      </c>
      <c r="Q349">
        <f t="shared" si="51"/>
        <v>1000</v>
      </c>
      <c r="R349">
        <f t="shared" si="52"/>
        <v>11500</v>
      </c>
      <c r="S349">
        <f t="shared" si="53"/>
        <v>2500</v>
      </c>
      <c r="T349" t="str">
        <f>_xlfn.CONCAT(Sales_Data!C349,"-",Sales_Data!E349,"-",Sales_Data!A349)</f>
        <v>East-C1050-1348</v>
      </c>
      <c r="U349" t="str">
        <f t="shared" si="54"/>
        <v>Regular</v>
      </c>
      <c r="V349" t="str" cm="1">
        <f t="array" ref="V349">_xlfn.IFS(R349&gt;=100000,"Excellent",R349&gt;=50000,"Good",R349&gt;=20000,"Average",TRUE,"Poor")</f>
        <v>Poor</v>
      </c>
      <c r="W349">
        <f t="shared" si="55"/>
        <v>2</v>
      </c>
      <c r="X349" t="str">
        <f t="shared" si="56"/>
        <v>May</v>
      </c>
      <c r="Y349">
        <f>HLOOKUP("Q"&amp;W349,Bonus_HLookup!$A$1:$E$2,2,FALSE)</f>
        <v>0.04</v>
      </c>
      <c r="Z349">
        <f t="shared" si="57"/>
        <v>172310.39999999999</v>
      </c>
      <c r="AA349" s="1">
        <f t="shared" si="58"/>
        <v>11910.976681859869</v>
      </c>
      <c r="AB349">
        <f t="shared" si="59"/>
        <v>603</v>
      </c>
    </row>
    <row r="350" spans="1:28" x14ac:dyDescent="0.3">
      <c r="A350">
        <v>1349</v>
      </c>
      <c r="B350" t="s">
        <v>310</v>
      </c>
      <c r="C350" t="s">
        <v>18</v>
      </c>
      <c r="D350" t="s">
        <v>59</v>
      </c>
      <c r="E350" t="s">
        <v>108</v>
      </c>
      <c r="F350" t="s">
        <v>69</v>
      </c>
      <c r="G350">
        <v>10</v>
      </c>
      <c r="H350">
        <v>2000</v>
      </c>
      <c r="I350">
        <v>10</v>
      </c>
      <c r="J350">
        <v>379033</v>
      </c>
      <c r="K350">
        <v>7</v>
      </c>
      <c r="L350">
        <v>2</v>
      </c>
      <c r="M350" t="str">
        <f>VLOOKUP(Sales_Data!F350,Product_Master!$A$2:$D$11,2)</f>
        <v>Headset</v>
      </c>
      <c r="N350" t="str">
        <f>VLOOKUP(F350,Product_Master!$A$2:$C$11,3)</f>
        <v>Accessories</v>
      </c>
      <c r="O350">
        <f>VLOOKUP(F350,Product_Master!$A$2:$D$11,4,FALSE)</f>
        <v>1500</v>
      </c>
      <c r="P350">
        <f t="shared" si="50"/>
        <v>20000</v>
      </c>
      <c r="Q350">
        <f t="shared" si="51"/>
        <v>2000</v>
      </c>
      <c r="R350">
        <f t="shared" si="52"/>
        <v>18000</v>
      </c>
      <c r="S350">
        <f t="shared" si="53"/>
        <v>3000</v>
      </c>
      <c r="T350" t="str">
        <f>_xlfn.CONCAT(Sales_Data!C350,"-",Sales_Data!E350,"-",Sales_Data!A350)</f>
        <v>North-C1031-1349</v>
      </c>
      <c r="U350" t="str">
        <f t="shared" si="54"/>
        <v>Regular</v>
      </c>
      <c r="V350" t="str" cm="1">
        <f t="array" ref="V350">_xlfn.IFS(R350&gt;=100000,"Excellent",R350&gt;=50000,"Good",R350&gt;=20000,"Average",TRUE,"Poor")</f>
        <v>Poor</v>
      </c>
      <c r="W350">
        <f t="shared" si="55"/>
        <v>1</v>
      </c>
      <c r="X350" t="str">
        <f t="shared" si="56"/>
        <v>February</v>
      </c>
      <c r="Y350">
        <f>HLOOKUP("Q"&amp;W350,Bonus_HLookup!$A$1:$E$2,2,FALSE)</f>
        <v>0.02</v>
      </c>
      <c r="Z350">
        <f t="shared" si="57"/>
        <v>53064.62</v>
      </c>
      <c r="AA350" s="1">
        <f t="shared" si="58"/>
        <v>16970.284975202518</v>
      </c>
      <c r="AB350">
        <f t="shared" si="59"/>
        <v>480</v>
      </c>
    </row>
    <row r="351" spans="1:28" x14ac:dyDescent="0.3">
      <c r="A351">
        <v>1350</v>
      </c>
      <c r="B351" t="s">
        <v>311</v>
      </c>
      <c r="C351" t="s">
        <v>18</v>
      </c>
      <c r="D351" t="s">
        <v>50</v>
      </c>
      <c r="E351" t="s">
        <v>106</v>
      </c>
      <c r="F351" t="s">
        <v>69</v>
      </c>
      <c r="G351">
        <v>3</v>
      </c>
      <c r="H351">
        <v>2000</v>
      </c>
      <c r="I351">
        <v>0</v>
      </c>
      <c r="J351">
        <v>101178</v>
      </c>
      <c r="K351">
        <v>10</v>
      </c>
      <c r="L351">
        <v>5</v>
      </c>
      <c r="M351" t="str">
        <f>VLOOKUP(Sales_Data!F351,Product_Master!$A$2:$D$11,2)</f>
        <v>Headset</v>
      </c>
      <c r="N351" t="str">
        <f>VLOOKUP(F351,Product_Master!$A$2:$C$11,3)</f>
        <v>Accessories</v>
      </c>
      <c r="O351">
        <f>VLOOKUP(F351,Product_Master!$A$2:$D$11,4,FALSE)</f>
        <v>1500</v>
      </c>
      <c r="P351">
        <f t="shared" si="50"/>
        <v>6000</v>
      </c>
      <c r="Q351">
        <f t="shared" si="51"/>
        <v>0</v>
      </c>
      <c r="R351">
        <f t="shared" si="52"/>
        <v>6000</v>
      </c>
      <c r="S351">
        <f t="shared" si="53"/>
        <v>1500</v>
      </c>
      <c r="T351" t="str">
        <f>_xlfn.CONCAT(Sales_Data!C351,"-",Sales_Data!E351,"-",Sales_Data!A351)</f>
        <v>North-C1004-1350</v>
      </c>
      <c r="U351" t="str">
        <f t="shared" si="54"/>
        <v>Regular</v>
      </c>
      <c r="V351" t="str" cm="1">
        <f t="array" ref="V351">_xlfn.IFS(R351&gt;=100000,"Excellent",R351&gt;=50000,"Good",R351&gt;=20000,"Average",TRUE,"Poor")</f>
        <v>Poor</v>
      </c>
      <c r="W351">
        <f t="shared" si="55"/>
        <v>4</v>
      </c>
      <c r="X351" t="str">
        <f t="shared" si="56"/>
        <v>November</v>
      </c>
      <c r="Y351">
        <f>HLOOKUP("Q"&amp;W351,Bonus_HLookup!$A$1:$E$2,2,FALSE)</f>
        <v>0.08</v>
      </c>
      <c r="Z351">
        <f t="shared" si="57"/>
        <v>50589</v>
      </c>
      <c r="AA351" s="1">
        <f t="shared" si="58"/>
        <v>2149.7334897967016</v>
      </c>
      <c r="AB351">
        <f t="shared" si="59"/>
        <v>759</v>
      </c>
    </row>
    <row r="352" spans="1:28" x14ac:dyDescent="0.3">
      <c r="A352">
        <v>1351</v>
      </c>
      <c r="B352" t="s">
        <v>248</v>
      </c>
      <c r="C352" t="s">
        <v>18</v>
      </c>
      <c r="D352" t="s">
        <v>19</v>
      </c>
      <c r="E352" t="s">
        <v>63</v>
      </c>
      <c r="F352" t="s">
        <v>25</v>
      </c>
      <c r="G352">
        <v>8</v>
      </c>
      <c r="H352">
        <v>1500</v>
      </c>
      <c r="I352">
        <v>0</v>
      </c>
      <c r="J352">
        <v>178324</v>
      </c>
      <c r="K352">
        <v>11</v>
      </c>
      <c r="L352">
        <v>3</v>
      </c>
      <c r="M352" t="str">
        <f>VLOOKUP(Sales_Data!F352,Product_Master!$A$2:$D$11,2)</f>
        <v>Keyboard</v>
      </c>
      <c r="N352" t="str">
        <f>VLOOKUP(F352,Product_Master!$A$2:$C$11,3)</f>
        <v>Accessories</v>
      </c>
      <c r="O352">
        <f>VLOOKUP(F352,Product_Master!$A$2:$D$11,4,FALSE)</f>
        <v>1200</v>
      </c>
      <c r="P352">
        <f t="shared" si="50"/>
        <v>12000</v>
      </c>
      <c r="Q352">
        <f t="shared" si="51"/>
        <v>0</v>
      </c>
      <c r="R352">
        <f t="shared" si="52"/>
        <v>12000</v>
      </c>
      <c r="S352">
        <f t="shared" si="53"/>
        <v>2400</v>
      </c>
      <c r="T352" t="str">
        <f>_xlfn.CONCAT(Sales_Data!C352,"-",Sales_Data!E352,"-",Sales_Data!A352)</f>
        <v>North-C1035-1351</v>
      </c>
      <c r="U352" t="str">
        <f t="shared" si="54"/>
        <v>Regular</v>
      </c>
      <c r="V352" t="str" cm="1">
        <f t="array" ref="V352">_xlfn.IFS(R352&gt;=100000,"Excellent",R352&gt;=50000,"Good",R352&gt;=20000,"Average",TRUE,"Poor")</f>
        <v>Poor</v>
      </c>
      <c r="W352">
        <f t="shared" si="55"/>
        <v>2</v>
      </c>
      <c r="X352" t="str">
        <f t="shared" si="56"/>
        <v>April</v>
      </c>
      <c r="Y352">
        <f>HLOOKUP("Q"&amp;W352,Bonus_HLookup!$A$1:$E$2,2,FALSE)</f>
        <v>0.04</v>
      </c>
      <c r="Z352">
        <f t="shared" si="57"/>
        <v>58846.92</v>
      </c>
      <c r="AA352" s="1">
        <f t="shared" si="58"/>
        <v>5838.0989911722727</v>
      </c>
      <c r="AB352">
        <f t="shared" si="59"/>
        <v>588</v>
      </c>
    </row>
    <row r="353" spans="1:28" x14ac:dyDescent="0.3">
      <c r="A353">
        <v>1352</v>
      </c>
      <c r="B353" t="s">
        <v>144</v>
      </c>
      <c r="C353" t="s">
        <v>30</v>
      </c>
      <c r="D353" t="s">
        <v>14</v>
      </c>
      <c r="E353" t="s">
        <v>125</v>
      </c>
      <c r="F353" t="s">
        <v>16</v>
      </c>
      <c r="G353">
        <v>6</v>
      </c>
      <c r="H353">
        <v>2500</v>
      </c>
      <c r="I353">
        <v>0</v>
      </c>
      <c r="J353">
        <v>328192</v>
      </c>
      <c r="K353">
        <v>9</v>
      </c>
      <c r="L353">
        <v>5</v>
      </c>
      <c r="M353" t="str">
        <f>VLOOKUP(Sales_Data!F353,Product_Master!$A$2:$D$11,2)</f>
        <v>Speaker</v>
      </c>
      <c r="N353" t="str">
        <f>VLOOKUP(F353,Product_Master!$A$2:$C$11,3)</f>
        <v>Accessories</v>
      </c>
      <c r="O353">
        <f>VLOOKUP(F353,Product_Master!$A$2:$D$11,4,FALSE)</f>
        <v>1800</v>
      </c>
      <c r="P353">
        <f t="shared" si="50"/>
        <v>15000</v>
      </c>
      <c r="Q353">
        <f t="shared" si="51"/>
        <v>0</v>
      </c>
      <c r="R353">
        <f t="shared" si="52"/>
        <v>15000</v>
      </c>
      <c r="S353">
        <f t="shared" si="53"/>
        <v>4200</v>
      </c>
      <c r="T353" t="str">
        <f>_xlfn.CONCAT(Sales_Data!C353,"-",Sales_Data!E353,"-",Sales_Data!A353)</f>
        <v>South-C1039-1352</v>
      </c>
      <c r="U353" t="str">
        <f t="shared" si="54"/>
        <v>Regular</v>
      </c>
      <c r="V353" t="str" cm="1">
        <f t="array" ref="V353">_xlfn.IFS(R353&gt;=100000,"Excellent",R353&gt;=50000,"Good",R353&gt;=20000,"Average",TRUE,"Poor")</f>
        <v>Poor</v>
      </c>
      <c r="W353">
        <f t="shared" si="55"/>
        <v>2</v>
      </c>
      <c r="X353" t="str">
        <f t="shared" si="56"/>
        <v>June</v>
      </c>
      <c r="Y353">
        <f>HLOOKUP("Q"&amp;W353,Bonus_HLookup!$A$1:$E$2,2,FALSE)</f>
        <v>0.04</v>
      </c>
      <c r="Z353">
        <f t="shared" si="57"/>
        <v>147686.39999999999</v>
      </c>
      <c r="AA353" s="1">
        <f t="shared" si="58"/>
        <v>6812.7261184475747</v>
      </c>
      <c r="AB353">
        <f t="shared" si="59"/>
        <v>526</v>
      </c>
    </row>
    <row r="354" spans="1:28" x14ac:dyDescent="0.3">
      <c r="A354">
        <v>1353</v>
      </c>
      <c r="B354" t="s">
        <v>312</v>
      </c>
      <c r="C354" t="s">
        <v>18</v>
      </c>
      <c r="D354" t="s">
        <v>33</v>
      </c>
      <c r="E354" t="s">
        <v>151</v>
      </c>
      <c r="F354" t="s">
        <v>52</v>
      </c>
      <c r="G354">
        <v>8</v>
      </c>
      <c r="H354">
        <v>500</v>
      </c>
      <c r="I354">
        <v>5</v>
      </c>
      <c r="J354">
        <v>199473</v>
      </c>
      <c r="K354">
        <v>10</v>
      </c>
      <c r="L354">
        <v>1</v>
      </c>
      <c r="M354" t="str">
        <f>VLOOKUP(Sales_Data!F354,Product_Master!$A$2:$D$11,2)</f>
        <v>Mouse</v>
      </c>
      <c r="N354" t="str">
        <f>VLOOKUP(F354,Product_Master!$A$2:$C$11,3)</f>
        <v>Accessories</v>
      </c>
      <c r="O354">
        <f>VLOOKUP(F354,Product_Master!$A$2:$D$11,4,FALSE)</f>
        <v>350</v>
      </c>
      <c r="P354">
        <f t="shared" si="50"/>
        <v>4000</v>
      </c>
      <c r="Q354">
        <f t="shared" si="51"/>
        <v>200</v>
      </c>
      <c r="R354">
        <f t="shared" si="52"/>
        <v>3800</v>
      </c>
      <c r="S354">
        <f t="shared" si="53"/>
        <v>1000</v>
      </c>
      <c r="T354" t="str">
        <f>_xlfn.CONCAT(Sales_Data!C354,"-",Sales_Data!E354,"-",Sales_Data!A354)</f>
        <v>North-C1001-1353</v>
      </c>
      <c r="U354" t="str">
        <f t="shared" si="54"/>
        <v>Regular</v>
      </c>
      <c r="V354" t="str" cm="1">
        <f t="array" ref="V354">_xlfn.IFS(R354&gt;=100000,"Excellent",R354&gt;=50000,"Good",R354&gt;=20000,"Average",TRUE,"Poor")</f>
        <v>Poor</v>
      </c>
      <c r="W354">
        <f t="shared" si="55"/>
        <v>1</v>
      </c>
      <c r="X354" t="str">
        <f t="shared" si="56"/>
        <v>January</v>
      </c>
      <c r="Y354">
        <f>HLOOKUP("Q"&amp;W354,Bonus_HLookup!$A$1:$E$2,2,FALSE)</f>
        <v>0.02</v>
      </c>
      <c r="Z354">
        <f t="shared" si="57"/>
        <v>19947.3</v>
      </c>
      <c r="AA354" s="1">
        <f t="shared" si="58"/>
        <v>17536.845773431705</v>
      </c>
      <c r="AB354">
        <f t="shared" si="59"/>
        <v>854</v>
      </c>
    </row>
    <row r="355" spans="1:28" x14ac:dyDescent="0.3">
      <c r="A355">
        <v>1354</v>
      </c>
      <c r="B355" t="s">
        <v>53</v>
      </c>
      <c r="C355" t="s">
        <v>13</v>
      </c>
      <c r="D355" t="s">
        <v>50</v>
      </c>
      <c r="E355" t="s">
        <v>231</v>
      </c>
      <c r="F355" t="s">
        <v>42</v>
      </c>
      <c r="G355">
        <v>8</v>
      </c>
      <c r="H355">
        <v>8000</v>
      </c>
      <c r="I355">
        <v>0</v>
      </c>
      <c r="J355">
        <v>465016</v>
      </c>
      <c r="K355">
        <v>9</v>
      </c>
      <c r="L355">
        <v>4</v>
      </c>
      <c r="M355" t="str">
        <f>VLOOKUP(Sales_Data!F355,Product_Master!$A$2:$D$11,2)</f>
        <v>Printer</v>
      </c>
      <c r="N355" t="str">
        <f>VLOOKUP(F355,Product_Master!$A$2:$C$11,3)</f>
        <v>Electronics</v>
      </c>
      <c r="O355">
        <f>VLOOKUP(F355,Product_Master!$A$2:$D$11,4,FALSE)</f>
        <v>6500</v>
      </c>
      <c r="P355">
        <f t="shared" si="50"/>
        <v>64000</v>
      </c>
      <c r="Q355">
        <f t="shared" si="51"/>
        <v>0</v>
      </c>
      <c r="R355">
        <f t="shared" si="52"/>
        <v>64000</v>
      </c>
      <c r="S355">
        <f t="shared" si="53"/>
        <v>12000</v>
      </c>
      <c r="T355" t="str">
        <f>_xlfn.CONCAT(Sales_Data!C355,"-",Sales_Data!E355,"-",Sales_Data!A355)</f>
        <v>West-C1006-1354</v>
      </c>
      <c r="U355" t="str">
        <f t="shared" si="54"/>
        <v>High Value</v>
      </c>
      <c r="V355" t="str" cm="1">
        <f t="array" ref="V355">_xlfn.IFS(R355&gt;=100000,"Excellent",R355&gt;=50000,"Good",R355&gt;=20000,"Average",TRUE,"Poor")</f>
        <v>Good</v>
      </c>
      <c r="W355">
        <f t="shared" si="55"/>
        <v>3</v>
      </c>
      <c r="X355" t="str">
        <f t="shared" si="56"/>
        <v>July</v>
      </c>
      <c r="Y355">
        <f>HLOOKUP("Q"&amp;W355,Bonus_HLookup!$A$1:$E$2,2,FALSE)</f>
        <v>0.06</v>
      </c>
      <c r="Z355">
        <f t="shared" si="57"/>
        <v>167405.76000000001</v>
      </c>
      <c r="AA355" s="1">
        <f t="shared" si="58"/>
        <v>11571.94286455739</v>
      </c>
      <c r="AB355">
        <f t="shared" si="59"/>
        <v>237</v>
      </c>
    </row>
    <row r="356" spans="1:28" x14ac:dyDescent="0.3">
      <c r="A356">
        <v>1355</v>
      </c>
      <c r="B356" t="s">
        <v>313</v>
      </c>
      <c r="C356" t="s">
        <v>30</v>
      </c>
      <c r="D356" t="s">
        <v>14</v>
      </c>
      <c r="E356" t="s">
        <v>34</v>
      </c>
      <c r="F356" t="s">
        <v>36</v>
      </c>
      <c r="G356">
        <v>9</v>
      </c>
      <c r="H356">
        <v>55000</v>
      </c>
      <c r="I356">
        <v>15</v>
      </c>
      <c r="J356">
        <v>229238</v>
      </c>
      <c r="K356">
        <v>10</v>
      </c>
      <c r="L356">
        <v>1</v>
      </c>
      <c r="M356" t="str">
        <f>VLOOKUP(Sales_Data!F356,Product_Master!$A$2:$D$11,2)</f>
        <v>Laptop</v>
      </c>
      <c r="N356" t="str">
        <f>VLOOKUP(F356,Product_Master!$A$2:$C$11,3)</f>
        <v>Electronics</v>
      </c>
      <c r="O356">
        <f>VLOOKUP(F356,Product_Master!$A$2:$D$11,4,FALSE)</f>
        <v>45000</v>
      </c>
      <c r="P356">
        <f t="shared" si="50"/>
        <v>495000</v>
      </c>
      <c r="Q356">
        <f t="shared" si="51"/>
        <v>74250</v>
      </c>
      <c r="R356">
        <f t="shared" si="52"/>
        <v>420750</v>
      </c>
      <c r="S356">
        <f t="shared" si="53"/>
        <v>15750</v>
      </c>
      <c r="T356" t="str">
        <f>_xlfn.CONCAT(Sales_Data!C356,"-",Sales_Data!E356,"-",Sales_Data!A356)</f>
        <v>South-C1036-1355</v>
      </c>
      <c r="U356" t="str">
        <f t="shared" si="54"/>
        <v>High Value</v>
      </c>
      <c r="V356" t="str" cm="1">
        <f t="array" ref="V356">_xlfn.IFS(R356&gt;=100000,"Excellent",R356&gt;=50000,"Good",R356&gt;=20000,"Average",TRUE,"Poor")</f>
        <v>Excellent</v>
      </c>
      <c r="W356">
        <f t="shared" si="55"/>
        <v>4</v>
      </c>
      <c r="X356" t="str">
        <f t="shared" si="56"/>
        <v>November</v>
      </c>
      <c r="Y356">
        <f>HLOOKUP("Q"&amp;W356,Bonus_HLookup!$A$1:$E$2,2,FALSE)</f>
        <v>0.08</v>
      </c>
      <c r="Z356">
        <f t="shared" si="57"/>
        <v>22923.8</v>
      </c>
      <c r="AA356" s="1">
        <f t="shared" si="58"/>
        <v>20153.662156832939</v>
      </c>
      <c r="AB356">
        <f t="shared" si="59"/>
        <v>19</v>
      </c>
    </row>
    <row r="357" spans="1:28" x14ac:dyDescent="0.3">
      <c r="A357">
        <v>1356</v>
      </c>
      <c r="B357" t="s">
        <v>202</v>
      </c>
      <c r="C357" t="s">
        <v>18</v>
      </c>
      <c r="D357" t="s">
        <v>14</v>
      </c>
      <c r="E357" t="s">
        <v>31</v>
      </c>
      <c r="F357" t="s">
        <v>69</v>
      </c>
      <c r="G357">
        <v>6</v>
      </c>
      <c r="H357">
        <v>2000</v>
      </c>
      <c r="I357">
        <v>5</v>
      </c>
      <c r="J357">
        <v>331953</v>
      </c>
      <c r="K357">
        <v>12</v>
      </c>
      <c r="L357">
        <v>4</v>
      </c>
      <c r="M357" t="str">
        <f>VLOOKUP(Sales_Data!F357,Product_Master!$A$2:$D$11,2)</f>
        <v>Headset</v>
      </c>
      <c r="N357" t="str">
        <f>VLOOKUP(F357,Product_Master!$A$2:$C$11,3)</f>
        <v>Accessories</v>
      </c>
      <c r="O357">
        <f>VLOOKUP(F357,Product_Master!$A$2:$D$11,4,FALSE)</f>
        <v>1500</v>
      </c>
      <c r="P357">
        <f t="shared" si="50"/>
        <v>12000</v>
      </c>
      <c r="Q357">
        <f t="shared" si="51"/>
        <v>600</v>
      </c>
      <c r="R357">
        <f t="shared" si="52"/>
        <v>11400</v>
      </c>
      <c r="S357">
        <f t="shared" si="53"/>
        <v>2400</v>
      </c>
      <c r="T357" t="str">
        <f>_xlfn.CONCAT(Sales_Data!C357,"-",Sales_Data!E357,"-",Sales_Data!A357)</f>
        <v>North-C1025-1356</v>
      </c>
      <c r="U357" t="str">
        <f t="shared" si="54"/>
        <v>Regular</v>
      </c>
      <c r="V357" t="str" cm="1">
        <f t="array" ref="V357">_xlfn.IFS(R357&gt;=100000,"Excellent",R357&gt;=50000,"Good",R357&gt;=20000,"Average",TRUE,"Poor")</f>
        <v>Poor</v>
      </c>
      <c r="W357">
        <f t="shared" si="55"/>
        <v>1</v>
      </c>
      <c r="X357" t="str">
        <f t="shared" si="56"/>
        <v>March</v>
      </c>
      <c r="Y357">
        <f>HLOOKUP("Q"&amp;W357,Bonus_HLookup!$A$1:$E$2,2,FALSE)</f>
        <v>0.02</v>
      </c>
      <c r="Z357">
        <f t="shared" si="57"/>
        <v>159337.44</v>
      </c>
      <c r="AA357" s="1">
        <f t="shared" si="58"/>
        <v>8741.5956731347178</v>
      </c>
      <c r="AB357">
        <f t="shared" si="59"/>
        <v>607</v>
      </c>
    </row>
    <row r="358" spans="1:28" x14ac:dyDescent="0.3">
      <c r="A358">
        <v>1357</v>
      </c>
      <c r="B358" t="s">
        <v>126</v>
      </c>
      <c r="C358" t="s">
        <v>62</v>
      </c>
      <c r="D358" t="s">
        <v>59</v>
      </c>
      <c r="E358" t="s">
        <v>94</v>
      </c>
      <c r="F358" t="s">
        <v>69</v>
      </c>
      <c r="G358">
        <v>6</v>
      </c>
      <c r="H358">
        <v>2000</v>
      </c>
      <c r="I358">
        <v>8</v>
      </c>
      <c r="J358">
        <v>238677</v>
      </c>
      <c r="K358">
        <v>7</v>
      </c>
      <c r="L358">
        <v>4</v>
      </c>
      <c r="M358" t="str">
        <f>VLOOKUP(Sales_Data!F358,Product_Master!$A$2:$D$11,2)</f>
        <v>Headset</v>
      </c>
      <c r="N358" t="str">
        <f>VLOOKUP(F358,Product_Master!$A$2:$C$11,3)</f>
        <v>Accessories</v>
      </c>
      <c r="O358">
        <f>VLOOKUP(F358,Product_Master!$A$2:$D$11,4,FALSE)</f>
        <v>1500</v>
      </c>
      <c r="P358">
        <f t="shared" si="50"/>
        <v>12000</v>
      </c>
      <c r="Q358">
        <f t="shared" si="51"/>
        <v>960</v>
      </c>
      <c r="R358">
        <f t="shared" si="52"/>
        <v>11040</v>
      </c>
      <c r="S358">
        <f t="shared" si="53"/>
        <v>2040</v>
      </c>
      <c r="T358" t="str">
        <f>_xlfn.CONCAT(Sales_Data!C358,"-",Sales_Data!E358,"-",Sales_Data!A358)</f>
        <v>East-C1027-1357</v>
      </c>
      <c r="U358" t="str">
        <f t="shared" si="54"/>
        <v>Regular</v>
      </c>
      <c r="V358" t="str" cm="1">
        <f t="array" ref="V358">_xlfn.IFS(R358&gt;=100000,"Excellent",R358&gt;=50000,"Good",R358&gt;=20000,"Average",TRUE,"Poor")</f>
        <v>Poor</v>
      </c>
      <c r="W358">
        <f t="shared" si="55"/>
        <v>2</v>
      </c>
      <c r="X358" t="str">
        <f t="shared" si="56"/>
        <v>June</v>
      </c>
      <c r="Y358">
        <f>HLOOKUP("Q"&amp;W358,Bonus_HLookup!$A$1:$E$2,2,FALSE)</f>
        <v>0.04</v>
      </c>
      <c r="Z358">
        <f t="shared" si="57"/>
        <v>66829.56</v>
      </c>
      <c r="AA358" s="1">
        <f t="shared" si="58"/>
        <v>5715.4178372978859</v>
      </c>
      <c r="AB358">
        <f t="shared" si="59"/>
        <v>613</v>
      </c>
    </row>
    <row r="359" spans="1:28" x14ac:dyDescent="0.3">
      <c r="A359">
        <v>1358</v>
      </c>
      <c r="B359" t="s">
        <v>256</v>
      </c>
      <c r="C359" t="s">
        <v>13</v>
      </c>
      <c r="D359" t="s">
        <v>59</v>
      </c>
      <c r="E359" t="s">
        <v>203</v>
      </c>
      <c r="F359" t="s">
        <v>52</v>
      </c>
      <c r="G359">
        <v>4</v>
      </c>
      <c r="H359">
        <v>500</v>
      </c>
      <c r="I359">
        <v>10</v>
      </c>
      <c r="J359">
        <v>444551</v>
      </c>
      <c r="K359">
        <v>7</v>
      </c>
      <c r="L359">
        <v>1</v>
      </c>
      <c r="M359" t="str">
        <f>VLOOKUP(Sales_Data!F359,Product_Master!$A$2:$D$11,2)</f>
        <v>Mouse</v>
      </c>
      <c r="N359" t="str">
        <f>VLOOKUP(F359,Product_Master!$A$2:$C$11,3)</f>
        <v>Accessories</v>
      </c>
      <c r="O359">
        <f>VLOOKUP(F359,Product_Master!$A$2:$D$11,4,FALSE)</f>
        <v>350</v>
      </c>
      <c r="P359">
        <f t="shared" si="50"/>
        <v>2000</v>
      </c>
      <c r="Q359">
        <f t="shared" si="51"/>
        <v>200</v>
      </c>
      <c r="R359">
        <f t="shared" si="52"/>
        <v>1800</v>
      </c>
      <c r="S359">
        <f t="shared" si="53"/>
        <v>400</v>
      </c>
      <c r="T359" t="str">
        <f>_xlfn.CONCAT(Sales_Data!C359,"-",Sales_Data!E359,"-",Sales_Data!A359)</f>
        <v>West-C1037-1358</v>
      </c>
      <c r="U359" t="str">
        <f t="shared" si="54"/>
        <v>Regular</v>
      </c>
      <c r="V359" t="str" cm="1">
        <f t="array" ref="V359">_xlfn.IFS(R359&gt;=100000,"Excellent",R359&gt;=50000,"Good",R359&gt;=20000,"Average",TRUE,"Poor")</f>
        <v>Poor</v>
      </c>
      <c r="W359">
        <f t="shared" si="55"/>
        <v>2</v>
      </c>
      <c r="X359" t="str">
        <f t="shared" si="56"/>
        <v>June</v>
      </c>
      <c r="Y359">
        <f>HLOOKUP("Q"&amp;W359,Bonus_HLookup!$A$1:$E$2,2,FALSE)</f>
        <v>0.04</v>
      </c>
      <c r="Z359">
        <f t="shared" si="57"/>
        <v>31118.57</v>
      </c>
      <c r="AA359" s="1">
        <f t="shared" si="58"/>
        <v>38465.551504673371</v>
      </c>
      <c r="AB359">
        <f t="shared" si="59"/>
        <v>940</v>
      </c>
    </row>
    <row r="360" spans="1:28" x14ac:dyDescent="0.3">
      <c r="A360">
        <v>1359</v>
      </c>
      <c r="B360" t="s">
        <v>314</v>
      </c>
      <c r="C360" t="s">
        <v>13</v>
      </c>
      <c r="D360" t="s">
        <v>50</v>
      </c>
      <c r="E360" t="s">
        <v>108</v>
      </c>
      <c r="F360" t="s">
        <v>16</v>
      </c>
      <c r="G360">
        <v>4</v>
      </c>
      <c r="H360">
        <v>2500</v>
      </c>
      <c r="I360">
        <v>5</v>
      </c>
      <c r="J360">
        <v>428946</v>
      </c>
      <c r="K360">
        <v>12</v>
      </c>
      <c r="L360">
        <v>3</v>
      </c>
      <c r="M360" t="str">
        <f>VLOOKUP(Sales_Data!F360,Product_Master!$A$2:$D$11,2)</f>
        <v>Speaker</v>
      </c>
      <c r="N360" t="str">
        <f>VLOOKUP(F360,Product_Master!$A$2:$C$11,3)</f>
        <v>Accessories</v>
      </c>
      <c r="O360">
        <f>VLOOKUP(F360,Product_Master!$A$2:$D$11,4,FALSE)</f>
        <v>1800</v>
      </c>
      <c r="P360">
        <f t="shared" si="50"/>
        <v>10000</v>
      </c>
      <c r="Q360">
        <f t="shared" si="51"/>
        <v>500</v>
      </c>
      <c r="R360">
        <f t="shared" si="52"/>
        <v>9500</v>
      </c>
      <c r="S360">
        <f t="shared" si="53"/>
        <v>2300</v>
      </c>
      <c r="T360" t="str">
        <f>_xlfn.CONCAT(Sales_Data!C360,"-",Sales_Data!E360,"-",Sales_Data!A360)</f>
        <v>West-C1031-1359</v>
      </c>
      <c r="U360" t="str">
        <f t="shared" si="54"/>
        <v>Regular</v>
      </c>
      <c r="V360" t="str" cm="1">
        <f t="array" ref="V360">_xlfn.IFS(R360&gt;=100000,"Excellent",R360&gt;=50000,"Good",R360&gt;=20000,"Average",TRUE,"Poor")</f>
        <v>Poor</v>
      </c>
      <c r="W360">
        <f t="shared" si="55"/>
        <v>1</v>
      </c>
      <c r="X360" t="str">
        <f t="shared" si="56"/>
        <v>March</v>
      </c>
      <c r="Y360">
        <f>HLOOKUP("Q"&amp;W360,Bonus_HLookup!$A$1:$E$2,2,FALSE)</f>
        <v>0.02</v>
      </c>
      <c r="Z360">
        <f t="shared" si="57"/>
        <v>154420.56</v>
      </c>
      <c r="AA360" s="1">
        <f t="shared" si="58"/>
        <v>14247.145336983267</v>
      </c>
      <c r="AB360">
        <f t="shared" si="59"/>
        <v>651</v>
      </c>
    </row>
    <row r="361" spans="1:28" x14ac:dyDescent="0.3">
      <c r="A361">
        <v>1360</v>
      </c>
      <c r="B361" t="s">
        <v>264</v>
      </c>
      <c r="C361" t="s">
        <v>30</v>
      </c>
      <c r="D361" t="s">
        <v>14</v>
      </c>
      <c r="E361" t="s">
        <v>60</v>
      </c>
      <c r="F361" t="s">
        <v>42</v>
      </c>
      <c r="G361">
        <v>6</v>
      </c>
      <c r="H361">
        <v>8000</v>
      </c>
      <c r="I361">
        <v>15</v>
      </c>
      <c r="J361">
        <v>146238</v>
      </c>
      <c r="K361">
        <v>12</v>
      </c>
      <c r="L361">
        <v>1</v>
      </c>
      <c r="M361" t="str">
        <f>VLOOKUP(Sales_Data!F361,Product_Master!$A$2:$D$11,2)</f>
        <v>Printer</v>
      </c>
      <c r="N361" t="str">
        <f>VLOOKUP(F361,Product_Master!$A$2:$C$11,3)</f>
        <v>Electronics</v>
      </c>
      <c r="O361">
        <f>VLOOKUP(F361,Product_Master!$A$2:$D$11,4,FALSE)</f>
        <v>6500</v>
      </c>
      <c r="P361">
        <f t="shared" si="50"/>
        <v>48000</v>
      </c>
      <c r="Q361">
        <f t="shared" si="51"/>
        <v>7200</v>
      </c>
      <c r="R361">
        <f t="shared" si="52"/>
        <v>40800</v>
      </c>
      <c r="S361">
        <f t="shared" si="53"/>
        <v>1800</v>
      </c>
      <c r="T361" t="str">
        <f>_xlfn.CONCAT(Sales_Data!C361,"-",Sales_Data!E361,"-",Sales_Data!A361)</f>
        <v>South-C1018-1360</v>
      </c>
      <c r="U361" t="str">
        <f t="shared" si="54"/>
        <v>Regular</v>
      </c>
      <c r="V361" t="str" cm="1">
        <f t="array" ref="V361">_xlfn.IFS(R361&gt;=100000,"Excellent",R361&gt;=50000,"Good",R361&gt;=20000,"Average",TRUE,"Poor")</f>
        <v>Average</v>
      </c>
      <c r="W361">
        <f t="shared" si="55"/>
        <v>3</v>
      </c>
      <c r="X361" t="str">
        <f t="shared" si="56"/>
        <v>July</v>
      </c>
      <c r="Y361">
        <f>HLOOKUP("Q"&amp;W361,Bonus_HLookup!$A$1:$E$2,2,FALSE)</f>
        <v>0.06</v>
      </c>
      <c r="Z361">
        <f t="shared" si="57"/>
        <v>17548.560000000001</v>
      </c>
      <c r="AA361" s="1">
        <f t="shared" si="58"/>
        <v>12993.069158743332</v>
      </c>
      <c r="AB361">
        <f t="shared" si="59"/>
        <v>334</v>
      </c>
    </row>
    <row r="362" spans="1:28" x14ac:dyDescent="0.3">
      <c r="A362">
        <v>1361</v>
      </c>
      <c r="B362" t="s">
        <v>315</v>
      </c>
      <c r="C362" t="s">
        <v>18</v>
      </c>
      <c r="D362" t="s">
        <v>19</v>
      </c>
      <c r="E362" t="s">
        <v>71</v>
      </c>
      <c r="F362" t="s">
        <v>36</v>
      </c>
      <c r="G362">
        <v>4</v>
      </c>
      <c r="H362">
        <v>55000</v>
      </c>
      <c r="I362">
        <v>5</v>
      </c>
      <c r="J362">
        <v>478051</v>
      </c>
      <c r="K362">
        <v>10</v>
      </c>
      <c r="L362">
        <v>3</v>
      </c>
      <c r="M362" t="str">
        <f>VLOOKUP(Sales_Data!F362,Product_Master!$A$2:$D$11,2)</f>
        <v>Laptop</v>
      </c>
      <c r="N362" t="str">
        <f>VLOOKUP(F362,Product_Master!$A$2:$C$11,3)</f>
        <v>Electronics</v>
      </c>
      <c r="O362">
        <f>VLOOKUP(F362,Product_Master!$A$2:$D$11,4,FALSE)</f>
        <v>45000</v>
      </c>
      <c r="P362">
        <f t="shared" si="50"/>
        <v>220000</v>
      </c>
      <c r="Q362">
        <f t="shared" si="51"/>
        <v>11000</v>
      </c>
      <c r="R362">
        <f t="shared" si="52"/>
        <v>209000</v>
      </c>
      <c r="S362">
        <f t="shared" si="53"/>
        <v>29000</v>
      </c>
      <c r="T362" t="str">
        <f>_xlfn.CONCAT(Sales_Data!C362,"-",Sales_Data!E362,"-",Sales_Data!A362)</f>
        <v>North-C1019-1361</v>
      </c>
      <c r="U362" t="str">
        <f t="shared" si="54"/>
        <v>High Value</v>
      </c>
      <c r="V362" t="str" cm="1">
        <f t="array" ref="V362">_xlfn.IFS(R362&gt;=100000,"Excellent",R362&gt;=50000,"Good",R362&gt;=20000,"Average",TRUE,"Poor")</f>
        <v>Excellent</v>
      </c>
      <c r="W362">
        <f t="shared" si="55"/>
        <v>3</v>
      </c>
      <c r="X362" t="str">
        <f t="shared" si="56"/>
        <v>July</v>
      </c>
      <c r="Y362">
        <f>HLOOKUP("Q"&amp;W362,Bonus_HLookup!$A$1:$E$2,2,FALSE)</f>
        <v>0.06</v>
      </c>
      <c r="Z362">
        <f t="shared" si="57"/>
        <v>143415.29999999999</v>
      </c>
      <c r="AA362" s="1">
        <f t="shared" si="58"/>
        <v>15425.361105201204</v>
      </c>
      <c r="AB362">
        <f t="shared" si="59"/>
        <v>102</v>
      </c>
    </row>
    <row r="363" spans="1:28" x14ac:dyDescent="0.3">
      <c r="A363">
        <v>1362</v>
      </c>
      <c r="B363" t="s">
        <v>64</v>
      </c>
      <c r="C363" t="s">
        <v>13</v>
      </c>
      <c r="D363" t="s">
        <v>91</v>
      </c>
      <c r="E363" t="s">
        <v>151</v>
      </c>
      <c r="F363" t="s">
        <v>28</v>
      </c>
      <c r="G363">
        <v>5</v>
      </c>
      <c r="H363">
        <v>950</v>
      </c>
      <c r="I363">
        <v>10</v>
      </c>
      <c r="J363">
        <v>159955</v>
      </c>
      <c r="K363">
        <v>9</v>
      </c>
      <c r="L363">
        <v>3</v>
      </c>
      <c r="M363" t="str">
        <f>VLOOKUP(Sales_Data!F363,Product_Master!$A$2:$D$11,2)</f>
        <v>Webcam</v>
      </c>
      <c r="N363" t="str">
        <f>VLOOKUP(F363,Product_Master!$A$2:$C$11,3)</f>
        <v>Accessories</v>
      </c>
      <c r="O363">
        <f>VLOOKUP(F363,Product_Master!$A$2:$D$11,4,FALSE)</f>
        <v>700</v>
      </c>
      <c r="P363">
        <f t="shared" si="50"/>
        <v>4750</v>
      </c>
      <c r="Q363">
        <f t="shared" si="51"/>
        <v>475</v>
      </c>
      <c r="R363">
        <f t="shared" si="52"/>
        <v>4275</v>
      </c>
      <c r="S363">
        <f t="shared" si="53"/>
        <v>775</v>
      </c>
      <c r="T363" t="str">
        <f>_xlfn.CONCAT(Sales_Data!C363,"-",Sales_Data!E363,"-",Sales_Data!A363)</f>
        <v>West-C1001-1362</v>
      </c>
      <c r="U363" t="str">
        <f t="shared" si="54"/>
        <v>Regular</v>
      </c>
      <c r="V363" t="str" cm="1">
        <f t="array" ref="V363">_xlfn.IFS(R363&gt;=100000,"Excellent",R363&gt;=50000,"Good",R363&gt;=20000,"Average",TRUE,"Poor")</f>
        <v>Poor</v>
      </c>
      <c r="W363">
        <f t="shared" si="55"/>
        <v>2</v>
      </c>
      <c r="X363" t="str">
        <f t="shared" si="56"/>
        <v>April</v>
      </c>
      <c r="Y363">
        <f>HLOOKUP("Q"&amp;W363,Bonus_HLookup!$A$1:$E$2,2,FALSE)</f>
        <v>0.04</v>
      </c>
      <c r="Z363">
        <f t="shared" si="57"/>
        <v>43187.85</v>
      </c>
      <c r="AA363" s="1">
        <f t="shared" si="58"/>
        <v>5086.526237620812</v>
      </c>
      <c r="AB363">
        <f t="shared" si="59"/>
        <v>819</v>
      </c>
    </row>
    <row r="364" spans="1:28" x14ac:dyDescent="0.3">
      <c r="A364">
        <v>1363</v>
      </c>
      <c r="B364" t="s">
        <v>214</v>
      </c>
      <c r="C364" t="s">
        <v>18</v>
      </c>
      <c r="D364" t="s">
        <v>50</v>
      </c>
      <c r="E364" t="s">
        <v>140</v>
      </c>
      <c r="F364" t="s">
        <v>25</v>
      </c>
      <c r="G364">
        <v>2</v>
      </c>
      <c r="H364">
        <v>1500</v>
      </c>
      <c r="I364">
        <v>5</v>
      </c>
      <c r="J364">
        <v>52383</v>
      </c>
      <c r="K364">
        <v>7</v>
      </c>
      <c r="L364">
        <v>1</v>
      </c>
      <c r="M364" t="str">
        <f>VLOOKUP(Sales_Data!F364,Product_Master!$A$2:$D$11,2)</f>
        <v>Keyboard</v>
      </c>
      <c r="N364" t="str">
        <f>VLOOKUP(F364,Product_Master!$A$2:$C$11,3)</f>
        <v>Accessories</v>
      </c>
      <c r="O364">
        <f>VLOOKUP(F364,Product_Master!$A$2:$D$11,4,FALSE)</f>
        <v>1200</v>
      </c>
      <c r="P364">
        <f t="shared" si="50"/>
        <v>3000</v>
      </c>
      <c r="Q364">
        <f t="shared" si="51"/>
        <v>150</v>
      </c>
      <c r="R364">
        <f t="shared" si="52"/>
        <v>2850</v>
      </c>
      <c r="S364">
        <f t="shared" si="53"/>
        <v>450</v>
      </c>
      <c r="T364" t="str">
        <f>_xlfn.CONCAT(Sales_Data!C364,"-",Sales_Data!E364,"-",Sales_Data!A364)</f>
        <v>North-C1011-1363</v>
      </c>
      <c r="U364" t="str">
        <f t="shared" si="54"/>
        <v>Regular</v>
      </c>
      <c r="V364" t="str" cm="1">
        <f t="array" ref="V364">_xlfn.IFS(R364&gt;=100000,"Excellent",R364&gt;=50000,"Good",R364&gt;=20000,"Average",TRUE,"Poor")</f>
        <v>Poor</v>
      </c>
      <c r="W364">
        <f t="shared" si="55"/>
        <v>4</v>
      </c>
      <c r="X364" t="str">
        <f t="shared" si="56"/>
        <v>December</v>
      </c>
      <c r="Y364">
        <f>HLOOKUP("Q"&amp;W364,Bonus_HLookup!$A$1:$E$2,2,FALSE)</f>
        <v>0.08</v>
      </c>
      <c r="Z364">
        <f t="shared" si="57"/>
        <v>3666.81</v>
      </c>
      <c r="AA364" s="1">
        <f t="shared" si="58"/>
        <v>4532.5305408587656</v>
      </c>
      <c r="AB364">
        <f t="shared" si="59"/>
        <v>887</v>
      </c>
    </row>
    <row r="365" spans="1:28" x14ac:dyDescent="0.3">
      <c r="A365">
        <v>1364</v>
      </c>
      <c r="B365" t="s">
        <v>92</v>
      </c>
      <c r="C365" t="s">
        <v>62</v>
      </c>
      <c r="D365" t="s">
        <v>19</v>
      </c>
      <c r="E365" t="s">
        <v>128</v>
      </c>
      <c r="F365" t="s">
        <v>74</v>
      </c>
      <c r="G365">
        <v>5</v>
      </c>
      <c r="H365">
        <v>35000</v>
      </c>
      <c r="I365">
        <v>15</v>
      </c>
      <c r="J365">
        <v>113026</v>
      </c>
      <c r="K365">
        <v>9</v>
      </c>
      <c r="L365">
        <v>5</v>
      </c>
      <c r="M365" t="str">
        <f>VLOOKUP(Sales_Data!F365,Product_Master!$A$2:$D$11,2)</f>
        <v>Tablet</v>
      </c>
      <c r="N365" t="str">
        <f>VLOOKUP(F365,Product_Master!$A$2:$C$11,3)</f>
        <v>Electronics</v>
      </c>
      <c r="O365">
        <f>VLOOKUP(F365,Product_Master!$A$2:$D$11,4,FALSE)</f>
        <v>29000</v>
      </c>
      <c r="P365">
        <f t="shared" si="50"/>
        <v>175000</v>
      </c>
      <c r="Q365">
        <f t="shared" si="51"/>
        <v>26250</v>
      </c>
      <c r="R365">
        <f t="shared" si="52"/>
        <v>148750</v>
      </c>
      <c r="S365">
        <f t="shared" si="53"/>
        <v>3750</v>
      </c>
      <c r="T365" t="str">
        <f>_xlfn.CONCAT(Sales_Data!C365,"-",Sales_Data!E365,"-",Sales_Data!A365)</f>
        <v>East-C1013-1364</v>
      </c>
      <c r="U365" t="str">
        <f t="shared" si="54"/>
        <v>High Value</v>
      </c>
      <c r="V365" t="str" cm="1">
        <f t="array" ref="V365">_xlfn.IFS(R365&gt;=100000,"Excellent",R365&gt;=50000,"Good",R365&gt;=20000,"Average",TRUE,"Poor")</f>
        <v>Excellent</v>
      </c>
      <c r="W365">
        <f t="shared" si="55"/>
        <v>2</v>
      </c>
      <c r="X365" t="str">
        <f t="shared" si="56"/>
        <v>May</v>
      </c>
      <c r="Y365">
        <f>HLOOKUP("Q"&amp;W365,Bonus_HLookup!$A$1:$E$2,2,FALSE)</f>
        <v>0.04</v>
      </c>
      <c r="Z365">
        <f t="shared" si="57"/>
        <v>50861.7</v>
      </c>
      <c r="AA365" s="1">
        <f t="shared" si="58"/>
        <v>2346.2338578138879</v>
      </c>
      <c r="AB365">
        <f t="shared" si="59"/>
        <v>133</v>
      </c>
    </row>
    <row r="366" spans="1:28" x14ac:dyDescent="0.3">
      <c r="A366">
        <v>1365</v>
      </c>
      <c r="B366" t="s">
        <v>316</v>
      </c>
      <c r="C366" t="s">
        <v>13</v>
      </c>
      <c r="D366" t="s">
        <v>59</v>
      </c>
      <c r="E366" t="s">
        <v>131</v>
      </c>
      <c r="F366" t="s">
        <v>16</v>
      </c>
      <c r="G366">
        <v>9</v>
      </c>
      <c r="H366">
        <v>2500</v>
      </c>
      <c r="I366">
        <v>10</v>
      </c>
      <c r="J366">
        <v>384716</v>
      </c>
      <c r="K366">
        <v>8</v>
      </c>
      <c r="L366">
        <v>5</v>
      </c>
      <c r="M366" t="str">
        <f>VLOOKUP(Sales_Data!F366,Product_Master!$A$2:$D$11,2)</f>
        <v>Speaker</v>
      </c>
      <c r="N366" t="str">
        <f>VLOOKUP(F366,Product_Master!$A$2:$C$11,3)</f>
        <v>Accessories</v>
      </c>
      <c r="O366">
        <f>VLOOKUP(F366,Product_Master!$A$2:$D$11,4,FALSE)</f>
        <v>1800</v>
      </c>
      <c r="P366">
        <f t="shared" si="50"/>
        <v>22500</v>
      </c>
      <c r="Q366">
        <f t="shared" si="51"/>
        <v>2250</v>
      </c>
      <c r="R366">
        <f t="shared" si="52"/>
        <v>20250</v>
      </c>
      <c r="S366">
        <f t="shared" si="53"/>
        <v>4050</v>
      </c>
      <c r="T366" t="str">
        <f>_xlfn.CONCAT(Sales_Data!C366,"-",Sales_Data!E366,"-",Sales_Data!A366)</f>
        <v>West-C1047-1365</v>
      </c>
      <c r="U366" t="str">
        <f t="shared" si="54"/>
        <v>Regular</v>
      </c>
      <c r="V366" t="str" cm="1">
        <f t="array" ref="V366">_xlfn.IFS(R366&gt;=100000,"Excellent",R366&gt;=50000,"Good",R366&gt;=20000,"Average",TRUE,"Poor")</f>
        <v>Average</v>
      </c>
      <c r="W366">
        <f t="shared" si="55"/>
        <v>2</v>
      </c>
      <c r="X366" t="str">
        <f t="shared" si="56"/>
        <v>May</v>
      </c>
      <c r="Y366">
        <f>HLOOKUP("Q"&amp;W366,Bonus_HLookup!$A$1:$E$2,2,FALSE)</f>
        <v>0.04</v>
      </c>
      <c r="Z366">
        <f t="shared" si="57"/>
        <v>153886.39999999999</v>
      </c>
      <c r="AA366" s="1">
        <f t="shared" si="58"/>
        <v>7800.653305061358</v>
      </c>
      <c r="AB366">
        <f t="shared" si="59"/>
        <v>449</v>
      </c>
    </row>
    <row r="367" spans="1:28" x14ac:dyDescent="0.3">
      <c r="A367">
        <v>1366</v>
      </c>
      <c r="B367" t="s">
        <v>202</v>
      </c>
      <c r="C367" t="s">
        <v>30</v>
      </c>
      <c r="D367" t="s">
        <v>14</v>
      </c>
      <c r="E367" t="s">
        <v>71</v>
      </c>
      <c r="F367" t="s">
        <v>74</v>
      </c>
      <c r="G367">
        <v>9</v>
      </c>
      <c r="H367">
        <v>35000</v>
      </c>
      <c r="I367">
        <v>5</v>
      </c>
      <c r="J367">
        <v>270408</v>
      </c>
      <c r="K367">
        <v>9</v>
      </c>
      <c r="L367">
        <v>3</v>
      </c>
      <c r="M367" t="str">
        <f>VLOOKUP(Sales_Data!F367,Product_Master!$A$2:$D$11,2)</f>
        <v>Tablet</v>
      </c>
      <c r="N367" t="str">
        <f>VLOOKUP(F367,Product_Master!$A$2:$C$11,3)</f>
        <v>Electronics</v>
      </c>
      <c r="O367">
        <f>VLOOKUP(F367,Product_Master!$A$2:$D$11,4,FALSE)</f>
        <v>29000</v>
      </c>
      <c r="P367">
        <f t="shared" si="50"/>
        <v>315000</v>
      </c>
      <c r="Q367">
        <f t="shared" si="51"/>
        <v>15750</v>
      </c>
      <c r="R367">
        <f t="shared" si="52"/>
        <v>299250</v>
      </c>
      <c r="S367">
        <f t="shared" si="53"/>
        <v>38250</v>
      </c>
      <c r="T367" t="str">
        <f>_xlfn.CONCAT(Sales_Data!C367,"-",Sales_Data!E367,"-",Sales_Data!A367)</f>
        <v>South-C1019-1366</v>
      </c>
      <c r="U367" t="str">
        <f t="shared" si="54"/>
        <v>High Value</v>
      </c>
      <c r="V367" t="str" cm="1">
        <f t="array" ref="V367">_xlfn.IFS(R367&gt;=100000,"Excellent",R367&gt;=50000,"Good",R367&gt;=20000,"Average",TRUE,"Poor")</f>
        <v>Excellent</v>
      </c>
      <c r="W367">
        <f t="shared" si="55"/>
        <v>1</v>
      </c>
      <c r="X367" t="str">
        <f t="shared" si="56"/>
        <v>March</v>
      </c>
      <c r="Y367">
        <f>HLOOKUP("Q"&amp;W367,Bonus_HLookup!$A$1:$E$2,2,FALSE)</f>
        <v>0.02</v>
      </c>
      <c r="Z367">
        <f t="shared" si="57"/>
        <v>73010.16</v>
      </c>
      <c r="AA367" s="1">
        <f t="shared" si="58"/>
        <v>8598.9021091092418</v>
      </c>
      <c r="AB367">
        <f t="shared" si="59"/>
        <v>56</v>
      </c>
    </row>
    <row r="368" spans="1:28" x14ac:dyDescent="0.3">
      <c r="A368">
        <v>1367</v>
      </c>
      <c r="B368" t="s">
        <v>317</v>
      </c>
      <c r="C368" t="s">
        <v>30</v>
      </c>
      <c r="D368" t="s">
        <v>91</v>
      </c>
      <c r="E368" t="s">
        <v>57</v>
      </c>
      <c r="F368" t="s">
        <v>21</v>
      </c>
      <c r="G368">
        <v>10</v>
      </c>
      <c r="H368">
        <v>12000</v>
      </c>
      <c r="I368">
        <v>10</v>
      </c>
      <c r="J368">
        <v>397890</v>
      </c>
      <c r="K368">
        <v>10</v>
      </c>
      <c r="L368">
        <v>4</v>
      </c>
      <c r="M368" t="str">
        <f>VLOOKUP(Sales_Data!F368,Product_Master!$A$2:$D$11,2)</f>
        <v>Monitor</v>
      </c>
      <c r="N368" t="str">
        <f>VLOOKUP(F368,Product_Master!$A$2:$C$11,3)</f>
        <v>Electronics</v>
      </c>
      <c r="O368">
        <f>VLOOKUP(F368,Product_Master!$A$2:$D$11,4,FALSE)</f>
        <v>9000</v>
      </c>
      <c r="P368">
        <f t="shared" si="50"/>
        <v>120000</v>
      </c>
      <c r="Q368">
        <f t="shared" si="51"/>
        <v>12000</v>
      </c>
      <c r="R368">
        <f t="shared" si="52"/>
        <v>108000</v>
      </c>
      <c r="S368">
        <f t="shared" si="53"/>
        <v>18000</v>
      </c>
      <c r="T368" t="str">
        <f>_xlfn.CONCAT(Sales_Data!C368,"-",Sales_Data!E368,"-",Sales_Data!A368)</f>
        <v>South-C1012-1367</v>
      </c>
      <c r="U368" t="str">
        <f t="shared" si="54"/>
        <v>High Value</v>
      </c>
      <c r="V368" t="str" cm="1">
        <f t="array" ref="V368">_xlfn.IFS(R368&gt;=100000,"Excellent",R368&gt;=50000,"Good",R368&gt;=20000,"Average",TRUE,"Poor")</f>
        <v>Excellent</v>
      </c>
      <c r="W368">
        <f t="shared" si="55"/>
        <v>1</v>
      </c>
      <c r="X368" t="str">
        <f t="shared" si="56"/>
        <v>January</v>
      </c>
      <c r="Y368">
        <f>HLOOKUP("Q"&amp;W368,Bonus_HLookup!$A$1:$E$2,2,FALSE)</f>
        <v>0.02</v>
      </c>
      <c r="Z368">
        <f t="shared" si="57"/>
        <v>159156</v>
      </c>
      <c r="AA368" s="1">
        <f t="shared" si="58"/>
        <v>10091.51832285156</v>
      </c>
      <c r="AB368">
        <f t="shared" si="59"/>
        <v>154</v>
      </c>
    </row>
    <row r="369" spans="1:28" x14ac:dyDescent="0.3">
      <c r="A369">
        <v>1368</v>
      </c>
      <c r="B369" t="s">
        <v>156</v>
      </c>
      <c r="C369" t="s">
        <v>62</v>
      </c>
      <c r="D369" t="s">
        <v>46</v>
      </c>
      <c r="E369" t="s">
        <v>140</v>
      </c>
      <c r="F369" t="s">
        <v>52</v>
      </c>
      <c r="G369">
        <v>2</v>
      </c>
      <c r="H369">
        <v>500</v>
      </c>
      <c r="I369">
        <v>12</v>
      </c>
      <c r="J369">
        <v>475905</v>
      </c>
      <c r="K369">
        <v>9</v>
      </c>
      <c r="L369">
        <v>3</v>
      </c>
      <c r="M369" t="str">
        <f>VLOOKUP(Sales_Data!F369,Product_Master!$A$2:$D$11,2)</f>
        <v>Mouse</v>
      </c>
      <c r="N369" t="str">
        <f>VLOOKUP(F369,Product_Master!$A$2:$C$11,3)</f>
        <v>Accessories</v>
      </c>
      <c r="O369">
        <f>VLOOKUP(F369,Product_Master!$A$2:$D$11,4,FALSE)</f>
        <v>350</v>
      </c>
      <c r="P369">
        <f t="shared" si="50"/>
        <v>1000</v>
      </c>
      <c r="Q369">
        <f t="shared" si="51"/>
        <v>120</v>
      </c>
      <c r="R369">
        <f t="shared" si="52"/>
        <v>880</v>
      </c>
      <c r="S369">
        <f t="shared" si="53"/>
        <v>180</v>
      </c>
      <c r="T369" t="str">
        <f>_xlfn.CONCAT(Sales_Data!C369,"-",Sales_Data!E369,"-",Sales_Data!A369)</f>
        <v>East-C1011-1368</v>
      </c>
      <c r="U369" t="str">
        <f t="shared" si="54"/>
        <v>Regular</v>
      </c>
      <c r="V369" t="str" cm="1">
        <f t="array" ref="V369">_xlfn.IFS(R369&gt;=100000,"Excellent",R369&gt;=50000,"Good",R369&gt;=20000,"Average",TRUE,"Poor")</f>
        <v>Poor</v>
      </c>
      <c r="W369">
        <f t="shared" si="55"/>
        <v>1</v>
      </c>
      <c r="X369" t="str">
        <f t="shared" si="56"/>
        <v>February</v>
      </c>
      <c r="Y369">
        <f>HLOOKUP("Q"&amp;W369,Bonus_HLookup!$A$1:$E$2,2,FALSE)</f>
        <v>0.02</v>
      </c>
      <c r="Z369">
        <f t="shared" si="57"/>
        <v>128494.35</v>
      </c>
      <c r="AA369" s="1">
        <f t="shared" si="58"/>
        <v>15133.651771529072</v>
      </c>
      <c r="AB369">
        <f t="shared" si="59"/>
        <v>980</v>
      </c>
    </row>
    <row r="370" spans="1:28" x14ac:dyDescent="0.3">
      <c r="A370">
        <v>1369</v>
      </c>
      <c r="B370" t="s">
        <v>132</v>
      </c>
      <c r="C370" t="s">
        <v>62</v>
      </c>
      <c r="D370" t="s">
        <v>50</v>
      </c>
      <c r="E370" t="s">
        <v>82</v>
      </c>
      <c r="F370" t="s">
        <v>25</v>
      </c>
      <c r="G370">
        <v>6</v>
      </c>
      <c r="H370">
        <v>1500</v>
      </c>
      <c r="I370">
        <v>5</v>
      </c>
      <c r="J370">
        <v>173628</v>
      </c>
      <c r="K370">
        <v>10</v>
      </c>
      <c r="L370">
        <v>4</v>
      </c>
      <c r="M370" t="str">
        <f>VLOOKUP(Sales_Data!F370,Product_Master!$A$2:$D$11,2)</f>
        <v>Keyboard</v>
      </c>
      <c r="N370" t="str">
        <f>VLOOKUP(F370,Product_Master!$A$2:$C$11,3)</f>
        <v>Accessories</v>
      </c>
      <c r="O370">
        <f>VLOOKUP(F370,Product_Master!$A$2:$D$11,4,FALSE)</f>
        <v>1200</v>
      </c>
      <c r="P370">
        <f t="shared" si="50"/>
        <v>9000</v>
      </c>
      <c r="Q370">
        <f t="shared" si="51"/>
        <v>450</v>
      </c>
      <c r="R370">
        <f t="shared" si="52"/>
        <v>8550</v>
      </c>
      <c r="S370">
        <f t="shared" si="53"/>
        <v>1350</v>
      </c>
      <c r="T370" t="str">
        <f>_xlfn.CONCAT(Sales_Data!C370,"-",Sales_Data!E370,"-",Sales_Data!A370)</f>
        <v>East-C1045-1369</v>
      </c>
      <c r="U370" t="str">
        <f t="shared" si="54"/>
        <v>Regular</v>
      </c>
      <c r="V370" t="str" cm="1">
        <f t="array" ref="V370">_xlfn.IFS(R370&gt;=100000,"Excellent",R370&gt;=50000,"Good",R370&gt;=20000,"Average",TRUE,"Poor")</f>
        <v>Poor</v>
      </c>
      <c r="W370">
        <f t="shared" si="55"/>
        <v>3</v>
      </c>
      <c r="X370" t="str">
        <f t="shared" si="56"/>
        <v>September</v>
      </c>
      <c r="Y370">
        <f>HLOOKUP("Q"&amp;W370,Bonus_HLookup!$A$1:$E$2,2,FALSE)</f>
        <v>0.06</v>
      </c>
      <c r="Z370">
        <f t="shared" si="57"/>
        <v>69451.199999999997</v>
      </c>
      <c r="AA370" s="1">
        <f t="shared" si="58"/>
        <v>4403.6546366082857</v>
      </c>
      <c r="AB370">
        <f t="shared" si="59"/>
        <v>675</v>
      </c>
    </row>
    <row r="371" spans="1:28" x14ac:dyDescent="0.3">
      <c r="A371">
        <v>1370</v>
      </c>
      <c r="B371" t="s">
        <v>268</v>
      </c>
      <c r="C371" t="s">
        <v>18</v>
      </c>
      <c r="D371" t="s">
        <v>14</v>
      </c>
      <c r="E371" t="s">
        <v>51</v>
      </c>
      <c r="F371" t="s">
        <v>69</v>
      </c>
      <c r="G371">
        <v>3</v>
      </c>
      <c r="H371">
        <v>2000</v>
      </c>
      <c r="I371">
        <v>5</v>
      </c>
      <c r="J371">
        <v>408279</v>
      </c>
      <c r="K371">
        <v>8</v>
      </c>
      <c r="L371">
        <v>3</v>
      </c>
      <c r="M371" t="str">
        <f>VLOOKUP(Sales_Data!F371,Product_Master!$A$2:$D$11,2)</f>
        <v>Headset</v>
      </c>
      <c r="N371" t="str">
        <f>VLOOKUP(F371,Product_Master!$A$2:$C$11,3)</f>
        <v>Accessories</v>
      </c>
      <c r="O371">
        <f>VLOOKUP(F371,Product_Master!$A$2:$D$11,4,FALSE)</f>
        <v>1500</v>
      </c>
      <c r="P371">
        <f t="shared" si="50"/>
        <v>6000</v>
      </c>
      <c r="Q371">
        <f t="shared" si="51"/>
        <v>300</v>
      </c>
      <c r="R371">
        <f t="shared" si="52"/>
        <v>5700</v>
      </c>
      <c r="S371">
        <f t="shared" si="53"/>
        <v>1200</v>
      </c>
      <c r="T371" t="str">
        <f>_xlfn.CONCAT(Sales_Data!C371,"-",Sales_Data!E371,"-",Sales_Data!A371)</f>
        <v>North-C1002-1370</v>
      </c>
      <c r="U371" t="str">
        <f t="shared" si="54"/>
        <v>Regular</v>
      </c>
      <c r="V371" t="str" cm="1">
        <f t="array" ref="V371">_xlfn.IFS(R371&gt;=100000,"Excellent",R371&gt;=50000,"Good",R371&gt;=20000,"Average",TRUE,"Poor")</f>
        <v>Poor</v>
      </c>
      <c r="W371">
        <f t="shared" si="55"/>
        <v>3</v>
      </c>
      <c r="X371" t="str">
        <f t="shared" si="56"/>
        <v>September</v>
      </c>
      <c r="Y371">
        <f>HLOOKUP("Q"&amp;W371,Bonus_HLookup!$A$1:$E$2,2,FALSE)</f>
        <v>0.06</v>
      </c>
      <c r="Z371">
        <f t="shared" si="57"/>
        <v>97986.96</v>
      </c>
      <c r="AA371" s="1">
        <f t="shared" si="58"/>
        <v>12793.979954227527</v>
      </c>
      <c r="AB371">
        <f t="shared" si="59"/>
        <v>767</v>
      </c>
    </row>
    <row r="372" spans="1:28" x14ac:dyDescent="0.3">
      <c r="A372">
        <v>1371</v>
      </c>
      <c r="B372" t="s">
        <v>207</v>
      </c>
      <c r="C372" t="s">
        <v>18</v>
      </c>
      <c r="D372" t="s">
        <v>46</v>
      </c>
      <c r="E372" t="s">
        <v>203</v>
      </c>
      <c r="F372" t="s">
        <v>39</v>
      </c>
      <c r="G372">
        <v>2</v>
      </c>
      <c r="H372">
        <v>7000</v>
      </c>
      <c r="I372">
        <v>10</v>
      </c>
      <c r="J372">
        <v>254056</v>
      </c>
      <c r="K372">
        <v>9</v>
      </c>
      <c r="L372">
        <v>1</v>
      </c>
      <c r="M372" t="str">
        <f>VLOOKUP(Sales_Data!F372,Product_Master!$A$2:$D$11,2)</f>
        <v>Router</v>
      </c>
      <c r="N372" t="str">
        <f>VLOOKUP(F372,Product_Master!$A$2:$C$11,3)</f>
        <v>Electronics</v>
      </c>
      <c r="O372">
        <f>VLOOKUP(F372,Product_Master!$A$2:$D$11,4,FALSE)</f>
        <v>5000</v>
      </c>
      <c r="P372">
        <f t="shared" si="50"/>
        <v>14000</v>
      </c>
      <c r="Q372">
        <f t="shared" si="51"/>
        <v>1400</v>
      </c>
      <c r="R372">
        <f t="shared" si="52"/>
        <v>12600</v>
      </c>
      <c r="S372">
        <f t="shared" si="53"/>
        <v>2600</v>
      </c>
      <c r="T372" t="str">
        <f>_xlfn.CONCAT(Sales_Data!C372,"-",Sales_Data!E372,"-",Sales_Data!A372)</f>
        <v>North-C1037-1371</v>
      </c>
      <c r="U372" t="str">
        <f t="shared" si="54"/>
        <v>Regular</v>
      </c>
      <c r="V372" t="str" cm="1">
        <f t="array" ref="V372">_xlfn.IFS(R372&gt;=100000,"Excellent",R372&gt;=50000,"Good",R372&gt;=20000,"Average",TRUE,"Poor")</f>
        <v>Poor</v>
      </c>
      <c r="W372">
        <f t="shared" si="55"/>
        <v>1</v>
      </c>
      <c r="X372" t="str">
        <f t="shared" si="56"/>
        <v>January</v>
      </c>
      <c r="Y372">
        <f>HLOOKUP("Q"&amp;W372,Bonus_HLookup!$A$1:$E$2,2,FALSE)</f>
        <v>0.02</v>
      </c>
      <c r="Z372">
        <f t="shared" si="57"/>
        <v>22865.040000000001</v>
      </c>
      <c r="AA372" s="1">
        <f t="shared" si="58"/>
        <v>22217.572382259157</v>
      </c>
      <c r="AB372">
        <f t="shared" si="59"/>
        <v>575</v>
      </c>
    </row>
    <row r="373" spans="1:28" x14ac:dyDescent="0.3">
      <c r="A373">
        <v>1372</v>
      </c>
      <c r="B373" t="s">
        <v>318</v>
      </c>
      <c r="C373" t="s">
        <v>18</v>
      </c>
      <c r="D373" t="s">
        <v>23</v>
      </c>
      <c r="E373" t="s">
        <v>38</v>
      </c>
      <c r="F373" t="s">
        <v>69</v>
      </c>
      <c r="G373">
        <v>4</v>
      </c>
      <c r="H373">
        <v>2000</v>
      </c>
      <c r="I373">
        <v>2</v>
      </c>
      <c r="J373">
        <v>68241</v>
      </c>
      <c r="K373">
        <v>8</v>
      </c>
      <c r="L373">
        <v>4</v>
      </c>
      <c r="M373" t="str">
        <f>VLOOKUP(Sales_Data!F373,Product_Master!$A$2:$D$11,2)</f>
        <v>Headset</v>
      </c>
      <c r="N373" t="str">
        <f>VLOOKUP(F373,Product_Master!$A$2:$C$11,3)</f>
        <v>Accessories</v>
      </c>
      <c r="O373">
        <f>VLOOKUP(F373,Product_Master!$A$2:$D$11,4,FALSE)</f>
        <v>1500</v>
      </c>
      <c r="P373">
        <f t="shared" si="50"/>
        <v>8000</v>
      </c>
      <c r="Q373">
        <f t="shared" si="51"/>
        <v>160</v>
      </c>
      <c r="R373">
        <f t="shared" si="52"/>
        <v>7840</v>
      </c>
      <c r="S373">
        <f t="shared" si="53"/>
        <v>1840</v>
      </c>
      <c r="T373" t="str">
        <f>_xlfn.CONCAT(Sales_Data!C373,"-",Sales_Data!E373,"-",Sales_Data!A373)</f>
        <v>North-C1009-1372</v>
      </c>
      <c r="U373" t="str">
        <f t="shared" si="54"/>
        <v>Regular</v>
      </c>
      <c r="V373" t="str" cm="1">
        <f t="array" ref="V373">_xlfn.IFS(R373&gt;=100000,"Excellent",R373&gt;=50000,"Good",R373&gt;=20000,"Average",TRUE,"Poor")</f>
        <v>Poor</v>
      </c>
      <c r="W373">
        <f t="shared" si="55"/>
        <v>3</v>
      </c>
      <c r="X373" t="str">
        <f t="shared" si="56"/>
        <v>August</v>
      </c>
      <c r="Y373">
        <f>HLOOKUP("Q"&amp;W373,Bonus_HLookup!$A$1:$E$2,2,FALSE)</f>
        <v>0.06</v>
      </c>
      <c r="Z373">
        <f t="shared" si="57"/>
        <v>21837.119999999999</v>
      </c>
      <c r="AA373" s="1">
        <f t="shared" si="58"/>
        <v>1665.962233506471</v>
      </c>
      <c r="AB373">
        <f t="shared" si="59"/>
        <v>692</v>
      </c>
    </row>
    <row r="374" spans="1:28" x14ac:dyDescent="0.3">
      <c r="A374">
        <v>1373</v>
      </c>
      <c r="B374" t="s">
        <v>319</v>
      </c>
      <c r="C374" t="s">
        <v>62</v>
      </c>
      <c r="D374" t="s">
        <v>19</v>
      </c>
      <c r="E374" t="s">
        <v>146</v>
      </c>
      <c r="F374" t="s">
        <v>74</v>
      </c>
      <c r="G374">
        <v>10</v>
      </c>
      <c r="H374">
        <v>35000</v>
      </c>
      <c r="I374">
        <v>2</v>
      </c>
      <c r="J374">
        <v>318709</v>
      </c>
      <c r="K374">
        <v>10</v>
      </c>
      <c r="L374">
        <v>5</v>
      </c>
      <c r="M374" t="str">
        <f>VLOOKUP(Sales_Data!F374,Product_Master!$A$2:$D$11,2)</f>
        <v>Tablet</v>
      </c>
      <c r="N374" t="str">
        <f>VLOOKUP(F374,Product_Master!$A$2:$C$11,3)</f>
        <v>Electronics</v>
      </c>
      <c r="O374">
        <f>VLOOKUP(F374,Product_Master!$A$2:$D$11,4,FALSE)</f>
        <v>29000</v>
      </c>
      <c r="P374">
        <f t="shared" si="50"/>
        <v>350000</v>
      </c>
      <c r="Q374">
        <f t="shared" si="51"/>
        <v>7000</v>
      </c>
      <c r="R374">
        <f t="shared" si="52"/>
        <v>343000</v>
      </c>
      <c r="S374">
        <f t="shared" si="53"/>
        <v>53000</v>
      </c>
      <c r="T374" t="str">
        <f>_xlfn.CONCAT(Sales_Data!C374,"-",Sales_Data!E374,"-",Sales_Data!A374)</f>
        <v>East-C1017-1373</v>
      </c>
      <c r="U374" t="str">
        <f t="shared" si="54"/>
        <v>High Value</v>
      </c>
      <c r="V374" t="str" cm="1">
        <f t="array" ref="V374">_xlfn.IFS(R374&gt;=100000,"Excellent",R374&gt;=50000,"Good",R374&gt;=20000,"Average",TRUE,"Poor")</f>
        <v>Excellent</v>
      </c>
      <c r="W374">
        <f t="shared" si="55"/>
        <v>2</v>
      </c>
      <c r="X374" t="str">
        <f t="shared" si="56"/>
        <v>April</v>
      </c>
      <c r="Y374">
        <f>HLOOKUP("Q"&amp;W374,Bonus_HLookup!$A$1:$E$2,2,FALSE)</f>
        <v>0.04</v>
      </c>
      <c r="Z374">
        <f t="shared" si="57"/>
        <v>159354.5</v>
      </c>
      <c r="AA374" s="1">
        <f t="shared" si="58"/>
        <v>6771.6243728836007</v>
      </c>
      <c r="AB374">
        <f t="shared" si="59"/>
        <v>36</v>
      </c>
    </row>
    <row r="375" spans="1:28" x14ac:dyDescent="0.3">
      <c r="A375">
        <v>1374</v>
      </c>
      <c r="B375" t="s">
        <v>205</v>
      </c>
      <c r="C375" t="s">
        <v>18</v>
      </c>
      <c r="D375" t="s">
        <v>33</v>
      </c>
      <c r="E375" t="s">
        <v>41</v>
      </c>
      <c r="F375" t="s">
        <v>69</v>
      </c>
      <c r="G375">
        <v>7</v>
      </c>
      <c r="H375">
        <v>2000</v>
      </c>
      <c r="I375">
        <v>15</v>
      </c>
      <c r="J375">
        <v>95424</v>
      </c>
      <c r="K375">
        <v>9</v>
      </c>
      <c r="L375">
        <v>3</v>
      </c>
      <c r="M375" t="str">
        <f>VLOOKUP(Sales_Data!F375,Product_Master!$A$2:$D$11,2)</f>
        <v>Headset</v>
      </c>
      <c r="N375" t="str">
        <f>VLOOKUP(F375,Product_Master!$A$2:$C$11,3)</f>
        <v>Accessories</v>
      </c>
      <c r="O375">
        <f>VLOOKUP(F375,Product_Master!$A$2:$D$11,4,FALSE)</f>
        <v>1500</v>
      </c>
      <c r="P375">
        <f t="shared" si="50"/>
        <v>14000</v>
      </c>
      <c r="Q375">
        <f t="shared" si="51"/>
        <v>2100</v>
      </c>
      <c r="R375">
        <f t="shared" si="52"/>
        <v>11900</v>
      </c>
      <c r="S375">
        <f t="shared" si="53"/>
        <v>1400</v>
      </c>
      <c r="T375" t="str">
        <f>_xlfn.CONCAT(Sales_Data!C375,"-",Sales_Data!E375,"-",Sales_Data!A375)</f>
        <v>North-C1023-1374</v>
      </c>
      <c r="U375" t="str">
        <f t="shared" si="54"/>
        <v>Regular</v>
      </c>
      <c r="V375" t="str" cm="1">
        <f t="array" ref="V375">_xlfn.IFS(R375&gt;=100000,"Excellent",R375&gt;=50000,"Good",R375&gt;=20000,"Average",TRUE,"Poor")</f>
        <v>Poor</v>
      </c>
      <c r="W375">
        <f t="shared" si="55"/>
        <v>3</v>
      </c>
      <c r="X375" t="str">
        <f t="shared" si="56"/>
        <v>August</v>
      </c>
      <c r="Y375">
        <f>HLOOKUP("Q"&amp;W375,Bonus_HLookup!$A$1:$E$2,2,FALSE)</f>
        <v>0.06</v>
      </c>
      <c r="Z375">
        <f t="shared" si="57"/>
        <v>25764.48</v>
      </c>
      <c r="AA375" s="1">
        <f t="shared" si="58"/>
        <v>3034.4576893421799</v>
      </c>
      <c r="AB375">
        <f t="shared" si="59"/>
        <v>592</v>
      </c>
    </row>
    <row r="376" spans="1:28" x14ac:dyDescent="0.3">
      <c r="A376">
        <v>1375</v>
      </c>
      <c r="B376" t="s">
        <v>320</v>
      </c>
      <c r="C376" t="s">
        <v>30</v>
      </c>
      <c r="D376" t="s">
        <v>91</v>
      </c>
      <c r="E376" t="s">
        <v>71</v>
      </c>
      <c r="F376" t="s">
        <v>39</v>
      </c>
      <c r="G376">
        <v>4</v>
      </c>
      <c r="H376">
        <v>7000</v>
      </c>
      <c r="I376">
        <v>12</v>
      </c>
      <c r="J376">
        <v>364074</v>
      </c>
      <c r="K376">
        <v>10</v>
      </c>
      <c r="L376">
        <v>2</v>
      </c>
      <c r="M376" t="str">
        <f>VLOOKUP(Sales_Data!F376,Product_Master!$A$2:$D$11,2)</f>
        <v>Router</v>
      </c>
      <c r="N376" t="str">
        <f>VLOOKUP(F376,Product_Master!$A$2:$C$11,3)</f>
        <v>Electronics</v>
      </c>
      <c r="O376">
        <f>VLOOKUP(F376,Product_Master!$A$2:$D$11,4,FALSE)</f>
        <v>5000</v>
      </c>
      <c r="P376">
        <f t="shared" si="50"/>
        <v>28000</v>
      </c>
      <c r="Q376">
        <f t="shared" si="51"/>
        <v>3360</v>
      </c>
      <c r="R376">
        <f t="shared" si="52"/>
        <v>24640</v>
      </c>
      <c r="S376">
        <f t="shared" si="53"/>
        <v>4640</v>
      </c>
      <c r="T376" t="str">
        <f>_xlfn.CONCAT(Sales_Data!C376,"-",Sales_Data!E376,"-",Sales_Data!A376)</f>
        <v>South-C1019-1375</v>
      </c>
      <c r="U376" t="str">
        <f t="shared" si="54"/>
        <v>Regular</v>
      </c>
      <c r="V376" t="str" cm="1">
        <f t="array" ref="V376">_xlfn.IFS(R376&gt;=100000,"Excellent",R376&gt;=50000,"Good",R376&gt;=20000,"Average",TRUE,"Poor")</f>
        <v>Average</v>
      </c>
      <c r="W376">
        <f t="shared" si="55"/>
        <v>1</v>
      </c>
      <c r="X376" t="str">
        <f t="shared" si="56"/>
        <v>January</v>
      </c>
      <c r="Y376">
        <f>HLOOKUP("Q"&amp;W376,Bonus_HLookup!$A$1:$E$2,2,FALSE)</f>
        <v>0.02</v>
      </c>
      <c r="Z376">
        <f t="shared" si="57"/>
        <v>72814.8</v>
      </c>
      <c r="AA376" s="1">
        <f t="shared" si="58"/>
        <v>16800.167911404984</v>
      </c>
      <c r="AB376">
        <f t="shared" si="59"/>
        <v>400</v>
      </c>
    </row>
    <row r="377" spans="1:28" x14ac:dyDescent="0.3">
      <c r="A377">
        <v>1376</v>
      </c>
      <c r="B377" t="s">
        <v>158</v>
      </c>
      <c r="C377" t="s">
        <v>13</v>
      </c>
      <c r="D377" t="s">
        <v>23</v>
      </c>
      <c r="E377" t="s">
        <v>106</v>
      </c>
      <c r="F377" t="s">
        <v>25</v>
      </c>
      <c r="G377">
        <v>9</v>
      </c>
      <c r="H377">
        <v>1500</v>
      </c>
      <c r="I377">
        <v>15</v>
      </c>
      <c r="J377">
        <v>497494</v>
      </c>
      <c r="K377">
        <v>11</v>
      </c>
      <c r="L377">
        <v>2</v>
      </c>
      <c r="M377" t="str">
        <f>VLOOKUP(Sales_Data!F377,Product_Master!$A$2:$D$11,2)</f>
        <v>Keyboard</v>
      </c>
      <c r="N377" t="str">
        <f>VLOOKUP(F377,Product_Master!$A$2:$C$11,3)</f>
        <v>Accessories</v>
      </c>
      <c r="O377">
        <f>VLOOKUP(F377,Product_Master!$A$2:$D$11,4,FALSE)</f>
        <v>1200</v>
      </c>
      <c r="P377">
        <f t="shared" si="50"/>
        <v>13500</v>
      </c>
      <c r="Q377">
        <f t="shared" si="51"/>
        <v>2025</v>
      </c>
      <c r="R377">
        <f t="shared" si="52"/>
        <v>11475</v>
      </c>
      <c r="S377">
        <f t="shared" si="53"/>
        <v>675</v>
      </c>
      <c r="T377" t="str">
        <f>_xlfn.CONCAT(Sales_Data!C377,"-",Sales_Data!E377,"-",Sales_Data!A377)</f>
        <v>West-C1004-1376</v>
      </c>
      <c r="U377" t="str">
        <f t="shared" si="54"/>
        <v>Regular</v>
      </c>
      <c r="V377" t="str" cm="1">
        <f t="array" ref="V377">_xlfn.IFS(R377&gt;=100000,"Excellent",R377&gt;=50000,"Good",R377&gt;=20000,"Average",TRUE,"Poor")</f>
        <v>Poor</v>
      </c>
      <c r="W377">
        <f t="shared" si="55"/>
        <v>3</v>
      </c>
      <c r="X377" t="str">
        <f t="shared" si="56"/>
        <v>September</v>
      </c>
      <c r="Y377">
        <f>HLOOKUP("Q"&amp;W377,Bonus_HLookup!$A$1:$E$2,2,FALSE)</f>
        <v>0.06</v>
      </c>
      <c r="Z377">
        <f t="shared" si="57"/>
        <v>109448.68</v>
      </c>
      <c r="AA377" s="1">
        <f t="shared" si="58"/>
        <v>23187.119855742043</v>
      </c>
      <c r="AB377">
        <f t="shared" si="59"/>
        <v>606</v>
      </c>
    </row>
    <row r="378" spans="1:28" x14ac:dyDescent="0.3">
      <c r="A378">
        <v>1377</v>
      </c>
      <c r="B378" t="s">
        <v>249</v>
      </c>
      <c r="C378" t="s">
        <v>30</v>
      </c>
      <c r="D378" t="s">
        <v>14</v>
      </c>
      <c r="E378" t="s">
        <v>38</v>
      </c>
      <c r="F378" t="s">
        <v>36</v>
      </c>
      <c r="G378">
        <v>1</v>
      </c>
      <c r="H378">
        <v>55000</v>
      </c>
      <c r="I378">
        <v>2</v>
      </c>
      <c r="J378">
        <v>106944</v>
      </c>
      <c r="K378">
        <v>8</v>
      </c>
      <c r="L378">
        <v>5</v>
      </c>
      <c r="M378" t="str">
        <f>VLOOKUP(Sales_Data!F378,Product_Master!$A$2:$D$11,2)</f>
        <v>Laptop</v>
      </c>
      <c r="N378" t="str">
        <f>VLOOKUP(F378,Product_Master!$A$2:$C$11,3)</f>
        <v>Electronics</v>
      </c>
      <c r="O378">
        <f>VLOOKUP(F378,Product_Master!$A$2:$D$11,4,FALSE)</f>
        <v>45000</v>
      </c>
      <c r="P378">
        <f t="shared" si="50"/>
        <v>55000</v>
      </c>
      <c r="Q378">
        <f t="shared" si="51"/>
        <v>1100</v>
      </c>
      <c r="R378">
        <f t="shared" si="52"/>
        <v>53900</v>
      </c>
      <c r="S378">
        <f t="shared" si="53"/>
        <v>8900</v>
      </c>
      <c r="T378" t="str">
        <f>_xlfn.CONCAT(Sales_Data!C378,"-",Sales_Data!E378,"-",Sales_Data!A378)</f>
        <v>South-C1009-1377</v>
      </c>
      <c r="U378" t="str">
        <f t="shared" si="54"/>
        <v>High Value</v>
      </c>
      <c r="V378" t="str" cm="1">
        <f t="array" ref="V378">_xlfn.IFS(R378&gt;=100000,"Excellent",R378&gt;=50000,"Good",R378&gt;=20000,"Average",TRUE,"Poor")</f>
        <v>Good</v>
      </c>
      <c r="W378">
        <f t="shared" si="55"/>
        <v>4</v>
      </c>
      <c r="X378" t="str">
        <f t="shared" si="56"/>
        <v>December</v>
      </c>
      <c r="Y378">
        <f>HLOOKUP("Q"&amp;W378,Bonus_HLookup!$A$1:$E$2,2,FALSE)</f>
        <v>0.08</v>
      </c>
      <c r="Z378">
        <f t="shared" si="57"/>
        <v>42777.599999999999</v>
      </c>
      <c r="AA378" s="1">
        <f t="shared" si="58"/>
        <v>2168.4387107801126</v>
      </c>
      <c r="AB378">
        <f t="shared" si="59"/>
        <v>277</v>
      </c>
    </row>
    <row r="379" spans="1:28" x14ac:dyDescent="0.3">
      <c r="A379">
        <v>1378</v>
      </c>
      <c r="B379" t="s">
        <v>215</v>
      </c>
      <c r="C379" t="s">
        <v>18</v>
      </c>
      <c r="D379" t="s">
        <v>46</v>
      </c>
      <c r="E379" t="s">
        <v>108</v>
      </c>
      <c r="F379" t="s">
        <v>25</v>
      </c>
      <c r="G379">
        <v>5</v>
      </c>
      <c r="H379">
        <v>1500</v>
      </c>
      <c r="I379">
        <v>12</v>
      </c>
      <c r="J379">
        <v>135974</v>
      </c>
      <c r="K379">
        <v>7</v>
      </c>
      <c r="L379">
        <v>3</v>
      </c>
      <c r="M379" t="str">
        <f>VLOOKUP(Sales_Data!F379,Product_Master!$A$2:$D$11,2)</f>
        <v>Keyboard</v>
      </c>
      <c r="N379" t="str">
        <f>VLOOKUP(F379,Product_Master!$A$2:$C$11,3)</f>
        <v>Accessories</v>
      </c>
      <c r="O379">
        <f>VLOOKUP(F379,Product_Master!$A$2:$D$11,4,FALSE)</f>
        <v>1200</v>
      </c>
      <c r="P379">
        <f t="shared" si="50"/>
        <v>7500</v>
      </c>
      <c r="Q379">
        <f t="shared" si="51"/>
        <v>900</v>
      </c>
      <c r="R379">
        <f t="shared" si="52"/>
        <v>6600</v>
      </c>
      <c r="S379">
        <f t="shared" si="53"/>
        <v>600</v>
      </c>
      <c r="T379" t="str">
        <f>_xlfn.CONCAT(Sales_Data!C379,"-",Sales_Data!E379,"-",Sales_Data!A379)</f>
        <v>North-C1031-1378</v>
      </c>
      <c r="U379" t="str">
        <f t="shared" si="54"/>
        <v>Regular</v>
      </c>
      <c r="V379" t="str" cm="1">
        <f t="array" ref="V379">_xlfn.IFS(R379&gt;=100000,"Excellent",R379&gt;=50000,"Good",R379&gt;=20000,"Average",TRUE,"Poor")</f>
        <v>Poor</v>
      </c>
      <c r="W379">
        <f t="shared" si="55"/>
        <v>1</v>
      </c>
      <c r="X379" t="str">
        <f t="shared" si="56"/>
        <v>March</v>
      </c>
      <c r="Y379">
        <f>HLOOKUP("Q"&amp;W379,Bonus_HLookup!$A$1:$E$2,2,FALSE)</f>
        <v>0.02</v>
      </c>
      <c r="Z379">
        <f t="shared" si="57"/>
        <v>28554.54</v>
      </c>
      <c r="AA379" s="1">
        <f t="shared" si="58"/>
        <v>4198.4823691720849</v>
      </c>
      <c r="AB379">
        <f t="shared" si="59"/>
        <v>738</v>
      </c>
    </row>
    <row r="380" spans="1:28" x14ac:dyDescent="0.3">
      <c r="A380">
        <v>1379</v>
      </c>
      <c r="B380" t="s">
        <v>138</v>
      </c>
      <c r="C380" t="s">
        <v>30</v>
      </c>
      <c r="D380" t="s">
        <v>59</v>
      </c>
      <c r="E380" t="s">
        <v>63</v>
      </c>
      <c r="F380" t="s">
        <v>52</v>
      </c>
      <c r="G380">
        <v>8</v>
      </c>
      <c r="H380">
        <v>500</v>
      </c>
      <c r="I380">
        <v>10</v>
      </c>
      <c r="J380">
        <v>433814</v>
      </c>
      <c r="K380">
        <v>7</v>
      </c>
      <c r="L380">
        <v>1</v>
      </c>
      <c r="M380" t="str">
        <f>VLOOKUP(Sales_Data!F380,Product_Master!$A$2:$D$11,2)</f>
        <v>Mouse</v>
      </c>
      <c r="N380" t="str">
        <f>VLOOKUP(F380,Product_Master!$A$2:$C$11,3)</f>
        <v>Accessories</v>
      </c>
      <c r="O380">
        <f>VLOOKUP(F380,Product_Master!$A$2:$D$11,4,FALSE)</f>
        <v>350</v>
      </c>
      <c r="P380">
        <f t="shared" si="50"/>
        <v>4000</v>
      </c>
      <c r="Q380">
        <f t="shared" si="51"/>
        <v>400</v>
      </c>
      <c r="R380">
        <f t="shared" si="52"/>
        <v>3600</v>
      </c>
      <c r="S380">
        <f t="shared" si="53"/>
        <v>800</v>
      </c>
      <c r="T380" t="str">
        <f>_xlfn.CONCAT(Sales_Data!C380,"-",Sales_Data!E380,"-",Sales_Data!A380)</f>
        <v>South-C1035-1379</v>
      </c>
      <c r="U380" t="str">
        <f t="shared" si="54"/>
        <v>Regular</v>
      </c>
      <c r="V380" t="str" cm="1">
        <f t="array" ref="V380">_xlfn.IFS(R380&gt;=100000,"Excellent",R380&gt;=50000,"Good",R380&gt;=20000,"Average",TRUE,"Poor")</f>
        <v>Poor</v>
      </c>
      <c r="W380">
        <f t="shared" si="55"/>
        <v>2</v>
      </c>
      <c r="X380" t="str">
        <f t="shared" si="56"/>
        <v>May</v>
      </c>
      <c r="Y380">
        <f>HLOOKUP("Q"&amp;W380,Bonus_HLookup!$A$1:$E$2,2,FALSE)</f>
        <v>0.04</v>
      </c>
      <c r="Z380">
        <f t="shared" si="57"/>
        <v>30366.98</v>
      </c>
      <c r="AA380" s="1">
        <f t="shared" si="58"/>
        <v>37536.513831817661</v>
      </c>
      <c r="AB380">
        <f t="shared" si="59"/>
        <v>861</v>
      </c>
    </row>
    <row r="381" spans="1:28" x14ac:dyDescent="0.3">
      <c r="A381">
        <v>1380</v>
      </c>
      <c r="B381" t="s">
        <v>321</v>
      </c>
      <c r="C381" t="s">
        <v>62</v>
      </c>
      <c r="D381" t="s">
        <v>23</v>
      </c>
      <c r="E381" t="s">
        <v>94</v>
      </c>
      <c r="F381" t="s">
        <v>69</v>
      </c>
      <c r="G381">
        <v>8</v>
      </c>
      <c r="H381">
        <v>2000</v>
      </c>
      <c r="I381">
        <v>2</v>
      </c>
      <c r="J381">
        <v>65918</v>
      </c>
      <c r="K381">
        <v>9</v>
      </c>
      <c r="L381">
        <v>1</v>
      </c>
      <c r="M381" t="str">
        <f>VLOOKUP(Sales_Data!F381,Product_Master!$A$2:$D$11,2)</f>
        <v>Headset</v>
      </c>
      <c r="N381" t="str">
        <f>VLOOKUP(F381,Product_Master!$A$2:$C$11,3)</f>
        <v>Accessories</v>
      </c>
      <c r="O381">
        <f>VLOOKUP(F381,Product_Master!$A$2:$D$11,4,FALSE)</f>
        <v>1500</v>
      </c>
      <c r="P381">
        <f t="shared" si="50"/>
        <v>16000</v>
      </c>
      <c r="Q381">
        <f t="shared" si="51"/>
        <v>320</v>
      </c>
      <c r="R381">
        <f t="shared" si="52"/>
        <v>15680</v>
      </c>
      <c r="S381">
        <f t="shared" si="53"/>
        <v>3680</v>
      </c>
      <c r="T381" t="str">
        <f>_xlfn.CONCAT(Sales_Data!C381,"-",Sales_Data!E381,"-",Sales_Data!A381)</f>
        <v>East-C1027-1380</v>
      </c>
      <c r="U381" t="str">
        <f t="shared" si="54"/>
        <v>Regular</v>
      </c>
      <c r="V381" t="str" cm="1">
        <f t="array" ref="V381">_xlfn.IFS(R381&gt;=100000,"Excellent",R381&gt;=50000,"Good",R381&gt;=20000,"Average",TRUE,"Poor")</f>
        <v>Poor</v>
      </c>
      <c r="W381">
        <f t="shared" si="55"/>
        <v>2</v>
      </c>
      <c r="X381" t="str">
        <f t="shared" si="56"/>
        <v>May</v>
      </c>
      <c r="Y381">
        <f>HLOOKUP("Q"&amp;W381,Bonus_HLookup!$A$1:$E$2,2,FALSE)</f>
        <v>0.04</v>
      </c>
      <c r="Z381">
        <f t="shared" si="57"/>
        <v>5932.62</v>
      </c>
      <c r="AA381" s="1">
        <f t="shared" si="58"/>
        <v>5764.6264457196803</v>
      </c>
      <c r="AB381">
        <f t="shared" si="59"/>
        <v>519</v>
      </c>
    </row>
    <row r="382" spans="1:28" x14ac:dyDescent="0.3">
      <c r="A382">
        <v>1381</v>
      </c>
      <c r="B382" t="s">
        <v>322</v>
      </c>
      <c r="C382" t="s">
        <v>13</v>
      </c>
      <c r="D382" t="s">
        <v>46</v>
      </c>
      <c r="E382" t="s">
        <v>102</v>
      </c>
      <c r="F382" t="s">
        <v>28</v>
      </c>
      <c r="G382">
        <v>3</v>
      </c>
      <c r="H382">
        <v>950</v>
      </c>
      <c r="I382">
        <v>10</v>
      </c>
      <c r="J382">
        <v>59859</v>
      </c>
      <c r="K382">
        <v>7</v>
      </c>
      <c r="L382">
        <v>2</v>
      </c>
      <c r="M382" t="str">
        <f>VLOOKUP(Sales_Data!F382,Product_Master!$A$2:$D$11,2)</f>
        <v>Webcam</v>
      </c>
      <c r="N382" t="str">
        <f>VLOOKUP(F382,Product_Master!$A$2:$C$11,3)</f>
        <v>Accessories</v>
      </c>
      <c r="O382">
        <f>VLOOKUP(F382,Product_Master!$A$2:$D$11,4,FALSE)</f>
        <v>700</v>
      </c>
      <c r="P382">
        <f t="shared" si="50"/>
        <v>2850</v>
      </c>
      <c r="Q382">
        <f t="shared" si="51"/>
        <v>285</v>
      </c>
      <c r="R382">
        <f t="shared" si="52"/>
        <v>2565</v>
      </c>
      <c r="S382">
        <f t="shared" si="53"/>
        <v>465</v>
      </c>
      <c r="T382" t="str">
        <f>_xlfn.CONCAT(Sales_Data!C382,"-",Sales_Data!E382,"-",Sales_Data!A382)</f>
        <v>West-C1049-1381</v>
      </c>
      <c r="U382" t="str">
        <f t="shared" si="54"/>
        <v>Regular</v>
      </c>
      <c r="V382" t="str" cm="1">
        <f t="array" ref="V382">_xlfn.IFS(R382&gt;=100000,"Excellent",R382&gt;=50000,"Good",R382&gt;=20000,"Average",TRUE,"Poor")</f>
        <v>Poor</v>
      </c>
      <c r="W382">
        <f t="shared" si="55"/>
        <v>4</v>
      </c>
      <c r="X382" t="str">
        <f t="shared" si="56"/>
        <v>October</v>
      </c>
      <c r="Y382">
        <f>HLOOKUP("Q"&amp;W382,Bonus_HLookup!$A$1:$E$2,2,FALSE)</f>
        <v>0.08</v>
      </c>
      <c r="Z382">
        <f t="shared" si="57"/>
        <v>8380.26</v>
      </c>
      <c r="AA382" s="1">
        <f t="shared" si="58"/>
        <v>2680.0418125351812</v>
      </c>
      <c r="AB382">
        <f t="shared" si="59"/>
        <v>901</v>
      </c>
    </row>
    <row r="383" spans="1:28" x14ac:dyDescent="0.3">
      <c r="A383">
        <v>1382</v>
      </c>
      <c r="B383" t="s">
        <v>323</v>
      </c>
      <c r="C383" t="s">
        <v>13</v>
      </c>
      <c r="D383" t="s">
        <v>33</v>
      </c>
      <c r="E383" t="s">
        <v>41</v>
      </c>
      <c r="F383" t="s">
        <v>52</v>
      </c>
      <c r="G383">
        <v>3</v>
      </c>
      <c r="H383">
        <v>500</v>
      </c>
      <c r="I383">
        <v>8</v>
      </c>
      <c r="J383">
        <v>174679</v>
      </c>
      <c r="K383">
        <v>9</v>
      </c>
      <c r="L383">
        <v>4</v>
      </c>
      <c r="M383" t="str">
        <f>VLOOKUP(Sales_Data!F383,Product_Master!$A$2:$D$11,2)</f>
        <v>Mouse</v>
      </c>
      <c r="N383" t="str">
        <f>VLOOKUP(F383,Product_Master!$A$2:$C$11,3)</f>
        <v>Accessories</v>
      </c>
      <c r="O383">
        <f>VLOOKUP(F383,Product_Master!$A$2:$D$11,4,FALSE)</f>
        <v>350</v>
      </c>
      <c r="P383">
        <f t="shared" si="50"/>
        <v>1500</v>
      </c>
      <c r="Q383">
        <f t="shared" si="51"/>
        <v>120</v>
      </c>
      <c r="R383">
        <f t="shared" si="52"/>
        <v>1380</v>
      </c>
      <c r="S383">
        <f t="shared" si="53"/>
        <v>330</v>
      </c>
      <c r="T383" t="str">
        <f>_xlfn.CONCAT(Sales_Data!C383,"-",Sales_Data!E383,"-",Sales_Data!A383)</f>
        <v>West-C1023-1382</v>
      </c>
      <c r="U383" t="str">
        <f t="shared" si="54"/>
        <v>Regular</v>
      </c>
      <c r="V383" t="str" cm="1">
        <f t="array" ref="V383">_xlfn.IFS(R383&gt;=100000,"Excellent",R383&gt;=50000,"Good",R383&gt;=20000,"Average",TRUE,"Poor")</f>
        <v>Poor</v>
      </c>
      <c r="W383">
        <f t="shared" si="55"/>
        <v>1</v>
      </c>
      <c r="X383" t="str">
        <f t="shared" si="56"/>
        <v>February</v>
      </c>
      <c r="Y383">
        <f>HLOOKUP("Q"&amp;W383,Bonus_HLookup!$A$1:$E$2,2,FALSE)</f>
        <v>0.02</v>
      </c>
      <c r="Z383">
        <f t="shared" si="57"/>
        <v>62884.44</v>
      </c>
      <c r="AA383" s="1">
        <f t="shared" si="58"/>
        <v>4346.8943168364531</v>
      </c>
      <c r="AB383">
        <f t="shared" si="59"/>
        <v>954</v>
      </c>
    </row>
    <row r="384" spans="1:28" x14ac:dyDescent="0.3">
      <c r="A384">
        <v>1383</v>
      </c>
      <c r="B384" t="s">
        <v>305</v>
      </c>
      <c r="C384" t="s">
        <v>13</v>
      </c>
      <c r="D384" t="s">
        <v>91</v>
      </c>
      <c r="E384" t="s">
        <v>102</v>
      </c>
      <c r="F384" t="s">
        <v>74</v>
      </c>
      <c r="G384">
        <v>7</v>
      </c>
      <c r="H384">
        <v>35000</v>
      </c>
      <c r="I384">
        <v>10</v>
      </c>
      <c r="J384">
        <v>281812</v>
      </c>
      <c r="K384">
        <v>9</v>
      </c>
      <c r="L384">
        <v>1</v>
      </c>
      <c r="M384" t="str">
        <f>VLOOKUP(Sales_Data!F384,Product_Master!$A$2:$D$11,2)</f>
        <v>Tablet</v>
      </c>
      <c r="N384" t="str">
        <f>VLOOKUP(F384,Product_Master!$A$2:$C$11,3)</f>
        <v>Electronics</v>
      </c>
      <c r="O384">
        <f>VLOOKUP(F384,Product_Master!$A$2:$D$11,4,FALSE)</f>
        <v>29000</v>
      </c>
      <c r="P384">
        <f t="shared" si="50"/>
        <v>245000</v>
      </c>
      <c r="Q384">
        <f t="shared" si="51"/>
        <v>24500</v>
      </c>
      <c r="R384">
        <f t="shared" si="52"/>
        <v>220500</v>
      </c>
      <c r="S384">
        <f t="shared" si="53"/>
        <v>17500</v>
      </c>
      <c r="T384" t="str">
        <f>_xlfn.CONCAT(Sales_Data!C384,"-",Sales_Data!E384,"-",Sales_Data!A384)</f>
        <v>West-C1049-1383</v>
      </c>
      <c r="U384" t="str">
        <f t="shared" si="54"/>
        <v>High Value</v>
      </c>
      <c r="V384" t="str" cm="1">
        <f t="array" ref="V384">_xlfn.IFS(R384&gt;=100000,"Excellent",R384&gt;=50000,"Good",R384&gt;=20000,"Average",TRUE,"Poor")</f>
        <v>Excellent</v>
      </c>
      <c r="W384">
        <f t="shared" si="55"/>
        <v>3</v>
      </c>
      <c r="X384" t="str">
        <f t="shared" si="56"/>
        <v>August</v>
      </c>
      <c r="Y384">
        <f>HLOOKUP("Q"&amp;W384,Bonus_HLookup!$A$1:$E$2,2,FALSE)</f>
        <v>0.06</v>
      </c>
      <c r="Z384">
        <f t="shared" si="57"/>
        <v>25363.08</v>
      </c>
      <c r="AA384" s="1">
        <f t="shared" si="58"/>
        <v>24644.875571485099</v>
      </c>
      <c r="AB384">
        <f t="shared" si="59"/>
        <v>96</v>
      </c>
    </row>
    <row r="385" spans="1:28" x14ac:dyDescent="0.3">
      <c r="A385">
        <v>1384</v>
      </c>
      <c r="B385" t="s">
        <v>291</v>
      </c>
      <c r="C385" t="s">
        <v>18</v>
      </c>
      <c r="D385" t="s">
        <v>91</v>
      </c>
      <c r="E385" t="s">
        <v>169</v>
      </c>
      <c r="F385" t="s">
        <v>39</v>
      </c>
      <c r="G385">
        <v>10</v>
      </c>
      <c r="H385">
        <v>7000</v>
      </c>
      <c r="I385">
        <v>2</v>
      </c>
      <c r="J385">
        <v>176993</v>
      </c>
      <c r="K385">
        <v>11</v>
      </c>
      <c r="L385">
        <v>4</v>
      </c>
      <c r="M385" t="str">
        <f>VLOOKUP(Sales_Data!F385,Product_Master!$A$2:$D$11,2)</f>
        <v>Router</v>
      </c>
      <c r="N385" t="str">
        <f>VLOOKUP(F385,Product_Master!$A$2:$C$11,3)</f>
        <v>Electronics</v>
      </c>
      <c r="O385">
        <f>VLOOKUP(F385,Product_Master!$A$2:$D$11,4,FALSE)</f>
        <v>5000</v>
      </c>
      <c r="P385">
        <f t="shared" si="50"/>
        <v>70000</v>
      </c>
      <c r="Q385">
        <f t="shared" si="51"/>
        <v>1400</v>
      </c>
      <c r="R385">
        <f t="shared" si="52"/>
        <v>68600</v>
      </c>
      <c r="S385">
        <f t="shared" si="53"/>
        <v>18600</v>
      </c>
      <c r="T385" t="str">
        <f>_xlfn.CONCAT(Sales_Data!C385,"-",Sales_Data!E385,"-",Sales_Data!A385)</f>
        <v>North-C1038-1384</v>
      </c>
      <c r="U385" t="str">
        <f t="shared" si="54"/>
        <v>High Value</v>
      </c>
      <c r="V385" t="str" cm="1">
        <f t="array" ref="V385">_xlfn.IFS(R385&gt;=100000,"Excellent",R385&gt;=50000,"Good",R385&gt;=20000,"Average",TRUE,"Poor")</f>
        <v>Good</v>
      </c>
      <c r="W385">
        <f t="shared" si="55"/>
        <v>1</v>
      </c>
      <c r="X385" t="str">
        <f t="shared" si="56"/>
        <v>March</v>
      </c>
      <c r="Y385">
        <f>HLOOKUP("Q"&amp;W385,Bonus_HLookup!$A$1:$E$2,2,FALSE)</f>
        <v>0.02</v>
      </c>
      <c r="Z385">
        <f t="shared" si="57"/>
        <v>77876.92</v>
      </c>
      <c r="AA385" s="1">
        <f t="shared" si="58"/>
        <v>4574.4765835688677</v>
      </c>
      <c r="AB385">
        <f t="shared" si="59"/>
        <v>221</v>
      </c>
    </row>
    <row r="386" spans="1:28" x14ac:dyDescent="0.3">
      <c r="A386">
        <v>1385</v>
      </c>
      <c r="B386" t="s">
        <v>324</v>
      </c>
      <c r="C386" t="s">
        <v>18</v>
      </c>
      <c r="D386" t="s">
        <v>59</v>
      </c>
      <c r="E386" t="s">
        <v>187</v>
      </c>
      <c r="F386" t="s">
        <v>39</v>
      </c>
      <c r="G386">
        <v>6</v>
      </c>
      <c r="H386">
        <v>7000</v>
      </c>
      <c r="I386">
        <v>2</v>
      </c>
      <c r="J386">
        <v>204624</v>
      </c>
      <c r="K386">
        <v>9</v>
      </c>
      <c r="L386">
        <v>5</v>
      </c>
      <c r="M386" t="str">
        <f>VLOOKUP(Sales_Data!F386,Product_Master!$A$2:$D$11,2)</f>
        <v>Router</v>
      </c>
      <c r="N386" t="str">
        <f>VLOOKUP(F386,Product_Master!$A$2:$C$11,3)</f>
        <v>Electronics</v>
      </c>
      <c r="O386">
        <f>VLOOKUP(F386,Product_Master!$A$2:$D$11,4,FALSE)</f>
        <v>5000</v>
      </c>
      <c r="P386">
        <f t="shared" si="50"/>
        <v>42000</v>
      </c>
      <c r="Q386">
        <f t="shared" si="51"/>
        <v>840</v>
      </c>
      <c r="R386">
        <f t="shared" si="52"/>
        <v>41160</v>
      </c>
      <c r="S386">
        <f t="shared" si="53"/>
        <v>11160</v>
      </c>
      <c r="T386" t="str">
        <f>_xlfn.CONCAT(Sales_Data!C386,"-",Sales_Data!E386,"-",Sales_Data!A386)</f>
        <v>North-C1041-1385</v>
      </c>
      <c r="U386" t="str">
        <f t="shared" si="54"/>
        <v>Regular</v>
      </c>
      <c r="V386" t="str" cm="1">
        <f t="array" ref="V386">_xlfn.IFS(R386&gt;=100000,"Excellent",R386&gt;=50000,"Good",R386&gt;=20000,"Average",TRUE,"Poor")</f>
        <v>Average</v>
      </c>
      <c r="W386">
        <f t="shared" si="55"/>
        <v>3</v>
      </c>
      <c r="X386" t="str">
        <f t="shared" si="56"/>
        <v>August</v>
      </c>
      <c r="Y386">
        <f>HLOOKUP("Q"&amp;W386,Bonus_HLookup!$A$1:$E$2,2,FALSE)</f>
        <v>0.06</v>
      </c>
      <c r="Z386">
        <f t="shared" si="57"/>
        <v>92080.8</v>
      </c>
      <c r="AA386" s="1">
        <f t="shared" si="58"/>
        <v>4247.6576798374626</v>
      </c>
      <c r="AB386">
        <f t="shared" si="59"/>
        <v>331</v>
      </c>
    </row>
    <row r="387" spans="1:28" x14ac:dyDescent="0.3">
      <c r="A387">
        <v>1386</v>
      </c>
      <c r="B387" t="s">
        <v>178</v>
      </c>
      <c r="C387" t="s">
        <v>13</v>
      </c>
      <c r="D387" t="s">
        <v>23</v>
      </c>
      <c r="E387" t="s">
        <v>44</v>
      </c>
      <c r="F387" t="s">
        <v>69</v>
      </c>
      <c r="G387">
        <v>5</v>
      </c>
      <c r="H387">
        <v>2000</v>
      </c>
      <c r="I387">
        <v>2</v>
      </c>
      <c r="J387">
        <v>162691</v>
      </c>
      <c r="K387">
        <v>8</v>
      </c>
      <c r="L387">
        <v>3</v>
      </c>
      <c r="M387" t="str">
        <f>VLOOKUP(Sales_Data!F387,Product_Master!$A$2:$D$11,2)</f>
        <v>Headset</v>
      </c>
      <c r="N387" t="str">
        <f>VLOOKUP(F387,Product_Master!$A$2:$C$11,3)</f>
        <v>Accessories</v>
      </c>
      <c r="O387">
        <f>VLOOKUP(F387,Product_Master!$A$2:$D$11,4,FALSE)</f>
        <v>1500</v>
      </c>
      <c r="P387">
        <f t="shared" ref="P387:P450" si="60">H387*G387</f>
        <v>10000</v>
      </c>
      <c r="Q387">
        <f t="shared" ref="Q387:Q450" si="61">P387*(I387/100)</f>
        <v>200</v>
      </c>
      <c r="R387">
        <f t="shared" ref="R387:R450" si="62">P387-Q387</f>
        <v>9800</v>
      </c>
      <c r="S387">
        <f t="shared" ref="S387:S450" si="63">R387-(G387*O387)</f>
        <v>2300</v>
      </c>
      <c r="T387" t="str">
        <f>_xlfn.CONCAT(Sales_Data!C387,"-",Sales_Data!E387,"-",Sales_Data!A387)</f>
        <v>West-C1028-1386</v>
      </c>
      <c r="U387" t="str">
        <f t="shared" ref="U387:U450" si="64">IF(R387&gt;=50000,"High Value","Regular")</f>
        <v>Regular</v>
      </c>
      <c r="V387" t="str" cm="1">
        <f t="array" ref="V387">_xlfn.IFS(R387&gt;=100000,"Excellent",R387&gt;=50000,"Good",R387&gt;=20000,"Average",TRUE,"Poor")</f>
        <v>Poor</v>
      </c>
      <c r="W387">
        <f t="shared" ref="W387:W450" si="65">ROUNDUP(MONTH(B387)/3,0)</f>
        <v>2</v>
      </c>
      <c r="X387" t="str">
        <f t="shared" ref="X387:X450" si="66">TEXT(B387,"mmmm")</f>
        <v>June</v>
      </c>
      <c r="Y387">
        <f>HLOOKUP("Q"&amp;W387,Bonus_HLookup!$A$1:$E$2,2,FALSE)</f>
        <v>0.04</v>
      </c>
      <c r="Z387">
        <f t="shared" ref="Z387:Z450" si="67">(J387*K387*L387)/100</f>
        <v>39045.839999999997</v>
      </c>
      <c r="AA387" s="1">
        <f t="shared" ref="AA387:AA450" si="68">PMT(K387/1200,L387*12,-J387)</f>
        <v>5098.1446332856467</v>
      </c>
      <c r="AB387">
        <f t="shared" ref="AB387:AB450" si="69">RANK(R387,$R$2:$R$1001)</f>
        <v>645</v>
      </c>
    </row>
    <row r="388" spans="1:28" x14ac:dyDescent="0.3">
      <c r="A388">
        <v>1387</v>
      </c>
      <c r="B388" t="s">
        <v>132</v>
      </c>
      <c r="C388" t="s">
        <v>62</v>
      </c>
      <c r="D388" t="s">
        <v>33</v>
      </c>
      <c r="E388" t="s">
        <v>112</v>
      </c>
      <c r="F388" t="s">
        <v>74</v>
      </c>
      <c r="G388">
        <v>3</v>
      </c>
      <c r="H388">
        <v>35000</v>
      </c>
      <c r="I388">
        <v>5</v>
      </c>
      <c r="J388">
        <v>473058</v>
      </c>
      <c r="K388">
        <v>7</v>
      </c>
      <c r="L388">
        <v>3</v>
      </c>
      <c r="M388" t="str">
        <f>VLOOKUP(Sales_Data!F388,Product_Master!$A$2:$D$11,2)</f>
        <v>Tablet</v>
      </c>
      <c r="N388" t="str">
        <f>VLOOKUP(F388,Product_Master!$A$2:$C$11,3)</f>
        <v>Electronics</v>
      </c>
      <c r="O388">
        <f>VLOOKUP(F388,Product_Master!$A$2:$D$11,4,FALSE)</f>
        <v>29000</v>
      </c>
      <c r="P388">
        <f t="shared" si="60"/>
        <v>105000</v>
      </c>
      <c r="Q388">
        <f t="shared" si="61"/>
        <v>5250</v>
      </c>
      <c r="R388">
        <f t="shared" si="62"/>
        <v>99750</v>
      </c>
      <c r="S388">
        <f t="shared" si="63"/>
        <v>12750</v>
      </c>
      <c r="T388" t="str">
        <f>_xlfn.CONCAT(Sales_Data!C388,"-",Sales_Data!E388,"-",Sales_Data!A388)</f>
        <v>East-C1048-1387</v>
      </c>
      <c r="U388" t="str">
        <f t="shared" si="64"/>
        <v>High Value</v>
      </c>
      <c r="V388" t="str" cm="1">
        <f t="array" ref="V388">_xlfn.IFS(R388&gt;=100000,"Excellent",R388&gt;=50000,"Good",R388&gt;=20000,"Average",TRUE,"Poor")</f>
        <v>Good</v>
      </c>
      <c r="W388">
        <f t="shared" si="65"/>
        <v>3</v>
      </c>
      <c r="X388" t="str">
        <f t="shared" si="66"/>
        <v>September</v>
      </c>
      <c r="Y388">
        <f>HLOOKUP("Q"&amp;W388,Bonus_HLookup!$A$1:$E$2,2,FALSE)</f>
        <v>0.06</v>
      </c>
      <c r="Z388">
        <f t="shared" si="67"/>
        <v>99342.18</v>
      </c>
      <c r="AA388" s="1">
        <f t="shared" si="68"/>
        <v>14606.657688939118</v>
      </c>
      <c r="AB388">
        <f t="shared" si="69"/>
        <v>164</v>
      </c>
    </row>
    <row r="389" spans="1:28" x14ac:dyDescent="0.3">
      <c r="A389">
        <v>1388</v>
      </c>
      <c r="B389" t="s">
        <v>325</v>
      </c>
      <c r="C389" t="s">
        <v>62</v>
      </c>
      <c r="D389" t="s">
        <v>91</v>
      </c>
      <c r="E389" t="s">
        <v>133</v>
      </c>
      <c r="F389" t="s">
        <v>36</v>
      </c>
      <c r="G389">
        <v>4</v>
      </c>
      <c r="H389">
        <v>55000</v>
      </c>
      <c r="I389">
        <v>15</v>
      </c>
      <c r="J389">
        <v>404014</v>
      </c>
      <c r="K389">
        <v>11</v>
      </c>
      <c r="L389">
        <v>4</v>
      </c>
      <c r="M389" t="str">
        <f>VLOOKUP(Sales_Data!F389,Product_Master!$A$2:$D$11,2)</f>
        <v>Laptop</v>
      </c>
      <c r="N389" t="str">
        <f>VLOOKUP(F389,Product_Master!$A$2:$C$11,3)</f>
        <v>Electronics</v>
      </c>
      <c r="O389">
        <f>VLOOKUP(F389,Product_Master!$A$2:$D$11,4,FALSE)</f>
        <v>45000</v>
      </c>
      <c r="P389">
        <f t="shared" si="60"/>
        <v>220000</v>
      </c>
      <c r="Q389">
        <f t="shared" si="61"/>
        <v>33000</v>
      </c>
      <c r="R389">
        <f t="shared" si="62"/>
        <v>187000</v>
      </c>
      <c r="S389">
        <f t="shared" si="63"/>
        <v>7000</v>
      </c>
      <c r="T389" t="str">
        <f>_xlfn.CONCAT(Sales_Data!C389,"-",Sales_Data!E389,"-",Sales_Data!A389)</f>
        <v>East-C1021-1388</v>
      </c>
      <c r="U389" t="str">
        <f t="shared" si="64"/>
        <v>High Value</v>
      </c>
      <c r="V389" t="str" cm="1">
        <f t="array" ref="V389">_xlfn.IFS(R389&gt;=100000,"Excellent",R389&gt;=50000,"Good",R389&gt;=20000,"Average",TRUE,"Poor")</f>
        <v>Excellent</v>
      </c>
      <c r="W389">
        <f t="shared" si="65"/>
        <v>1</v>
      </c>
      <c r="X389" t="str">
        <f t="shared" si="66"/>
        <v>January</v>
      </c>
      <c r="Y389">
        <f>HLOOKUP("Q"&amp;W389,Bonus_HLookup!$A$1:$E$2,2,FALSE)</f>
        <v>0.02</v>
      </c>
      <c r="Z389">
        <f t="shared" si="67"/>
        <v>177766.16</v>
      </c>
      <c r="AA389" s="1">
        <f t="shared" si="68"/>
        <v>10441.952972343497</v>
      </c>
      <c r="AB389">
        <f t="shared" si="69"/>
        <v>113</v>
      </c>
    </row>
    <row r="390" spans="1:28" x14ac:dyDescent="0.3">
      <c r="A390">
        <v>1389</v>
      </c>
      <c r="B390" t="s">
        <v>326</v>
      </c>
      <c r="C390" t="s">
        <v>13</v>
      </c>
      <c r="D390" t="s">
        <v>91</v>
      </c>
      <c r="E390" t="s">
        <v>112</v>
      </c>
      <c r="F390" t="s">
        <v>28</v>
      </c>
      <c r="G390">
        <v>8</v>
      </c>
      <c r="H390">
        <v>950</v>
      </c>
      <c r="I390">
        <v>15</v>
      </c>
      <c r="J390">
        <v>204028</v>
      </c>
      <c r="K390">
        <v>9</v>
      </c>
      <c r="L390">
        <v>1</v>
      </c>
      <c r="M390" t="str">
        <f>VLOOKUP(Sales_Data!F390,Product_Master!$A$2:$D$11,2)</f>
        <v>Webcam</v>
      </c>
      <c r="N390" t="str">
        <f>VLOOKUP(F390,Product_Master!$A$2:$C$11,3)</f>
        <v>Accessories</v>
      </c>
      <c r="O390">
        <f>VLOOKUP(F390,Product_Master!$A$2:$D$11,4,FALSE)</f>
        <v>700</v>
      </c>
      <c r="P390">
        <f t="shared" si="60"/>
        <v>7600</v>
      </c>
      <c r="Q390">
        <f t="shared" si="61"/>
        <v>1140</v>
      </c>
      <c r="R390">
        <f t="shared" si="62"/>
        <v>6460</v>
      </c>
      <c r="S390">
        <f t="shared" si="63"/>
        <v>860</v>
      </c>
      <c r="T390" t="str">
        <f>_xlfn.CONCAT(Sales_Data!C390,"-",Sales_Data!E390,"-",Sales_Data!A390)</f>
        <v>West-C1048-1389</v>
      </c>
      <c r="U390" t="str">
        <f t="shared" si="64"/>
        <v>Regular</v>
      </c>
      <c r="V390" t="str" cm="1">
        <f t="array" ref="V390">_xlfn.IFS(R390&gt;=100000,"Excellent",R390&gt;=50000,"Good",R390&gt;=20000,"Average",TRUE,"Poor")</f>
        <v>Poor</v>
      </c>
      <c r="W390">
        <f t="shared" si="65"/>
        <v>3</v>
      </c>
      <c r="X390" t="str">
        <f t="shared" si="66"/>
        <v>September</v>
      </c>
      <c r="Y390">
        <f>HLOOKUP("Q"&amp;W390,Bonus_HLookup!$A$1:$E$2,2,FALSE)</f>
        <v>0.06</v>
      </c>
      <c r="Z390">
        <f t="shared" si="67"/>
        <v>18362.52</v>
      </c>
      <c r="AA390" s="1">
        <f t="shared" si="68"/>
        <v>17842.549902413532</v>
      </c>
      <c r="AB390">
        <f t="shared" si="69"/>
        <v>745</v>
      </c>
    </row>
    <row r="391" spans="1:28" x14ac:dyDescent="0.3">
      <c r="A391">
        <v>1390</v>
      </c>
      <c r="B391" t="s">
        <v>132</v>
      </c>
      <c r="C391" t="s">
        <v>18</v>
      </c>
      <c r="D391" t="s">
        <v>19</v>
      </c>
      <c r="E391" t="s">
        <v>94</v>
      </c>
      <c r="F391" t="s">
        <v>16</v>
      </c>
      <c r="G391">
        <v>7</v>
      </c>
      <c r="H391">
        <v>2500</v>
      </c>
      <c r="I391">
        <v>0</v>
      </c>
      <c r="J391">
        <v>408509</v>
      </c>
      <c r="K391">
        <v>7</v>
      </c>
      <c r="L391">
        <v>3</v>
      </c>
      <c r="M391" t="str">
        <f>VLOOKUP(Sales_Data!F391,Product_Master!$A$2:$D$11,2)</f>
        <v>Speaker</v>
      </c>
      <c r="N391" t="str">
        <f>VLOOKUP(F391,Product_Master!$A$2:$C$11,3)</f>
        <v>Accessories</v>
      </c>
      <c r="O391">
        <f>VLOOKUP(F391,Product_Master!$A$2:$D$11,4,FALSE)</f>
        <v>1800</v>
      </c>
      <c r="P391">
        <f t="shared" si="60"/>
        <v>17500</v>
      </c>
      <c r="Q391">
        <f t="shared" si="61"/>
        <v>0</v>
      </c>
      <c r="R391">
        <f t="shared" si="62"/>
        <v>17500</v>
      </c>
      <c r="S391">
        <f t="shared" si="63"/>
        <v>4900</v>
      </c>
      <c r="T391" t="str">
        <f>_xlfn.CONCAT(Sales_Data!C391,"-",Sales_Data!E391,"-",Sales_Data!A391)</f>
        <v>North-C1027-1390</v>
      </c>
      <c r="U391" t="str">
        <f t="shared" si="64"/>
        <v>Regular</v>
      </c>
      <c r="V391" t="str" cm="1">
        <f t="array" ref="V391">_xlfn.IFS(R391&gt;=100000,"Excellent",R391&gt;=50000,"Good",R391&gt;=20000,"Average",TRUE,"Poor")</f>
        <v>Poor</v>
      </c>
      <c r="W391">
        <f t="shared" si="65"/>
        <v>3</v>
      </c>
      <c r="X391" t="str">
        <f t="shared" si="66"/>
        <v>September</v>
      </c>
      <c r="Y391">
        <f>HLOOKUP("Q"&amp;W391,Bonus_HLookup!$A$1:$E$2,2,FALSE)</f>
        <v>0.06</v>
      </c>
      <c r="Z391">
        <f t="shared" si="67"/>
        <v>85786.89</v>
      </c>
      <c r="AA391" s="1">
        <f t="shared" si="68"/>
        <v>12613.571963376226</v>
      </c>
      <c r="AB391">
        <f t="shared" si="69"/>
        <v>494</v>
      </c>
    </row>
    <row r="392" spans="1:28" x14ac:dyDescent="0.3">
      <c r="A392">
        <v>1391</v>
      </c>
      <c r="B392" t="s">
        <v>148</v>
      </c>
      <c r="C392" t="s">
        <v>18</v>
      </c>
      <c r="D392" t="s">
        <v>59</v>
      </c>
      <c r="E392" t="s">
        <v>63</v>
      </c>
      <c r="F392" t="s">
        <v>42</v>
      </c>
      <c r="G392">
        <v>7</v>
      </c>
      <c r="H392">
        <v>8000</v>
      </c>
      <c r="I392">
        <v>2</v>
      </c>
      <c r="J392">
        <v>417371</v>
      </c>
      <c r="K392">
        <v>10</v>
      </c>
      <c r="L392">
        <v>2</v>
      </c>
      <c r="M392" t="str">
        <f>VLOOKUP(Sales_Data!F392,Product_Master!$A$2:$D$11,2)</f>
        <v>Printer</v>
      </c>
      <c r="N392" t="str">
        <f>VLOOKUP(F392,Product_Master!$A$2:$C$11,3)</f>
        <v>Electronics</v>
      </c>
      <c r="O392">
        <f>VLOOKUP(F392,Product_Master!$A$2:$D$11,4,FALSE)</f>
        <v>6500</v>
      </c>
      <c r="P392">
        <f t="shared" si="60"/>
        <v>56000</v>
      </c>
      <c r="Q392">
        <f t="shared" si="61"/>
        <v>1120</v>
      </c>
      <c r="R392">
        <f t="shared" si="62"/>
        <v>54880</v>
      </c>
      <c r="S392">
        <f t="shared" si="63"/>
        <v>9380</v>
      </c>
      <c r="T392" t="str">
        <f>_xlfn.CONCAT(Sales_Data!C392,"-",Sales_Data!E392,"-",Sales_Data!A392)</f>
        <v>North-C1035-1391</v>
      </c>
      <c r="U392" t="str">
        <f t="shared" si="64"/>
        <v>High Value</v>
      </c>
      <c r="V392" t="str" cm="1">
        <f t="array" ref="V392">_xlfn.IFS(R392&gt;=100000,"Excellent",R392&gt;=50000,"Good",R392&gt;=20000,"Average",TRUE,"Poor")</f>
        <v>Good</v>
      </c>
      <c r="W392">
        <f t="shared" si="65"/>
        <v>2</v>
      </c>
      <c r="X392" t="str">
        <f t="shared" si="66"/>
        <v>May</v>
      </c>
      <c r="Y392">
        <f>HLOOKUP("Q"&amp;W392,Bonus_HLookup!$A$1:$E$2,2,FALSE)</f>
        <v>0.04</v>
      </c>
      <c r="Z392">
        <f t="shared" si="67"/>
        <v>83474.2</v>
      </c>
      <c r="AA392" s="1">
        <f t="shared" si="68"/>
        <v>19259.554050415602</v>
      </c>
      <c r="AB392">
        <f t="shared" si="69"/>
        <v>273</v>
      </c>
    </row>
    <row r="393" spans="1:28" x14ac:dyDescent="0.3">
      <c r="A393">
        <v>1392</v>
      </c>
      <c r="B393" t="s">
        <v>130</v>
      </c>
      <c r="C393" t="s">
        <v>62</v>
      </c>
      <c r="D393" t="s">
        <v>23</v>
      </c>
      <c r="E393" t="s">
        <v>231</v>
      </c>
      <c r="F393" t="s">
        <v>69</v>
      </c>
      <c r="G393">
        <v>5</v>
      </c>
      <c r="H393">
        <v>2000</v>
      </c>
      <c r="I393">
        <v>5</v>
      </c>
      <c r="J393">
        <v>233295</v>
      </c>
      <c r="K393">
        <v>9</v>
      </c>
      <c r="L393">
        <v>1</v>
      </c>
      <c r="M393" t="str">
        <f>VLOOKUP(Sales_Data!F393,Product_Master!$A$2:$D$11,2)</f>
        <v>Headset</v>
      </c>
      <c r="N393" t="str">
        <f>VLOOKUP(F393,Product_Master!$A$2:$C$11,3)</f>
        <v>Accessories</v>
      </c>
      <c r="O393">
        <f>VLOOKUP(F393,Product_Master!$A$2:$D$11,4,FALSE)</f>
        <v>1500</v>
      </c>
      <c r="P393">
        <f t="shared" si="60"/>
        <v>10000</v>
      </c>
      <c r="Q393">
        <f t="shared" si="61"/>
        <v>500</v>
      </c>
      <c r="R393">
        <f t="shared" si="62"/>
        <v>9500</v>
      </c>
      <c r="S393">
        <f t="shared" si="63"/>
        <v>2000</v>
      </c>
      <c r="T393" t="str">
        <f>_xlfn.CONCAT(Sales_Data!C393,"-",Sales_Data!E393,"-",Sales_Data!A393)</f>
        <v>East-C1006-1392</v>
      </c>
      <c r="U393" t="str">
        <f t="shared" si="64"/>
        <v>Regular</v>
      </c>
      <c r="V393" t="str" cm="1">
        <f t="array" ref="V393">_xlfn.IFS(R393&gt;=100000,"Excellent",R393&gt;=50000,"Good",R393&gt;=20000,"Average",TRUE,"Poor")</f>
        <v>Poor</v>
      </c>
      <c r="W393">
        <f t="shared" si="65"/>
        <v>3</v>
      </c>
      <c r="X393" t="str">
        <f t="shared" si="66"/>
        <v>July</v>
      </c>
      <c r="Y393">
        <f>HLOOKUP("Q"&amp;W393,Bonus_HLookup!$A$1:$E$2,2,FALSE)</f>
        <v>0.06</v>
      </c>
      <c r="Z393">
        <f t="shared" si="67"/>
        <v>20996.55</v>
      </c>
      <c r="AA393" s="1">
        <f t="shared" si="68"/>
        <v>20401.992273038821</v>
      </c>
      <c r="AB393">
        <f t="shared" si="69"/>
        <v>651</v>
      </c>
    </row>
    <row r="394" spans="1:28" x14ac:dyDescent="0.3">
      <c r="A394">
        <v>1393</v>
      </c>
      <c r="B394" t="s">
        <v>86</v>
      </c>
      <c r="C394" t="s">
        <v>18</v>
      </c>
      <c r="D394" t="s">
        <v>19</v>
      </c>
      <c r="E394" t="s">
        <v>174</v>
      </c>
      <c r="F394" t="s">
        <v>69</v>
      </c>
      <c r="G394">
        <v>6</v>
      </c>
      <c r="H394">
        <v>2000</v>
      </c>
      <c r="I394">
        <v>12</v>
      </c>
      <c r="J394">
        <v>228059</v>
      </c>
      <c r="K394">
        <v>11</v>
      </c>
      <c r="L394">
        <v>4</v>
      </c>
      <c r="M394" t="str">
        <f>VLOOKUP(Sales_Data!F394,Product_Master!$A$2:$D$11,2)</f>
        <v>Headset</v>
      </c>
      <c r="N394" t="str">
        <f>VLOOKUP(F394,Product_Master!$A$2:$C$11,3)</f>
        <v>Accessories</v>
      </c>
      <c r="O394">
        <f>VLOOKUP(F394,Product_Master!$A$2:$D$11,4,FALSE)</f>
        <v>1500</v>
      </c>
      <c r="P394">
        <f t="shared" si="60"/>
        <v>12000</v>
      </c>
      <c r="Q394">
        <f t="shared" si="61"/>
        <v>1440</v>
      </c>
      <c r="R394">
        <f t="shared" si="62"/>
        <v>10560</v>
      </c>
      <c r="S394">
        <f t="shared" si="63"/>
        <v>1560</v>
      </c>
      <c r="T394" t="str">
        <f>_xlfn.CONCAT(Sales_Data!C394,"-",Sales_Data!E394,"-",Sales_Data!A394)</f>
        <v>North-C1044-1393</v>
      </c>
      <c r="U394" t="str">
        <f t="shared" si="64"/>
        <v>Regular</v>
      </c>
      <c r="V394" t="str" cm="1">
        <f t="array" ref="V394">_xlfn.IFS(R394&gt;=100000,"Excellent",R394&gt;=50000,"Good",R394&gt;=20000,"Average",TRUE,"Poor")</f>
        <v>Poor</v>
      </c>
      <c r="W394">
        <f t="shared" si="65"/>
        <v>1</v>
      </c>
      <c r="X394" t="str">
        <f t="shared" si="66"/>
        <v>March</v>
      </c>
      <c r="Y394">
        <f>HLOOKUP("Q"&amp;W394,Bonus_HLookup!$A$1:$E$2,2,FALSE)</f>
        <v>0.02</v>
      </c>
      <c r="Z394">
        <f t="shared" si="67"/>
        <v>100345.96</v>
      </c>
      <c r="AA394" s="1">
        <f t="shared" si="68"/>
        <v>5894.3040412453165</v>
      </c>
      <c r="AB394">
        <f t="shared" si="69"/>
        <v>629</v>
      </c>
    </row>
    <row r="395" spans="1:28" x14ac:dyDescent="0.3">
      <c r="A395">
        <v>1394</v>
      </c>
      <c r="B395" t="s">
        <v>129</v>
      </c>
      <c r="C395" t="s">
        <v>62</v>
      </c>
      <c r="D395" t="s">
        <v>19</v>
      </c>
      <c r="E395" t="s">
        <v>27</v>
      </c>
      <c r="F395" t="s">
        <v>69</v>
      </c>
      <c r="G395">
        <v>7</v>
      </c>
      <c r="H395">
        <v>2000</v>
      </c>
      <c r="I395">
        <v>2</v>
      </c>
      <c r="J395">
        <v>405601</v>
      </c>
      <c r="K395">
        <v>8</v>
      </c>
      <c r="L395">
        <v>1</v>
      </c>
      <c r="M395" t="str">
        <f>VLOOKUP(Sales_Data!F395,Product_Master!$A$2:$D$11,2)</f>
        <v>Headset</v>
      </c>
      <c r="N395" t="str">
        <f>VLOOKUP(F395,Product_Master!$A$2:$C$11,3)</f>
        <v>Accessories</v>
      </c>
      <c r="O395">
        <f>VLOOKUP(F395,Product_Master!$A$2:$D$11,4,FALSE)</f>
        <v>1500</v>
      </c>
      <c r="P395">
        <f t="shared" si="60"/>
        <v>14000</v>
      </c>
      <c r="Q395">
        <f t="shared" si="61"/>
        <v>280</v>
      </c>
      <c r="R395">
        <f t="shared" si="62"/>
        <v>13720</v>
      </c>
      <c r="S395">
        <f t="shared" si="63"/>
        <v>3220</v>
      </c>
      <c r="T395" t="str">
        <f>_xlfn.CONCAT(Sales_Data!C395,"-",Sales_Data!E395,"-",Sales_Data!A395)</f>
        <v>East-C1007-1394</v>
      </c>
      <c r="U395" t="str">
        <f t="shared" si="64"/>
        <v>Regular</v>
      </c>
      <c r="V395" t="str" cm="1">
        <f t="array" ref="V395">_xlfn.IFS(R395&gt;=100000,"Excellent",R395&gt;=50000,"Good",R395&gt;=20000,"Average",TRUE,"Poor")</f>
        <v>Poor</v>
      </c>
      <c r="W395">
        <f t="shared" si="65"/>
        <v>1</v>
      </c>
      <c r="X395" t="str">
        <f t="shared" si="66"/>
        <v>March</v>
      </c>
      <c r="Y395">
        <f>HLOOKUP("Q"&amp;W395,Bonus_HLookup!$A$1:$E$2,2,FALSE)</f>
        <v>0.02</v>
      </c>
      <c r="Z395">
        <f t="shared" si="67"/>
        <v>32448.080000000002</v>
      </c>
      <c r="AA395" s="1">
        <f t="shared" si="68"/>
        <v>35282.593825475866</v>
      </c>
      <c r="AB395">
        <f t="shared" si="69"/>
        <v>549</v>
      </c>
    </row>
    <row r="396" spans="1:28" x14ac:dyDescent="0.3">
      <c r="A396">
        <v>1395</v>
      </c>
      <c r="B396" t="s">
        <v>134</v>
      </c>
      <c r="C396" t="s">
        <v>18</v>
      </c>
      <c r="D396" t="s">
        <v>50</v>
      </c>
      <c r="E396" t="s">
        <v>125</v>
      </c>
      <c r="F396" t="s">
        <v>21</v>
      </c>
      <c r="G396">
        <v>1</v>
      </c>
      <c r="H396">
        <v>12000</v>
      </c>
      <c r="I396">
        <v>2</v>
      </c>
      <c r="J396">
        <v>359535</v>
      </c>
      <c r="K396">
        <v>12</v>
      </c>
      <c r="L396">
        <v>2</v>
      </c>
      <c r="M396" t="str">
        <f>VLOOKUP(Sales_Data!F396,Product_Master!$A$2:$D$11,2)</f>
        <v>Monitor</v>
      </c>
      <c r="N396" t="str">
        <f>VLOOKUP(F396,Product_Master!$A$2:$C$11,3)</f>
        <v>Electronics</v>
      </c>
      <c r="O396">
        <f>VLOOKUP(F396,Product_Master!$A$2:$D$11,4,FALSE)</f>
        <v>9000</v>
      </c>
      <c r="P396">
        <f t="shared" si="60"/>
        <v>12000</v>
      </c>
      <c r="Q396">
        <f t="shared" si="61"/>
        <v>240</v>
      </c>
      <c r="R396">
        <f t="shared" si="62"/>
        <v>11760</v>
      </c>
      <c r="S396">
        <f t="shared" si="63"/>
        <v>2760</v>
      </c>
      <c r="T396" t="str">
        <f>_xlfn.CONCAT(Sales_Data!C396,"-",Sales_Data!E396,"-",Sales_Data!A396)</f>
        <v>North-C1039-1395</v>
      </c>
      <c r="U396" t="str">
        <f t="shared" si="64"/>
        <v>Regular</v>
      </c>
      <c r="V396" t="str" cm="1">
        <f t="array" ref="V396">_xlfn.IFS(R396&gt;=100000,"Excellent",R396&gt;=50000,"Good",R396&gt;=20000,"Average",TRUE,"Poor")</f>
        <v>Poor</v>
      </c>
      <c r="W396">
        <f t="shared" si="65"/>
        <v>4</v>
      </c>
      <c r="X396" t="str">
        <f t="shared" si="66"/>
        <v>October</v>
      </c>
      <c r="Y396">
        <f>HLOOKUP("Q"&amp;W396,Bonus_HLookup!$A$1:$E$2,2,FALSE)</f>
        <v>0.08</v>
      </c>
      <c r="Z396">
        <f t="shared" si="67"/>
        <v>86288.4</v>
      </c>
      <c r="AA396" s="1">
        <f t="shared" si="68"/>
        <v>16924.560835791475</v>
      </c>
      <c r="AB396">
        <f t="shared" si="69"/>
        <v>599</v>
      </c>
    </row>
    <row r="397" spans="1:28" x14ac:dyDescent="0.3">
      <c r="A397">
        <v>1396</v>
      </c>
      <c r="B397" t="s">
        <v>234</v>
      </c>
      <c r="C397" t="s">
        <v>30</v>
      </c>
      <c r="D397" t="s">
        <v>23</v>
      </c>
      <c r="E397" t="s">
        <v>125</v>
      </c>
      <c r="F397" t="s">
        <v>42</v>
      </c>
      <c r="G397">
        <v>8</v>
      </c>
      <c r="H397">
        <v>8000</v>
      </c>
      <c r="I397">
        <v>0</v>
      </c>
      <c r="J397">
        <v>159583</v>
      </c>
      <c r="K397">
        <v>12</v>
      </c>
      <c r="L397">
        <v>5</v>
      </c>
      <c r="M397" t="str">
        <f>VLOOKUP(Sales_Data!F397,Product_Master!$A$2:$D$11,2)</f>
        <v>Printer</v>
      </c>
      <c r="N397" t="str">
        <f>VLOOKUP(F397,Product_Master!$A$2:$C$11,3)</f>
        <v>Electronics</v>
      </c>
      <c r="O397">
        <f>VLOOKUP(F397,Product_Master!$A$2:$D$11,4,FALSE)</f>
        <v>6500</v>
      </c>
      <c r="P397">
        <f t="shared" si="60"/>
        <v>64000</v>
      </c>
      <c r="Q397">
        <f t="shared" si="61"/>
        <v>0</v>
      </c>
      <c r="R397">
        <f t="shared" si="62"/>
        <v>64000</v>
      </c>
      <c r="S397">
        <f t="shared" si="63"/>
        <v>12000</v>
      </c>
      <c r="T397" t="str">
        <f>_xlfn.CONCAT(Sales_Data!C397,"-",Sales_Data!E397,"-",Sales_Data!A397)</f>
        <v>South-C1039-1396</v>
      </c>
      <c r="U397" t="str">
        <f t="shared" si="64"/>
        <v>High Value</v>
      </c>
      <c r="V397" t="str" cm="1">
        <f t="array" ref="V397">_xlfn.IFS(R397&gt;=100000,"Excellent",R397&gt;=50000,"Good",R397&gt;=20000,"Average",TRUE,"Poor")</f>
        <v>Good</v>
      </c>
      <c r="W397">
        <f t="shared" si="65"/>
        <v>3</v>
      </c>
      <c r="X397" t="str">
        <f t="shared" si="66"/>
        <v>September</v>
      </c>
      <c r="Y397">
        <f>HLOOKUP("Q"&amp;W397,Bonus_HLookup!$A$1:$E$2,2,FALSE)</f>
        <v>0.06</v>
      </c>
      <c r="Z397">
        <f t="shared" si="67"/>
        <v>95749.8</v>
      </c>
      <c r="AA397" s="1">
        <f t="shared" si="68"/>
        <v>3549.8356948996798</v>
      </c>
      <c r="AB397">
        <f t="shared" si="69"/>
        <v>237</v>
      </c>
    </row>
    <row r="398" spans="1:28" x14ac:dyDescent="0.3">
      <c r="A398">
        <v>1397</v>
      </c>
      <c r="B398" t="s">
        <v>155</v>
      </c>
      <c r="C398" t="s">
        <v>62</v>
      </c>
      <c r="D398" t="s">
        <v>59</v>
      </c>
      <c r="E398" t="s">
        <v>102</v>
      </c>
      <c r="F398" t="s">
        <v>36</v>
      </c>
      <c r="G398">
        <v>1</v>
      </c>
      <c r="H398">
        <v>55000</v>
      </c>
      <c r="I398">
        <v>0</v>
      </c>
      <c r="J398">
        <v>111297</v>
      </c>
      <c r="K398">
        <v>10</v>
      </c>
      <c r="L398">
        <v>5</v>
      </c>
      <c r="M398" t="str">
        <f>VLOOKUP(Sales_Data!F398,Product_Master!$A$2:$D$11,2)</f>
        <v>Laptop</v>
      </c>
      <c r="N398" t="str">
        <f>VLOOKUP(F398,Product_Master!$A$2:$C$11,3)</f>
        <v>Electronics</v>
      </c>
      <c r="O398">
        <f>VLOOKUP(F398,Product_Master!$A$2:$D$11,4,FALSE)</f>
        <v>45000</v>
      </c>
      <c r="P398">
        <f t="shared" si="60"/>
        <v>55000</v>
      </c>
      <c r="Q398">
        <f t="shared" si="61"/>
        <v>0</v>
      </c>
      <c r="R398">
        <f t="shared" si="62"/>
        <v>55000</v>
      </c>
      <c r="S398">
        <f t="shared" si="63"/>
        <v>10000</v>
      </c>
      <c r="T398" t="str">
        <f>_xlfn.CONCAT(Sales_Data!C398,"-",Sales_Data!E398,"-",Sales_Data!A398)</f>
        <v>East-C1049-1397</v>
      </c>
      <c r="U398" t="str">
        <f t="shared" si="64"/>
        <v>High Value</v>
      </c>
      <c r="V398" t="str" cm="1">
        <f t="array" ref="V398">_xlfn.IFS(R398&gt;=100000,"Excellent",R398&gt;=50000,"Good",R398&gt;=20000,"Average",TRUE,"Poor")</f>
        <v>Good</v>
      </c>
      <c r="W398">
        <f t="shared" si="65"/>
        <v>3</v>
      </c>
      <c r="X398" t="str">
        <f t="shared" si="66"/>
        <v>July</v>
      </c>
      <c r="Y398">
        <f>HLOOKUP("Q"&amp;W398,Bonus_HLookup!$A$1:$E$2,2,FALSE)</f>
        <v>0.06</v>
      </c>
      <c r="Z398">
        <f t="shared" si="67"/>
        <v>55648.5</v>
      </c>
      <c r="AA398" s="1">
        <f t="shared" si="68"/>
        <v>2364.732335230025</v>
      </c>
      <c r="AB398">
        <f t="shared" si="69"/>
        <v>271</v>
      </c>
    </row>
    <row r="399" spans="1:28" x14ac:dyDescent="0.3">
      <c r="A399">
        <v>1398</v>
      </c>
      <c r="B399" t="s">
        <v>64</v>
      </c>
      <c r="C399" t="s">
        <v>30</v>
      </c>
      <c r="D399" t="s">
        <v>91</v>
      </c>
      <c r="E399" t="s">
        <v>38</v>
      </c>
      <c r="F399" t="s">
        <v>21</v>
      </c>
      <c r="G399">
        <v>6</v>
      </c>
      <c r="H399">
        <v>12000</v>
      </c>
      <c r="I399">
        <v>12</v>
      </c>
      <c r="J399">
        <v>458707</v>
      </c>
      <c r="K399">
        <v>11</v>
      </c>
      <c r="L399">
        <v>3</v>
      </c>
      <c r="M399" t="str">
        <f>VLOOKUP(Sales_Data!F399,Product_Master!$A$2:$D$11,2)</f>
        <v>Monitor</v>
      </c>
      <c r="N399" t="str">
        <f>VLOOKUP(F399,Product_Master!$A$2:$C$11,3)</f>
        <v>Electronics</v>
      </c>
      <c r="O399">
        <f>VLOOKUP(F399,Product_Master!$A$2:$D$11,4,FALSE)</f>
        <v>9000</v>
      </c>
      <c r="P399">
        <f t="shared" si="60"/>
        <v>72000</v>
      </c>
      <c r="Q399">
        <f t="shared" si="61"/>
        <v>8640</v>
      </c>
      <c r="R399">
        <f t="shared" si="62"/>
        <v>63360</v>
      </c>
      <c r="S399">
        <f t="shared" si="63"/>
        <v>9360</v>
      </c>
      <c r="T399" t="str">
        <f>_xlfn.CONCAT(Sales_Data!C399,"-",Sales_Data!E399,"-",Sales_Data!A399)</f>
        <v>South-C1009-1398</v>
      </c>
      <c r="U399" t="str">
        <f t="shared" si="64"/>
        <v>High Value</v>
      </c>
      <c r="V399" t="str" cm="1">
        <f t="array" ref="V399">_xlfn.IFS(R399&gt;=100000,"Excellent",R399&gt;=50000,"Good",R399&gt;=20000,"Average",TRUE,"Poor")</f>
        <v>Good</v>
      </c>
      <c r="W399">
        <f t="shared" si="65"/>
        <v>2</v>
      </c>
      <c r="X399" t="str">
        <f t="shared" si="66"/>
        <v>April</v>
      </c>
      <c r="Y399">
        <f>HLOOKUP("Q"&amp;W399,Bonus_HLookup!$A$1:$E$2,2,FALSE)</f>
        <v>0.04</v>
      </c>
      <c r="Z399">
        <f t="shared" si="67"/>
        <v>151373.31</v>
      </c>
      <c r="AA399" s="1">
        <f t="shared" si="68"/>
        <v>15017.478712588656</v>
      </c>
      <c r="AB399">
        <f t="shared" si="69"/>
        <v>240</v>
      </c>
    </row>
    <row r="400" spans="1:28" x14ac:dyDescent="0.3">
      <c r="A400">
        <v>1399</v>
      </c>
      <c r="B400" t="s">
        <v>268</v>
      </c>
      <c r="C400" t="s">
        <v>62</v>
      </c>
      <c r="D400" t="s">
        <v>14</v>
      </c>
      <c r="E400" t="s">
        <v>34</v>
      </c>
      <c r="F400" t="s">
        <v>52</v>
      </c>
      <c r="G400">
        <v>2</v>
      </c>
      <c r="H400">
        <v>500</v>
      </c>
      <c r="I400">
        <v>8</v>
      </c>
      <c r="J400">
        <v>422033</v>
      </c>
      <c r="K400">
        <v>9</v>
      </c>
      <c r="L400">
        <v>2</v>
      </c>
      <c r="M400" t="str">
        <f>VLOOKUP(Sales_Data!F400,Product_Master!$A$2:$D$11,2)</f>
        <v>Mouse</v>
      </c>
      <c r="N400" t="str">
        <f>VLOOKUP(F400,Product_Master!$A$2:$C$11,3)</f>
        <v>Accessories</v>
      </c>
      <c r="O400">
        <f>VLOOKUP(F400,Product_Master!$A$2:$D$11,4,FALSE)</f>
        <v>350</v>
      </c>
      <c r="P400">
        <f t="shared" si="60"/>
        <v>1000</v>
      </c>
      <c r="Q400">
        <f t="shared" si="61"/>
        <v>80</v>
      </c>
      <c r="R400">
        <f t="shared" si="62"/>
        <v>920</v>
      </c>
      <c r="S400">
        <f t="shared" si="63"/>
        <v>220</v>
      </c>
      <c r="T400" t="str">
        <f>_xlfn.CONCAT(Sales_Data!C400,"-",Sales_Data!E400,"-",Sales_Data!A400)</f>
        <v>East-C1036-1399</v>
      </c>
      <c r="U400" t="str">
        <f t="shared" si="64"/>
        <v>Regular</v>
      </c>
      <c r="V400" t="str" cm="1">
        <f t="array" ref="V400">_xlfn.IFS(R400&gt;=100000,"Excellent",R400&gt;=50000,"Good",R400&gt;=20000,"Average",TRUE,"Poor")</f>
        <v>Poor</v>
      </c>
      <c r="W400">
        <f t="shared" si="65"/>
        <v>3</v>
      </c>
      <c r="X400" t="str">
        <f t="shared" si="66"/>
        <v>September</v>
      </c>
      <c r="Y400">
        <f>HLOOKUP("Q"&amp;W400,Bonus_HLookup!$A$1:$E$2,2,FALSE)</f>
        <v>0.06</v>
      </c>
      <c r="Z400">
        <f t="shared" si="67"/>
        <v>75965.94</v>
      </c>
      <c r="AA400" s="1">
        <f t="shared" si="68"/>
        <v>19280.468838306257</v>
      </c>
      <c r="AB400">
        <f t="shared" si="69"/>
        <v>971</v>
      </c>
    </row>
    <row r="401" spans="1:28" x14ac:dyDescent="0.3">
      <c r="A401">
        <v>1400</v>
      </c>
      <c r="B401" t="s">
        <v>327</v>
      </c>
      <c r="C401" t="s">
        <v>30</v>
      </c>
      <c r="D401" t="s">
        <v>19</v>
      </c>
      <c r="E401" t="s">
        <v>57</v>
      </c>
      <c r="F401" t="s">
        <v>21</v>
      </c>
      <c r="G401">
        <v>7</v>
      </c>
      <c r="H401">
        <v>12000</v>
      </c>
      <c r="I401">
        <v>10</v>
      </c>
      <c r="J401">
        <v>225929</v>
      </c>
      <c r="K401">
        <v>7</v>
      </c>
      <c r="L401">
        <v>1</v>
      </c>
      <c r="M401" t="str">
        <f>VLOOKUP(Sales_Data!F401,Product_Master!$A$2:$D$11,2)</f>
        <v>Monitor</v>
      </c>
      <c r="N401" t="str">
        <f>VLOOKUP(F401,Product_Master!$A$2:$C$11,3)</f>
        <v>Electronics</v>
      </c>
      <c r="O401">
        <f>VLOOKUP(F401,Product_Master!$A$2:$D$11,4,FALSE)</f>
        <v>9000</v>
      </c>
      <c r="P401">
        <f t="shared" si="60"/>
        <v>84000</v>
      </c>
      <c r="Q401">
        <f t="shared" si="61"/>
        <v>8400</v>
      </c>
      <c r="R401">
        <f t="shared" si="62"/>
        <v>75600</v>
      </c>
      <c r="S401">
        <f t="shared" si="63"/>
        <v>12600</v>
      </c>
      <c r="T401" t="str">
        <f>_xlfn.CONCAT(Sales_Data!C401,"-",Sales_Data!E401,"-",Sales_Data!A401)</f>
        <v>South-C1012-1400</v>
      </c>
      <c r="U401" t="str">
        <f t="shared" si="64"/>
        <v>High Value</v>
      </c>
      <c r="V401" t="str" cm="1">
        <f t="array" ref="V401">_xlfn.IFS(R401&gt;=100000,"Excellent",R401&gt;=50000,"Good",R401&gt;=20000,"Average",TRUE,"Poor")</f>
        <v>Good</v>
      </c>
      <c r="W401">
        <f t="shared" si="65"/>
        <v>3</v>
      </c>
      <c r="X401" t="str">
        <f t="shared" si="66"/>
        <v>September</v>
      </c>
      <c r="Y401">
        <f>HLOOKUP("Q"&amp;W401,Bonus_HLookup!$A$1:$E$2,2,FALSE)</f>
        <v>0.06</v>
      </c>
      <c r="Z401">
        <f t="shared" si="67"/>
        <v>15815.03</v>
      </c>
      <c r="AA401" s="1">
        <f t="shared" si="68"/>
        <v>19548.901219206233</v>
      </c>
      <c r="AB401">
        <f t="shared" si="69"/>
        <v>200</v>
      </c>
    </row>
    <row r="402" spans="1:28" x14ac:dyDescent="0.3">
      <c r="A402">
        <v>1401</v>
      </c>
      <c r="B402" t="s">
        <v>186</v>
      </c>
      <c r="C402" t="s">
        <v>13</v>
      </c>
      <c r="D402" t="s">
        <v>91</v>
      </c>
      <c r="E402" t="s">
        <v>73</v>
      </c>
      <c r="F402" t="s">
        <v>36</v>
      </c>
      <c r="G402">
        <v>9</v>
      </c>
      <c r="H402">
        <v>55000</v>
      </c>
      <c r="I402">
        <v>15</v>
      </c>
      <c r="J402">
        <v>101807</v>
      </c>
      <c r="K402">
        <v>7</v>
      </c>
      <c r="L402">
        <v>5</v>
      </c>
      <c r="M402" t="str">
        <f>VLOOKUP(Sales_Data!F402,Product_Master!$A$2:$D$11,2)</f>
        <v>Laptop</v>
      </c>
      <c r="N402" t="str">
        <f>VLOOKUP(F402,Product_Master!$A$2:$C$11,3)</f>
        <v>Electronics</v>
      </c>
      <c r="O402">
        <f>VLOOKUP(F402,Product_Master!$A$2:$D$11,4,FALSE)</f>
        <v>45000</v>
      </c>
      <c r="P402">
        <f t="shared" si="60"/>
        <v>495000</v>
      </c>
      <c r="Q402">
        <f t="shared" si="61"/>
        <v>74250</v>
      </c>
      <c r="R402">
        <f t="shared" si="62"/>
        <v>420750</v>
      </c>
      <c r="S402">
        <f t="shared" si="63"/>
        <v>15750</v>
      </c>
      <c r="T402" t="str">
        <f>_xlfn.CONCAT(Sales_Data!C402,"-",Sales_Data!E402,"-",Sales_Data!A402)</f>
        <v>West-C1014-1401</v>
      </c>
      <c r="U402" t="str">
        <f t="shared" si="64"/>
        <v>High Value</v>
      </c>
      <c r="V402" t="str" cm="1">
        <f t="array" ref="V402">_xlfn.IFS(R402&gt;=100000,"Excellent",R402&gt;=50000,"Good",R402&gt;=20000,"Average",TRUE,"Poor")</f>
        <v>Excellent</v>
      </c>
      <c r="W402">
        <f t="shared" si="65"/>
        <v>1</v>
      </c>
      <c r="X402" t="str">
        <f t="shared" si="66"/>
        <v>January</v>
      </c>
      <c r="Y402">
        <f>HLOOKUP("Q"&amp;W402,Bonus_HLookup!$A$1:$E$2,2,FALSE)</f>
        <v>0.02</v>
      </c>
      <c r="Z402">
        <f t="shared" si="67"/>
        <v>35632.449999999997</v>
      </c>
      <c r="AA402" s="1">
        <f t="shared" si="68"/>
        <v>2015.9006197973652</v>
      </c>
      <c r="AB402">
        <f t="shared" si="69"/>
        <v>19</v>
      </c>
    </row>
    <row r="403" spans="1:28" x14ac:dyDescent="0.3">
      <c r="A403">
        <v>1402</v>
      </c>
      <c r="B403" t="s">
        <v>232</v>
      </c>
      <c r="C403" t="s">
        <v>13</v>
      </c>
      <c r="D403" t="s">
        <v>91</v>
      </c>
      <c r="E403" t="s">
        <v>157</v>
      </c>
      <c r="F403" t="s">
        <v>39</v>
      </c>
      <c r="G403">
        <v>9</v>
      </c>
      <c r="H403">
        <v>7000</v>
      </c>
      <c r="I403">
        <v>15</v>
      </c>
      <c r="J403">
        <v>495645</v>
      </c>
      <c r="K403">
        <v>7</v>
      </c>
      <c r="L403">
        <v>3</v>
      </c>
      <c r="M403" t="str">
        <f>VLOOKUP(Sales_Data!F403,Product_Master!$A$2:$D$11,2)</f>
        <v>Router</v>
      </c>
      <c r="N403" t="str">
        <f>VLOOKUP(F403,Product_Master!$A$2:$C$11,3)</f>
        <v>Electronics</v>
      </c>
      <c r="O403">
        <f>VLOOKUP(F403,Product_Master!$A$2:$D$11,4,FALSE)</f>
        <v>5000</v>
      </c>
      <c r="P403">
        <f t="shared" si="60"/>
        <v>63000</v>
      </c>
      <c r="Q403">
        <f t="shared" si="61"/>
        <v>9450</v>
      </c>
      <c r="R403">
        <f t="shared" si="62"/>
        <v>53550</v>
      </c>
      <c r="S403">
        <f t="shared" si="63"/>
        <v>8550</v>
      </c>
      <c r="T403" t="str">
        <f>_xlfn.CONCAT(Sales_Data!C403,"-",Sales_Data!E403,"-",Sales_Data!A403)</f>
        <v>West-C1024-1402</v>
      </c>
      <c r="U403" t="str">
        <f t="shared" si="64"/>
        <v>High Value</v>
      </c>
      <c r="V403" t="str" cm="1">
        <f t="array" ref="V403">_xlfn.IFS(R403&gt;=100000,"Excellent",R403&gt;=50000,"Good",R403&gt;=20000,"Average",TRUE,"Poor")</f>
        <v>Good</v>
      </c>
      <c r="W403">
        <f t="shared" si="65"/>
        <v>2</v>
      </c>
      <c r="X403" t="str">
        <f t="shared" si="66"/>
        <v>April</v>
      </c>
      <c r="Y403">
        <f>HLOOKUP("Q"&amp;W403,Bonus_HLookup!$A$1:$E$2,2,FALSE)</f>
        <v>0.04</v>
      </c>
      <c r="Z403">
        <f t="shared" si="67"/>
        <v>104085.45</v>
      </c>
      <c r="AA403" s="1">
        <f t="shared" si="68"/>
        <v>15304.078675837276</v>
      </c>
      <c r="AB403">
        <f t="shared" si="69"/>
        <v>279</v>
      </c>
    </row>
    <row r="404" spans="1:28" x14ac:dyDescent="0.3">
      <c r="A404">
        <v>1403</v>
      </c>
      <c r="B404" t="s">
        <v>328</v>
      </c>
      <c r="C404" t="s">
        <v>18</v>
      </c>
      <c r="D404" t="s">
        <v>14</v>
      </c>
      <c r="E404" t="s">
        <v>131</v>
      </c>
      <c r="F404" t="s">
        <v>69</v>
      </c>
      <c r="G404">
        <v>3</v>
      </c>
      <c r="H404">
        <v>2000</v>
      </c>
      <c r="I404">
        <v>15</v>
      </c>
      <c r="J404">
        <v>244757</v>
      </c>
      <c r="K404">
        <v>10</v>
      </c>
      <c r="L404">
        <v>4</v>
      </c>
      <c r="M404" t="str">
        <f>VLOOKUP(Sales_Data!F404,Product_Master!$A$2:$D$11,2)</f>
        <v>Headset</v>
      </c>
      <c r="N404" t="str">
        <f>VLOOKUP(F404,Product_Master!$A$2:$C$11,3)</f>
        <v>Accessories</v>
      </c>
      <c r="O404">
        <f>VLOOKUP(F404,Product_Master!$A$2:$D$11,4,FALSE)</f>
        <v>1500</v>
      </c>
      <c r="P404">
        <f t="shared" si="60"/>
        <v>6000</v>
      </c>
      <c r="Q404">
        <f t="shared" si="61"/>
        <v>900</v>
      </c>
      <c r="R404">
        <f t="shared" si="62"/>
        <v>5100</v>
      </c>
      <c r="S404">
        <f t="shared" si="63"/>
        <v>600</v>
      </c>
      <c r="T404" t="str">
        <f>_xlfn.CONCAT(Sales_Data!C404,"-",Sales_Data!E404,"-",Sales_Data!A404)</f>
        <v>North-C1047-1403</v>
      </c>
      <c r="U404" t="str">
        <f t="shared" si="64"/>
        <v>Regular</v>
      </c>
      <c r="V404" t="str" cm="1">
        <f t="array" ref="V404">_xlfn.IFS(R404&gt;=100000,"Excellent",R404&gt;=50000,"Good",R404&gt;=20000,"Average",TRUE,"Poor")</f>
        <v>Poor</v>
      </c>
      <c r="W404">
        <f t="shared" si="65"/>
        <v>3</v>
      </c>
      <c r="X404" t="str">
        <f t="shared" si="66"/>
        <v>September</v>
      </c>
      <c r="Y404">
        <f>HLOOKUP("Q"&amp;W404,Bonus_HLookup!$A$1:$E$2,2,FALSE)</f>
        <v>0.06</v>
      </c>
      <c r="Z404">
        <f t="shared" si="67"/>
        <v>97902.8</v>
      </c>
      <c r="AA404" s="1">
        <f t="shared" si="68"/>
        <v>6207.6698337384178</v>
      </c>
      <c r="AB404">
        <f t="shared" si="69"/>
        <v>786</v>
      </c>
    </row>
    <row r="405" spans="1:28" x14ac:dyDescent="0.3">
      <c r="A405">
        <v>1404</v>
      </c>
      <c r="B405" t="s">
        <v>329</v>
      </c>
      <c r="C405" t="s">
        <v>62</v>
      </c>
      <c r="D405" t="s">
        <v>14</v>
      </c>
      <c r="E405" t="s">
        <v>38</v>
      </c>
      <c r="F405" t="s">
        <v>69</v>
      </c>
      <c r="G405">
        <v>3</v>
      </c>
      <c r="H405">
        <v>2000</v>
      </c>
      <c r="I405">
        <v>8</v>
      </c>
      <c r="J405">
        <v>444644</v>
      </c>
      <c r="K405">
        <v>7</v>
      </c>
      <c r="L405">
        <v>3</v>
      </c>
      <c r="M405" t="str">
        <f>VLOOKUP(Sales_Data!F405,Product_Master!$A$2:$D$11,2)</f>
        <v>Headset</v>
      </c>
      <c r="N405" t="str">
        <f>VLOOKUP(F405,Product_Master!$A$2:$C$11,3)</f>
        <v>Accessories</v>
      </c>
      <c r="O405">
        <f>VLOOKUP(F405,Product_Master!$A$2:$D$11,4,FALSE)</f>
        <v>1500</v>
      </c>
      <c r="P405">
        <f t="shared" si="60"/>
        <v>6000</v>
      </c>
      <c r="Q405">
        <f t="shared" si="61"/>
        <v>480</v>
      </c>
      <c r="R405">
        <f t="shared" si="62"/>
        <v>5520</v>
      </c>
      <c r="S405">
        <f t="shared" si="63"/>
        <v>1020</v>
      </c>
      <c r="T405" t="str">
        <f>_xlfn.CONCAT(Sales_Data!C405,"-",Sales_Data!E405,"-",Sales_Data!A405)</f>
        <v>East-C1009-1404</v>
      </c>
      <c r="U405" t="str">
        <f t="shared" si="64"/>
        <v>Regular</v>
      </c>
      <c r="V405" t="str" cm="1">
        <f t="array" ref="V405">_xlfn.IFS(R405&gt;=100000,"Excellent",R405&gt;=50000,"Good",R405&gt;=20000,"Average",TRUE,"Poor")</f>
        <v>Poor</v>
      </c>
      <c r="W405">
        <f t="shared" si="65"/>
        <v>3</v>
      </c>
      <c r="X405" t="str">
        <f t="shared" si="66"/>
        <v>August</v>
      </c>
      <c r="Y405">
        <f>HLOOKUP("Q"&amp;W405,Bonus_HLookup!$A$1:$E$2,2,FALSE)</f>
        <v>0.06</v>
      </c>
      <c r="Z405">
        <f t="shared" si="67"/>
        <v>93375.24</v>
      </c>
      <c r="AA405" s="1">
        <f t="shared" si="68"/>
        <v>13729.315858606442</v>
      </c>
      <c r="AB405">
        <f t="shared" si="69"/>
        <v>771</v>
      </c>
    </row>
    <row r="406" spans="1:28" x14ac:dyDescent="0.3">
      <c r="A406">
        <v>1405</v>
      </c>
      <c r="B406" t="s">
        <v>205</v>
      </c>
      <c r="C406" t="s">
        <v>13</v>
      </c>
      <c r="D406" t="s">
        <v>23</v>
      </c>
      <c r="E406" t="s">
        <v>71</v>
      </c>
      <c r="F406" t="s">
        <v>42</v>
      </c>
      <c r="G406">
        <v>3</v>
      </c>
      <c r="H406">
        <v>8000</v>
      </c>
      <c r="I406">
        <v>12</v>
      </c>
      <c r="J406">
        <v>54814</v>
      </c>
      <c r="K406">
        <v>10</v>
      </c>
      <c r="L406">
        <v>1</v>
      </c>
      <c r="M406" t="str">
        <f>VLOOKUP(Sales_Data!F406,Product_Master!$A$2:$D$11,2)</f>
        <v>Printer</v>
      </c>
      <c r="N406" t="str">
        <f>VLOOKUP(F406,Product_Master!$A$2:$C$11,3)</f>
        <v>Electronics</v>
      </c>
      <c r="O406">
        <f>VLOOKUP(F406,Product_Master!$A$2:$D$11,4,FALSE)</f>
        <v>6500</v>
      </c>
      <c r="P406">
        <f t="shared" si="60"/>
        <v>24000</v>
      </c>
      <c r="Q406">
        <f t="shared" si="61"/>
        <v>2880</v>
      </c>
      <c r="R406">
        <f t="shared" si="62"/>
        <v>21120</v>
      </c>
      <c r="S406">
        <f t="shared" si="63"/>
        <v>1620</v>
      </c>
      <c r="T406" t="str">
        <f>_xlfn.CONCAT(Sales_Data!C406,"-",Sales_Data!E406,"-",Sales_Data!A406)</f>
        <v>West-C1019-1405</v>
      </c>
      <c r="U406" t="str">
        <f t="shared" si="64"/>
        <v>Regular</v>
      </c>
      <c r="V406" t="str" cm="1">
        <f t="array" ref="V406">_xlfn.IFS(R406&gt;=100000,"Excellent",R406&gt;=50000,"Good",R406&gt;=20000,"Average",TRUE,"Poor")</f>
        <v>Average</v>
      </c>
      <c r="W406">
        <f t="shared" si="65"/>
        <v>3</v>
      </c>
      <c r="X406" t="str">
        <f t="shared" si="66"/>
        <v>August</v>
      </c>
      <c r="Y406">
        <f>HLOOKUP("Q"&amp;W406,Bonus_HLookup!$A$1:$E$2,2,FALSE)</f>
        <v>0.06</v>
      </c>
      <c r="Z406">
        <f t="shared" si="67"/>
        <v>5481.4</v>
      </c>
      <c r="AA406" s="1">
        <f t="shared" si="68"/>
        <v>4819.0214426257462</v>
      </c>
      <c r="AB406">
        <f t="shared" si="69"/>
        <v>429</v>
      </c>
    </row>
    <row r="407" spans="1:28" x14ac:dyDescent="0.3">
      <c r="A407">
        <v>1406</v>
      </c>
      <c r="B407" t="s">
        <v>212</v>
      </c>
      <c r="C407" t="s">
        <v>18</v>
      </c>
      <c r="D407" t="s">
        <v>33</v>
      </c>
      <c r="E407" t="s">
        <v>125</v>
      </c>
      <c r="F407" t="s">
        <v>39</v>
      </c>
      <c r="G407">
        <v>10</v>
      </c>
      <c r="H407">
        <v>7000</v>
      </c>
      <c r="I407">
        <v>5</v>
      </c>
      <c r="J407">
        <v>366791</v>
      </c>
      <c r="K407">
        <v>12</v>
      </c>
      <c r="L407">
        <v>2</v>
      </c>
      <c r="M407" t="str">
        <f>VLOOKUP(Sales_Data!F407,Product_Master!$A$2:$D$11,2)</f>
        <v>Router</v>
      </c>
      <c r="N407" t="str">
        <f>VLOOKUP(F407,Product_Master!$A$2:$C$11,3)</f>
        <v>Electronics</v>
      </c>
      <c r="O407">
        <f>VLOOKUP(F407,Product_Master!$A$2:$D$11,4,FALSE)</f>
        <v>5000</v>
      </c>
      <c r="P407">
        <f t="shared" si="60"/>
        <v>70000</v>
      </c>
      <c r="Q407">
        <f t="shared" si="61"/>
        <v>3500</v>
      </c>
      <c r="R407">
        <f t="shared" si="62"/>
        <v>66500</v>
      </c>
      <c r="S407">
        <f t="shared" si="63"/>
        <v>16500</v>
      </c>
      <c r="T407" t="str">
        <f>_xlfn.CONCAT(Sales_Data!C407,"-",Sales_Data!E407,"-",Sales_Data!A407)</f>
        <v>North-C1039-1406</v>
      </c>
      <c r="U407" t="str">
        <f t="shared" si="64"/>
        <v>High Value</v>
      </c>
      <c r="V407" t="str" cm="1">
        <f t="array" ref="V407">_xlfn.IFS(R407&gt;=100000,"Excellent",R407&gt;=50000,"Good",R407&gt;=20000,"Average",TRUE,"Poor")</f>
        <v>Good</v>
      </c>
      <c r="W407">
        <f t="shared" si="65"/>
        <v>3</v>
      </c>
      <c r="X407" t="str">
        <f t="shared" si="66"/>
        <v>September</v>
      </c>
      <c r="Y407">
        <f>HLOOKUP("Q"&amp;W407,Bonus_HLookup!$A$1:$E$2,2,FALSE)</f>
        <v>0.06</v>
      </c>
      <c r="Z407">
        <f t="shared" si="67"/>
        <v>88029.84</v>
      </c>
      <c r="AA407" s="1">
        <f t="shared" si="68"/>
        <v>17266.125950243484</v>
      </c>
      <c r="AB407">
        <f t="shared" si="69"/>
        <v>228</v>
      </c>
    </row>
    <row r="408" spans="1:28" x14ac:dyDescent="0.3">
      <c r="A408">
        <v>1407</v>
      </c>
      <c r="B408" t="s">
        <v>318</v>
      </c>
      <c r="C408" t="s">
        <v>30</v>
      </c>
      <c r="D408" t="s">
        <v>23</v>
      </c>
      <c r="E408" t="s">
        <v>169</v>
      </c>
      <c r="F408" t="s">
        <v>69</v>
      </c>
      <c r="G408">
        <v>1</v>
      </c>
      <c r="H408">
        <v>2000</v>
      </c>
      <c r="I408">
        <v>2</v>
      </c>
      <c r="J408">
        <v>330591</v>
      </c>
      <c r="K408">
        <v>9</v>
      </c>
      <c r="L408">
        <v>3</v>
      </c>
      <c r="M408" t="str">
        <f>VLOOKUP(Sales_Data!F408,Product_Master!$A$2:$D$11,2)</f>
        <v>Headset</v>
      </c>
      <c r="N408" t="str">
        <f>VLOOKUP(F408,Product_Master!$A$2:$C$11,3)</f>
        <v>Accessories</v>
      </c>
      <c r="O408">
        <f>VLOOKUP(F408,Product_Master!$A$2:$D$11,4,FALSE)</f>
        <v>1500</v>
      </c>
      <c r="P408">
        <f t="shared" si="60"/>
        <v>2000</v>
      </c>
      <c r="Q408">
        <f t="shared" si="61"/>
        <v>40</v>
      </c>
      <c r="R408">
        <f t="shared" si="62"/>
        <v>1960</v>
      </c>
      <c r="S408">
        <f t="shared" si="63"/>
        <v>460</v>
      </c>
      <c r="T408" t="str">
        <f>_xlfn.CONCAT(Sales_Data!C408,"-",Sales_Data!E408,"-",Sales_Data!A408)</f>
        <v>South-C1038-1407</v>
      </c>
      <c r="U408" t="str">
        <f t="shared" si="64"/>
        <v>Regular</v>
      </c>
      <c r="V408" t="str" cm="1">
        <f t="array" ref="V408">_xlfn.IFS(R408&gt;=100000,"Excellent",R408&gt;=50000,"Good",R408&gt;=20000,"Average",TRUE,"Poor")</f>
        <v>Poor</v>
      </c>
      <c r="W408">
        <f t="shared" si="65"/>
        <v>3</v>
      </c>
      <c r="X408" t="str">
        <f t="shared" si="66"/>
        <v>August</v>
      </c>
      <c r="Y408">
        <f>HLOOKUP("Q"&amp;W408,Bonus_HLookup!$A$1:$E$2,2,FALSE)</f>
        <v>0.06</v>
      </c>
      <c r="Z408">
        <f t="shared" si="67"/>
        <v>89259.57</v>
      </c>
      <c r="AA408" s="1">
        <f t="shared" si="68"/>
        <v>10512.705419782451</v>
      </c>
      <c r="AB408">
        <f t="shared" si="69"/>
        <v>932</v>
      </c>
    </row>
    <row r="409" spans="1:28" x14ac:dyDescent="0.3">
      <c r="A409">
        <v>1408</v>
      </c>
      <c r="B409" t="s">
        <v>246</v>
      </c>
      <c r="C409" t="s">
        <v>18</v>
      </c>
      <c r="D409" t="s">
        <v>91</v>
      </c>
      <c r="E409" t="s">
        <v>44</v>
      </c>
      <c r="F409" t="s">
        <v>25</v>
      </c>
      <c r="G409">
        <v>8</v>
      </c>
      <c r="H409">
        <v>1500</v>
      </c>
      <c r="I409">
        <v>5</v>
      </c>
      <c r="J409">
        <v>482446</v>
      </c>
      <c r="K409">
        <v>9</v>
      </c>
      <c r="L409">
        <v>5</v>
      </c>
      <c r="M409" t="str">
        <f>VLOOKUP(Sales_Data!F409,Product_Master!$A$2:$D$11,2)</f>
        <v>Keyboard</v>
      </c>
      <c r="N409" t="str">
        <f>VLOOKUP(F409,Product_Master!$A$2:$C$11,3)</f>
        <v>Accessories</v>
      </c>
      <c r="O409">
        <f>VLOOKUP(F409,Product_Master!$A$2:$D$11,4,FALSE)</f>
        <v>1200</v>
      </c>
      <c r="P409">
        <f t="shared" si="60"/>
        <v>12000</v>
      </c>
      <c r="Q409">
        <f t="shared" si="61"/>
        <v>600</v>
      </c>
      <c r="R409">
        <f t="shared" si="62"/>
        <v>11400</v>
      </c>
      <c r="S409">
        <f t="shared" si="63"/>
        <v>1800</v>
      </c>
      <c r="T409" t="str">
        <f>_xlfn.CONCAT(Sales_Data!C409,"-",Sales_Data!E409,"-",Sales_Data!A409)</f>
        <v>North-C1028-1408</v>
      </c>
      <c r="U409" t="str">
        <f t="shared" si="64"/>
        <v>Regular</v>
      </c>
      <c r="V409" t="str" cm="1">
        <f t="array" ref="V409">_xlfn.IFS(R409&gt;=100000,"Excellent",R409&gt;=50000,"Good",R409&gt;=20000,"Average",TRUE,"Poor")</f>
        <v>Poor</v>
      </c>
      <c r="W409">
        <f t="shared" si="65"/>
        <v>3</v>
      </c>
      <c r="X409" t="str">
        <f t="shared" si="66"/>
        <v>September</v>
      </c>
      <c r="Y409">
        <f>HLOOKUP("Q"&amp;W409,Bonus_HLookup!$A$1:$E$2,2,FALSE)</f>
        <v>0.06</v>
      </c>
      <c r="Z409">
        <f t="shared" si="67"/>
        <v>217100.7</v>
      </c>
      <c r="AA409" s="1">
        <f t="shared" si="68"/>
        <v>10014.785445533587</v>
      </c>
      <c r="AB409">
        <f t="shared" si="69"/>
        <v>607</v>
      </c>
    </row>
    <row r="410" spans="1:28" x14ac:dyDescent="0.3">
      <c r="A410">
        <v>1409</v>
      </c>
      <c r="B410" t="s">
        <v>330</v>
      </c>
      <c r="C410" t="s">
        <v>30</v>
      </c>
      <c r="D410" t="s">
        <v>50</v>
      </c>
      <c r="E410" t="s">
        <v>68</v>
      </c>
      <c r="F410" t="s">
        <v>21</v>
      </c>
      <c r="G410">
        <v>5</v>
      </c>
      <c r="H410">
        <v>12000</v>
      </c>
      <c r="I410">
        <v>0</v>
      </c>
      <c r="J410">
        <v>399142</v>
      </c>
      <c r="K410">
        <v>11</v>
      </c>
      <c r="L410">
        <v>4</v>
      </c>
      <c r="M410" t="str">
        <f>VLOOKUP(Sales_Data!F410,Product_Master!$A$2:$D$11,2)</f>
        <v>Monitor</v>
      </c>
      <c r="N410" t="str">
        <f>VLOOKUP(F410,Product_Master!$A$2:$C$11,3)</f>
        <v>Electronics</v>
      </c>
      <c r="O410">
        <f>VLOOKUP(F410,Product_Master!$A$2:$D$11,4,FALSE)</f>
        <v>9000</v>
      </c>
      <c r="P410">
        <f t="shared" si="60"/>
        <v>60000</v>
      </c>
      <c r="Q410">
        <f t="shared" si="61"/>
        <v>0</v>
      </c>
      <c r="R410">
        <f t="shared" si="62"/>
        <v>60000</v>
      </c>
      <c r="S410">
        <f t="shared" si="63"/>
        <v>15000</v>
      </c>
      <c r="T410" t="str">
        <f>_xlfn.CONCAT(Sales_Data!C410,"-",Sales_Data!E410,"-",Sales_Data!A410)</f>
        <v>South-C1043-1409</v>
      </c>
      <c r="U410" t="str">
        <f t="shared" si="64"/>
        <v>High Value</v>
      </c>
      <c r="V410" t="str" cm="1">
        <f t="array" ref="V410">_xlfn.IFS(R410&gt;=100000,"Excellent",R410&gt;=50000,"Good",R410&gt;=20000,"Average",TRUE,"Poor")</f>
        <v>Good</v>
      </c>
      <c r="W410">
        <f t="shared" si="65"/>
        <v>3</v>
      </c>
      <c r="X410" t="str">
        <f t="shared" si="66"/>
        <v>August</v>
      </c>
      <c r="Y410">
        <f>HLOOKUP("Q"&amp;W410,Bonus_HLookup!$A$1:$E$2,2,FALSE)</f>
        <v>0.06</v>
      </c>
      <c r="Z410">
        <f t="shared" si="67"/>
        <v>175622.48</v>
      </c>
      <c r="AA410" s="1">
        <f t="shared" si="68"/>
        <v>10316.0335861805</v>
      </c>
      <c r="AB410">
        <f t="shared" si="69"/>
        <v>254</v>
      </c>
    </row>
    <row r="411" spans="1:28" x14ac:dyDescent="0.3">
      <c r="A411">
        <v>1410</v>
      </c>
      <c r="B411" t="s">
        <v>216</v>
      </c>
      <c r="C411" t="s">
        <v>62</v>
      </c>
      <c r="D411" t="s">
        <v>91</v>
      </c>
      <c r="E411" t="s">
        <v>77</v>
      </c>
      <c r="F411" t="s">
        <v>69</v>
      </c>
      <c r="G411">
        <v>5</v>
      </c>
      <c r="H411">
        <v>2000</v>
      </c>
      <c r="I411">
        <v>8</v>
      </c>
      <c r="J411">
        <v>128250</v>
      </c>
      <c r="K411">
        <v>10</v>
      </c>
      <c r="L411">
        <v>3</v>
      </c>
      <c r="M411" t="str">
        <f>VLOOKUP(Sales_Data!F411,Product_Master!$A$2:$D$11,2)</f>
        <v>Headset</v>
      </c>
      <c r="N411" t="str">
        <f>VLOOKUP(F411,Product_Master!$A$2:$C$11,3)</f>
        <v>Accessories</v>
      </c>
      <c r="O411">
        <f>VLOOKUP(F411,Product_Master!$A$2:$D$11,4,FALSE)</f>
        <v>1500</v>
      </c>
      <c r="P411">
        <f t="shared" si="60"/>
        <v>10000</v>
      </c>
      <c r="Q411">
        <f t="shared" si="61"/>
        <v>800</v>
      </c>
      <c r="R411">
        <f t="shared" si="62"/>
        <v>9200</v>
      </c>
      <c r="S411">
        <f t="shared" si="63"/>
        <v>1700</v>
      </c>
      <c r="T411" t="str">
        <f>_xlfn.CONCAT(Sales_Data!C411,"-",Sales_Data!E411,"-",Sales_Data!A411)</f>
        <v>East-C1020-1410</v>
      </c>
      <c r="U411" t="str">
        <f t="shared" si="64"/>
        <v>Regular</v>
      </c>
      <c r="V411" t="str" cm="1">
        <f t="array" ref="V411">_xlfn.IFS(R411&gt;=100000,"Excellent",R411&gt;=50000,"Good",R411&gt;=20000,"Average",TRUE,"Poor")</f>
        <v>Poor</v>
      </c>
      <c r="W411">
        <f t="shared" si="65"/>
        <v>1</v>
      </c>
      <c r="X411" t="str">
        <f t="shared" si="66"/>
        <v>February</v>
      </c>
      <c r="Y411">
        <f>HLOOKUP("Q"&amp;W411,Bonus_HLookup!$A$1:$E$2,2,FALSE)</f>
        <v>0.02</v>
      </c>
      <c r="Z411">
        <f t="shared" si="67"/>
        <v>38475</v>
      </c>
      <c r="AA411" s="1">
        <f t="shared" si="68"/>
        <v>4138.2667576096574</v>
      </c>
      <c r="AB411">
        <f t="shared" si="69"/>
        <v>657</v>
      </c>
    </row>
    <row r="412" spans="1:28" x14ac:dyDescent="0.3">
      <c r="A412">
        <v>1411</v>
      </c>
      <c r="B412" t="s">
        <v>53</v>
      </c>
      <c r="C412" t="s">
        <v>13</v>
      </c>
      <c r="D412" t="s">
        <v>91</v>
      </c>
      <c r="E412" t="s">
        <v>102</v>
      </c>
      <c r="F412" t="s">
        <v>36</v>
      </c>
      <c r="G412">
        <v>3</v>
      </c>
      <c r="H412">
        <v>55000</v>
      </c>
      <c r="I412">
        <v>15</v>
      </c>
      <c r="J412">
        <v>486893</v>
      </c>
      <c r="K412">
        <v>9</v>
      </c>
      <c r="L412">
        <v>3</v>
      </c>
      <c r="M412" t="str">
        <f>VLOOKUP(Sales_Data!F412,Product_Master!$A$2:$D$11,2)</f>
        <v>Laptop</v>
      </c>
      <c r="N412" t="str">
        <f>VLOOKUP(F412,Product_Master!$A$2:$C$11,3)</f>
        <v>Electronics</v>
      </c>
      <c r="O412">
        <f>VLOOKUP(F412,Product_Master!$A$2:$D$11,4,FALSE)</f>
        <v>45000</v>
      </c>
      <c r="P412">
        <f t="shared" si="60"/>
        <v>165000</v>
      </c>
      <c r="Q412">
        <f t="shared" si="61"/>
        <v>24750</v>
      </c>
      <c r="R412">
        <f t="shared" si="62"/>
        <v>140250</v>
      </c>
      <c r="S412">
        <f t="shared" si="63"/>
        <v>5250</v>
      </c>
      <c r="T412" t="str">
        <f>_xlfn.CONCAT(Sales_Data!C412,"-",Sales_Data!E412,"-",Sales_Data!A412)</f>
        <v>West-C1049-1411</v>
      </c>
      <c r="U412" t="str">
        <f t="shared" si="64"/>
        <v>High Value</v>
      </c>
      <c r="V412" t="str" cm="1">
        <f t="array" ref="V412">_xlfn.IFS(R412&gt;=100000,"Excellent",R412&gt;=50000,"Good",R412&gt;=20000,"Average",TRUE,"Poor")</f>
        <v>Excellent</v>
      </c>
      <c r="W412">
        <f t="shared" si="65"/>
        <v>3</v>
      </c>
      <c r="X412" t="str">
        <f t="shared" si="66"/>
        <v>July</v>
      </c>
      <c r="Y412">
        <f>HLOOKUP("Q"&amp;W412,Bonus_HLookup!$A$1:$E$2,2,FALSE)</f>
        <v>0.06</v>
      </c>
      <c r="Z412">
        <f t="shared" si="67"/>
        <v>131461.10999999999</v>
      </c>
      <c r="AA412" s="1">
        <f t="shared" si="68"/>
        <v>15483.0672339965</v>
      </c>
      <c r="AB412">
        <f t="shared" si="69"/>
        <v>136</v>
      </c>
    </row>
    <row r="413" spans="1:28" x14ac:dyDescent="0.3">
      <c r="A413">
        <v>1412</v>
      </c>
      <c r="B413" t="s">
        <v>243</v>
      </c>
      <c r="C413" t="s">
        <v>62</v>
      </c>
      <c r="D413" t="s">
        <v>33</v>
      </c>
      <c r="E413" t="s">
        <v>51</v>
      </c>
      <c r="F413" t="s">
        <v>25</v>
      </c>
      <c r="G413">
        <v>6</v>
      </c>
      <c r="H413">
        <v>1500</v>
      </c>
      <c r="I413">
        <v>2</v>
      </c>
      <c r="J413">
        <v>451605</v>
      </c>
      <c r="K413">
        <v>11</v>
      </c>
      <c r="L413">
        <v>5</v>
      </c>
      <c r="M413" t="str">
        <f>VLOOKUP(Sales_Data!F413,Product_Master!$A$2:$D$11,2)</f>
        <v>Keyboard</v>
      </c>
      <c r="N413" t="str">
        <f>VLOOKUP(F413,Product_Master!$A$2:$C$11,3)</f>
        <v>Accessories</v>
      </c>
      <c r="O413">
        <f>VLOOKUP(F413,Product_Master!$A$2:$D$11,4,FALSE)</f>
        <v>1200</v>
      </c>
      <c r="P413">
        <f t="shared" si="60"/>
        <v>9000</v>
      </c>
      <c r="Q413">
        <f t="shared" si="61"/>
        <v>180</v>
      </c>
      <c r="R413">
        <f t="shared" si="62"/>
        <v>8820</v>
      </c>
      <c r="S413">
        <f t="shared" si="63"/>
        <v>1620</v>
      </c>
      <c r="T413" t="str">
        <f>_xlfn.CONCAT(Sales_Data!C413,"-",Sales_Data!E413,"-",Sales_Data!A413)</f>
        <v>East-C1002-1412</v>
      </c>
      <c r="U413" t="str">
        <f t="shared" si="64"/>
        <v>Regular</v>
      </c>
      <c r="V413" t="str" cm="1">
        <f t="array" ref="V413">_xlfn.IFS(R413&gt;=100000,"Excellent",R413&gt;=50000,"Good",R413&gt;=20000,"Average",TRUE,"Poor")</f>
        <v>Poor</v>
      </c>
      <c r="W413">
        <f t="shared" si="65"/>
        <v>2</v>
      </c>
      <c r="X413" t="str">
        <f t="shared" si="66"/>
        <v>April</v>
      </c>
      <c r="Y413">
        <f>HLOOKUP("Q"&amp;W413,Bonus_HLookup!$A$1:$E$2,2,FALSE)</f>
        <v>0.04</v>
      </c>
      <c r="Z413">
        <f t="shared" si="67"/>
        <v>248382.75</v>
      </c>
      <c r="AA413" s="1">
        <f t="shared" si="68"/>
        <v>9818.9869717210822</v>
      </c>
      <c r="AB413">
        <f t="shared" si="69"/>
        <v>669</v>
      </c>
    </row>
    <row r="414" spans="1:28" x14ac:dyDescent="0.3">
      <c r="A414">
        <v>1413</v>
      </c>
      <c r="B414" t="s">
        <v>331</v>
      </c>
      <c r="C414" t="s">
        <v>30</v>
      </c>
      <c r="D414" t="s">
        <v>19</v>
      </c>
      <c r="E414" t="s">
        <v>66</v>
      </c>
      <c r="F414" t="s">
        <v>36</v>
      </c>
      <c r="G414">
        <v>6</v>
      </c>
      <c r="H414">
        <v>55000</v>
      </c>
      <c r="I414">
        <v>15</v>
      </c>
      <c r="J414">
        <v>307520</v>
      </c>
      <c r="K414">
        <v>11</v>
      </c>
      <c r="L414">
        <v>4</v>
      </c>
      <c r="M414" t="str">
        <f>VLOOKUP(Sales_Data!F414,Product_Master!$A$2:$D$11,2)</f>
        <v>Laptop</v>
      </c>
      <c r="N414" t="str">
        <f>VLOOKUP(F414,Product_Master!$A$2:$C$11,3)</f>
        <v>Electronics</v>
      </c>
      <c r="O414">
        <f>VLOOKUP(F414,Product_Master!$A$2:$D$11,4,FALSE)</f>
        <v>45000</v>
      </c>
      <c r="P414">
        <f t="shared" si="60"/>
        <v>330000</v>
      </c>
      <c r="Q414">
        <f t="shared" si="61"/>
        <v>49500</v>
      </c>
      <c r="R414">
        <f t="shared" si="62"/>
        <v>280500</v>
      </c>
      <c r="S414">
        <f t="shared" si="63"/>
        <v>10500</v>
      </c>
      <c r="T414" t="str">
        <f>_xlfn.CONCAT(Sales_Data!C414,"-",Sales_Data!E414,"-",Sales_Data!A414)</f>
        <v>South-C1010-1413</v>
      </c>
      <c r="U414" t="str">
        <f t="shared" si="64"/>
        <v>High Value</v>
      </c>
      <c r="V414" t="str" cm="1">
        <f t="array" ref="V414">_xlfn.IFS(R414&gt;=100000,"Excellent",R414&gt;=50000,"Good",R414&gt;=20000,"Average",TRUE,"Poor")</f>
        <v>Excellent</v>
      </c>
      <c r="W414">
        <f t="shared" si="65"/>
        <v>2</v>
      </c>
      <c r="X414" t="str">
        <f t="shared" si="66"/>
        <v>April</v>
      </c>
      <c r="Y414">
        <f>HLOOKUP("Q"&amp;W414,Bonus_HLookup!$A$1:$E$2,2,FALSE)</f>
        <v>0.04</v>
      </c>
      <c r="Z414">
        <f t="shared" si="67"/>
        <v>135308.79999999999</v>
      </c>
      <c r="AA414" s="1">
        <f t="shared" si="68"/>
        <v>7948.0151134739699</v>
      </c>
      <c r="AB414">
        <f t="shared" si="69"/>
        <v>59</v>
      </c>
    </row>
    <row r="415" spans="1:28" x14ac:dyDescent="0.3">
      <c r="A415">
        <v>1414</v>
      </c>
      <c r="B415" t="s">
        <v>332</v>
      </c>
      <c r="C415" t="s">
        <v>30</v>
      </c>
      <c r="D415" t="s">
        <v>46</v>
      </c>
      <c r="E415" t="s">
        <v>41</v>
      </c>
      <c r="F415" t="s">
        <v>74</v>
      </c>
      <c r="G415">
        <v>2</v>
      </c>
      <c r="H415">
        <v>35000</v>
      </c>
      <c r="I415">
        <v>8</v>
      </c>
      <c r="J415">
        <v>356998</v>
      </c>
      <c r="K415">
        <v>9</v>
      </c>
      <c r="L415">
        <v>2</v>
      </c>
      <c r="M415" t="str">
        <f>VLOOKUP(Sales_Data!F415,Product_Master!$A$2:$D$11,2)</f>
        <v>Tablet</v>
      </c>
      <c r="N415" t="str">
        <f>VLOOKUP(F415,Product_Master!$A$2:$C$11,3)</f>
        <v>Electronics</v>
      </c>
      <c r="O415">
        <f>VLOOKUP(F415,Product_Master!$A$2:$D$11,4,FALSE)</f>
        <v>29000</v>
      </c>
      <c r="P415">
        <f t="shared" si="60"/>
        <v>70000</v>
      </c>
      <c r="Q415">
        <f t="shared" si="61"/>
        <v>5600</v>
      </c>
      <c r="R415">
        <f t="shared" si="62"/>
        <v>64400</v>
      </c>
      <c r="S415">
        <f t="shared" si="63"/>
        <v>6400</v>
      </c>
      <c r="T415" t="str">
        <f>_xlfn.CONCAT(Sales_Data!C415,"-",Sales_Data!E415,"-",Sales_Data!A415)</f>
        <v>South-C1023-1414</v>
      </c>
      <c r="U415" t="str">
        <f t="shared" si="64"/>
        <v>High Value</v>
      </c>
      <c r="V415" t="str" cm="1">
        <f t="array" ref="V415">_xlfn.IFS(R415&gt;=100000,"Excellent",R415&gt;=50000,"Good",R415&gt;=20000,"Average",TRUE,"Poor")</f>
        <v>Good</v>
      </c>
      <c r="W415">
        <f t="shared" si="65"/>
        <v>1</v>
      </c>
      <c r="X415" t="str">
        <f t="shared" si="66"/>
        <v>March</v>
      </c>
      <c r="Y415">
        <f>HLOOKUP("Q"&amp;W415,Bonus_HLookup!$A$1:$E$2,2,FALSE)</f>
        <v>0.02</v>
      </c>
      <c r="Z415">
        <f t="shared" si="67"/>
        <v>64259.64</v>
      </c>
      <c r="AA415" s="1">
        <f t="shared" si="68"/>
        <v>16309.361624180237</v>
      </c>
      <c r="AB415">
        <f t="shared" si="69"/>
        <v>234</v>
      </c>
    </row>
    <row r="416" spans="1:28" x14ac:dyDescent="0.3">
      <c r="A416">
        <v>1415</v>
      </c>
      <c r="B416" t="s">
        <v>263</v>
      </c>
      <c r="C416" t="s">
        <v>30</v>
      </c>
      <c r="D416" t="s">
        <v>33</v>
      </c>
      <c r="E416" t="s">
        <v>47</v>
      </c>
      <c r="F416" t="s">
        <v>69</v>
      </c>
      <c r="G416">
        <v>4</v>
      </c>
      <c r="H416">
        <v>2000</v>
      </c>
      <c r="I416">
        <v>2</v>
      </c>
      <c r="J416">
        <v>403132</v>
      </c>
      <c r="K416">
        <v>12</v>
      </c>
      <c r="L416">
        <v>3</v>
      </c>
      <c r="M416" t="str">
        <f>VLOOKUP(Sales_Data!F416,Product_Master!$A$2:$D$11,2)</f>
        <v>Headset</v>
      </c>
      <c r="N416" t="str">
        <f>VLOOKUP(F416,Product_Master!$A$2:$C$11,3)</f>
        <v>Accessories</v>
      </c>
      <c r="O416">
        <f>VLOOKUP(F416,Product_Master!$A$2:$D$11,4,FALSE)</f>
        <v>1500</v>
      </c>
      <c r="P416">
        <f t="shared" si="60"/>
        <v>8000</v>
      </c>
      <c r="Q416">
        <f t="shared" si="61"/>
        <v>160</v>
      </c>
      <c r="R416">
        <f t="shared" si="62"/>
        <v>7840</v>
      </c>
      <c r="S416">
        <f t="shared" si="63"/>
        <v>1840</v>
      </c>
      <c r="T416" t="str">
        <f>_xlfn.CONCAT(Sales_Data!C416,"-",Sales_Data!E416,"-",Sales_Data!A416)</f>
        <v>South-C1030-1415</v>
      </c>
      <c r="U416" t="str">
        <f t="shared" si="64"/>
        <v>Regular</v>
      </c>
      <c r="V416" t="str" cm="1">
        <f t="array" ref="V416">_xlfn.IFS(R416&gt;=100000,"Excellent",R416&gt;=50000,"Good",R416&gt;=20000,"Average",TRUE,"Poor")</f>
        <v>Poor</v>
      </c>
      <c r="W416">
        <f t="shared" si="65"/>
        <v>2</v>
      </c>
      <c r="X416" t="str">
        <f t="shared" si="66"/>
        <v>May</v>
      </c>
      <c r="Y416">
        <f>HLOOKUP("Q"&amp;W416,Bonus_HLookup!$A$1:$E$2,2,FALSE)</f>
        <v>0.04</v>
      </c>
      <c r="Z416">
        <f t="shared" si="67"/>
        <v>145127.51999999999</v>
      </c>
      <c r="AA416" s="1">
        <f t="shared" si="68"/>
        <v>13389.751143474325</v>
      </c>
      <c r="AB416">
        <f t="shared" si="69"/>
        <v>692</v>
      </c>
    </row>
    <row r="417" spans="1:28" x14ac:dyDescent="0.3">
      <c r="A417">
        <v>1416</v>
      </c>
      <c r="B417" t="s">
        <v>229</v>
      </c>
      <c r="C417" t="s">
        <v>62</v>
      </c>
      <c r="D417" t="s">
        <v>91</v>
      </c>
      <c r="E417" t="s">
        <v>85</v>
      </c>
      <c r="F417" t="s">
        <v>52</v>
      </c>
      <c r="G417">
        <v>7</v>
      </c>
      <c r="H417">
        <v>500</v>
      </c>
      <c r="I417">
        <v>2</v>
      </c>
      <c r="J417">
        <v>315305</v>
      </c>
      <c r="K417">
        <v>12</v>
      </c>
      <c r="L417">
        <v>1</v>
      </c>
      <c r="M417" t="str">
        <f>VLOOKUP(Sales_Data!F417,Product_Master!$A$2:$D$11,2)</f>
        <v>Mouse</v>
      </c>
      <c r="N417" t="str">
        <f>VLOOKUP(F417,Product_Master!$A$2:$C$11,3)</f>
        <v>Accessories</v>
      </c>
      <c r="O417">
        <f>VLOOKUP(F417,Product_Master!$A$2:$D$11,4,FALSE)</f>
        <v>350</v>
      </c>
      <c r="P417">
        <f t="shared" si="60"/>
        <v>3500</v>
      </c>
      <c r="Q417">
        <f t="shared" si="61"/>
        <v>70</v>
      </c>
      <c r="R417">
        <f t="shared" si="62"/>
        <v>3430</v>
      </c>
      <c r="S417">
        <f t="shared" si="63"/>
        <v>980</v>
      </c>
      <c r="T417" t="str">
        <f>_xlfn.CONCAT(Sales_Data!C417,"-",Sales_Data!E417,"-",Sales_Data!A417)</f>
        <v>East-C1005-1416</v>
      </c>
      <c r="U417" t="str">
        <f t="shared" si="64"/>
        <v>Regular</v>
      </c>
      <c r="V417" t="str" cm="1">
        <f t="array" ref="V417">_xlfn.IFS(R417&gt;=100000,"Excellent",R417&gt;=50000,"Good",R417&gt;=20000,"Average",TRUE,"Poor")</f>
        <v>Poor</v>
      </c>
      <c r="W417">
        <f t="shared" si="65"/>
        <v>1</v>
      </c>
      <c r="X417" t="str">
        <f t="shared" si="66"/>
        <v>January</v>
      </c>
      <c r="Y417">
        <f>HLOOKUP("Q"&amp;W417,Bonus_HLookup!$A$1:$E$2,2,FALSE)</f>
        <v>0.02</v>
      </c>
      <c r="Z417">
        <f t="shared" si="67"/>
        <v>37836.6</v>
      </c>
      <c r="AA417" s="1">
        <f t="shared" si="68"/>
        <v>28014.467314224526</v>
      </c>
      <c r="AB417">
        <f t="shared" si="69"/>
        <v>867</v>
      </c>
    </row>
    <row r="418" spans="1:28" x14ac:dyDescent="0.3">
      <c r="A418">
        <v>1417</v>
      </c>
      <c r="B418" t="s">
        <v>333</v>
      </c>
      <c r="C418" t="s">
        <v>62</v>
      </c>
      <c r="D418" t="s">
        <v>91</v>
      </c>
      <c r="E418" t="s">
        <v>231</v>
      </c>
      <c r="F418" t="s">
        <v>21</v>
      </c>
      <c r="G418">
        <v>1</v>
      </c>
      <c r="H418">
        <v>12000</v>
      </c>
      <c r="I418">
        <v>0</v>
      </c>
      <c r="J418">
        <v>155311</v>
      </c>
      <c r="K418">
        <v>8</v>
      </c>
      <c r="L418">
        <v>4</v>
      </c>
      <c r="M418" t="str">
        <f>VLOOKUP(Sales_Data!F418,Product_Master!$A$2:$D$11,2)</f>
        <v>Monitor</v>
      </c>
      <c r="N418" t="str">
        <f>VLOOKUP(F418,Product_Master!$A$2:$C$11,3)</f>
        <v>Electronics</v>
      </c>
      <c r="O418">
        <f>VLOOKUP(F418,Product_Master!$A$2:$D$11,4,FALSE)</f>
        <v>9000</v>
      </c>
      <c r="P418">
        <f t="shared" si="60"/>
        <v>12000</v>
      </c>
      <c r="Q418">
        <f t="shared" si="61"/>
        <v>0</v>
      </c>
      <c r="R418">
        <f t="shared" si="62"/>
        <v>12000</v>
      </c>
      <c r="S418">
        <f t="shared" si="63"/>
        <v>3000</v>
      </c>
      <c r="T418" t="str">
        <f>_xlfn.CONCAT(Sales_Data!C418,"-",Sales_Data!E418,"-",Sales_Data!A418)</f>
        <v>East-C1006-1417</v>
      </c>
      <c r="U418" t="str">
        <f t="shared" si="64"/>
        <v>Regular</v>
      </c>
      <c r="V418" t="str" cm="1">
        <f t="array" ref="V418">_xlfn.IFS(R418&gt;=100000,"Excellent",R418&gt;=50000,"Good",R418&gt;=20000,"Average",TRUE,"Poor")</f>
        <v>Poor</v>
      </c>
      <c r="W418">
        <f t="shared" si="65"/>
        <v>2</v>
      </c>
      <c r="X418" t="str">
        <f t="shared" si="66"/>
        <v>June</v>
      </c>
      <c r="Y418">
        <f>HLOOKUP("Q"&amp;W418,Bonus_HLookup!$A$1:$E$2,2,FALSE)</f>
        <v>0.04</v>
      </c>
      <c r="Z418">
        <f t="shared" si="67"/>
        <v>49699.519999999997</v>
      </c>
      <c r="AA418" s="1">
        <f t="shared" si="68"/>
        <v>3791.5953817810919</v>
      </c>
      <c r="AB418">
        <f t="shared" si="69"/>
        <v>588</v>
      </c>
    </row>
    <row r="419" spans="1:28" x14ac:dyDescent="0.3">
      <c r="A419">
        <v>1418</v>
      </c>
      <c r="B419" t="s">
        <v>334</v>
      </c>
      <c r="C419" t="s">
        <v>30</v>
      </c>
      <c r="D419" t="s">
        <v>91</v>
      </c>
      <c r="E419" t="s">
        <v>169</v>
      </c>
      <c r="F419" t="s">
        <v>21</v>
      </c>
      <c r="G419">
        <v>5</v>
      </c>
      <c r="H419">
        <v>12000</v>
      </c>
      <c r="I419">
        <v>8</v>
      </c>
      <c r="J419">
        <v>53572</v>
      </c>
      <c r="K419">
        <v>10</v>
      </c>
      <c r="L419">
        <v>1</v>
      </c>
      <c r="M419" t="str">
        <f>VLOOKUP(Sales_Data!F419,Product_Master!$A$2:$D$11,2)</f>
        <v>Monitor</v>
      </c>
      <c r="N419" t="str">
        <f>VLOOKUP(F419,Product_Master!$A$2:$C$11,3)</f>
        <v>Electronics</v>
      </c>
      <c r="O419">
        <f>VLOOKUP(F419,Product_Master!$A$2:$D$11,4,FALSE)</f>
        <v>9000</v>
      </c>
      <c r="P419">
        <f t="shared" si="60"/>
        <v>60000</v>
      </c>
      <c r="Q419">
        <f t="shared" si="61"/>
        <v>4800</v>
      </c>
      <c r="R419">
        <f t="shared" si="62"/>
        <v>55200</v>
      </c>
      <c r="S419">
        <f t="shared" si="63"/>
        <v>10200</v>
      </c>
      <c r="T419" t="str">
        <f>_xlfn.CONCAT(Sales_Data!C419,"-",Sales_Data!E419,"-",Sales_Data!A419)</f>
        <v>South-C1038-1418</v>
      </c>
      <c r="U419" t="str">
        <f t="shared" si="64"/>
        <v>High Value</v>
      </c>
      <c r="V419" t="str" cm="1">
        <f t="array" ref="V419">_xlfn.IFS(R419&gt;=100000,"Excellent",R419&gt;=50000,"Good",R419&gt;=20000,"Average",TRUE,"Poor")</f>
        <v>Good</v>
      </c>
      <c r="W419">
        <f t="shared" si="65"/>
        <v>3</v>
      </c>
      <c r="X419" t="str">
        <f t="shared" si="66"/>
        <v>July</v>
      </c>
      <c r="Y419">
        <f>HLOOKUP("Q"&amp;W419,Bonus_HLookup!$A$1:$E$2,2,FALSE)</f>
        <v>0.06</v>
      </c>
      <c r="Z419">
        <f t="shared" si="67"/>
        <v>5357.2</v>
      </c>
      <c r="AA419" s="1">
        <f t="shared" si="68"/>
        <v>4709.8299106860741</v>
      </c>
      <c r="AB419">
        <f t="shared" si="69"/>
        <v>268</v>
      </c>
    </row>
    <row r="420" spans="1:28" x14ac:dyDescent="0.3">
      <c r="A420">
        <v>1419</v>
      </c>
      <c r="B420" t="s">
        <v>264</v>
      </c>
      <c r="C420" t="s">
        <v>30</v>
      </c>
      <c r="D420" t="s">
        <v>91</v>
      </c>
      <c r="E420" t="s">
        <v>131</v>
      </c>
      <c r="F420" t="s">
        <v>36</v>
      </c>
      <c r="G420">
        <v>8</v>
      </c>
      <c r="H420">
        <v>55000</v>
      </c>
      <c r="I420">
        <v>15</v>
      </c>
      <c r="J420">
        <v>157220</v>
      </c>
      <c r="K420">
        <v>8</v>
      </c>
      <c r="L420">
        <v>3</v>
      </c>
      <c r="M420" t="str">
        <f>VLOOKUP(Sales_Data!F420,Product_Master!$A$2:$D$11,2)</f>
        <v>Laptop</v>
      </c>
      <c r="N420" t="str">
        <f>VLOOKUP(F420,Product_Master!$A$2:$C$11,3)</f>
        <v>Electronics</v>
      </c>
      <c r="O420">
        <f>VLOOKUP(F420,Product_Master!$A$2:$D$11,4,FALSE)</f>
        <v>45000</v>
      </c>
      <c r="P420">
        <f t="shared" si="60"/>
        <v>440000</v>
      </c>
      <c r="Q420">
        <f t="shared" si="61"/>
        <v>66000</v>
      </c>
      <c r="R420">
        <f t="shared" si="62"/>
        <v>374000</v>
      </c>
      <c r="S420">
        <f t="shared" si="63"/>
        <v>14000</v>
      </c>
      <c r="T420" t="str">
        <f>_xlfn.CONCAT(Sales_Data!C420,"-",Sales_Data!E420,"-",Sales_Data!A420)</f>
        <v>South-C1047-1419</v>
      </c>
      <c r="U420" t="str">
        <f t="shared" si="64"/>
        <v>High Value</v>
      </c>
      <c r="V420" t="str" cm="1">
        <f t="array" ref="V420">_xlfn.IFS(R420&gt;=100000,"Excellent",R420&gt;=50000,"Good",R420&gt;=20000,"Average",TRUE,"Poor")</f>
        <v>Excellent</v>
      </c>
      <c r="W420">
        <f t="shared" si="65"/>
        <v>3</v>
      </c>
      <c r="X420" t="str">
        <f t="shared" si="66"/>
        <v>July</v>
      </c>
      <c r="Y420">
        <f>HLOOKUP("Q"&amp;W420,Bonus_HLookup!$A$1:$E$2,2,FALSE)</f>
        <v>0.06</v>
      </c>
      <c r="Z420">
        <f t="shared" si="67"/>
        <v>37732.800000000003</v>
      </c>
      <c r="AA420" s="1">
        <f t="shared" si="68"/>
        <v>4926.7033778461582</v>
      </c>
      <c r="AB420">
        <f t="shared" si="69"/>
        <v>27</v>
      </c>
    </row>
    <row r="421" spans="1:28" x14ac:dyDescent="0.3">
      <c r="A421">
        <v>1420</v>
      </c>
      <c r="B421" t="s">
        <v>335</v>
      </c>
      <c r="C421" t="s">
        <v>13</v>
      </c>
      <c r="D421" t="s">
        <v>23</v>
      </c>
      <c r="E421" t="s">
        <v>128</v>
      </c>
      <c r="F421" t="s">
        <v>52</v>
      </c>
      <c r="G421">
        <v>8</v>
      </c>
      <c r="H421">
        <v>500</v>
      </c>
      <c r="I421">
        <v>8</v>
      </c>
      <c r="J421">
        <v>411242</v>
      </c>
      <c r="K421">
        <v>9</v>
      </c>
      <c r="L421">
        <v>5</v>
      </c>
      <c r="M421" t="str">
        <f>VLOOKUP(Sales_Data!F421,Product_Master!$A$2:$D$11,2)</f>
        <v>Mouse</v>
      </c>
      <c r="N421" t="str">
        <f>VLOOKUP(F421,Product_Master!$A$2:$C$11,3)</f>
        <v>Accessories</v>
      </c>
      <c r="O421">
        <f>VLOOKUP(F421,Product_Master!$A$2:$D$11,4,FALSE)</f>
        <v>350</v>
      </c>
      <c r="P421">
        <f t="shared" si="60"/>
        <v>4000</v>
      </c>
      <c r="Q421">
        <f t="shared" si="61"/>
        <v>320</v>
      </c>
      <c r="R421">
        <f t="shared" si="62"/>
        <v>3680</v>
      </c>
      <c r="S421">
        <f t="shared" si="63"/>
        <v>880</v>
      </c>
      <c r="T421" t="str">
        <f>_xlfn.CONCAT(Sales_Data!C421,"-",Sales_Data!E421,"-",Sales_Data!A421)</f>
        <v>West-C1013-1420</v>
      </c>
      <c r="U421" t="str">
        <f t="shared" si="64"/>
        <v>Regular</v>
      </c>
      <c r="V421" t="str" cm="1">
        <f t="array" ref="V421">_xlfn.IFS(R421&gt;=100000,"Excellent",R421&gt;=50000,"Good",R421&gt;=20000,"Average",TRUE,"Poor")</f>
        <v>Poor</v>
      </c>
      <c r="W421">
        <f t="shared" si="65"/>
        <v>1</v>
      </c>
      <c r="X421" t="str">
        <f t="shared" si="66"/>
        <v>January</v>
      </c>
      <c r="Y421">
        <f>HLOOKUP("Q"&amp;W421,Bonus_HLookup!$A$1:$E$2,2,FALSE)</f>
        <v>0.02</v>
      </c>
      <c r="Z421">
        <f t="shared" si="67"/>
        <v>185058.9</v>
      </c>
      <c r="AA421" s="1">
        <f t="shared" si="68"/>
        <v>8536.7075199962746</v>
      </c>
      <c r="AB421">
        <f t="shared" si="69"/>
        <v>857</v>
      </c>
    </row>
    <row r="422" spans="1:28" x14ac:dyDescent="0.3">
      <c r="A422">
        <v>1421</v>
      </c>
      <c r="B422" t="s">
        <v>233</v>
      </c>
      <c r="C422" t="s">
        <v>13</v>
      </c>
      <c r="D422" t="s">
        <v>91</v>
      </c>
      <c r="E422" t="s">
        <v>20</v>
      </c>
      <c r="F422" t="s">
        <v>36</v>
      </c>
      <c r="G422">
        <v>4</v>
      </c>
      <c r="H422">
        <v>55000</v>
      </c>
      <c r="I422">
        <v>2</v>
      </c>
      <c r="J422">
        <v>258535</v>
      </c>
      <c r="K422">
        <v>7</v>
      </c>
      <c r="L422">
        <v>2</v>
      </c>
      <c r="M422" t="str">
        <f>VLOOKUP(Sales_Data!F422,Product_Master!$A$2:$D$11,2)</f>
        <v>Laptop</v>
      </c>
      <c r="N422" t="str">
        <f>VLOOKUP(F422,Product_Master!$A$2:$C$11,3)</f>
        <v>Electronics</v>
      </c>
      <c r="O422">
        <f>VLOOKUP(F422,Product_Master!$A$2:$D$11,4,FALSE)</f>
        <v>45000</v>
      </c>
      <c r="P422">
        <f t="shared" si="60"/>
        <v>220000</v>
      </c>
      <c r="Q422">
        <f t="shared" si="61"/>
        <v>4400</v>
      </c>
      <c r="R422">
        <f t="shared" si="62"/>
        <v>215600</v>
      </c>
      <c r="S422">
        <f t="shared" si="63"/>
        <v>35600</v>
      </c>
      <c r="T422" t="str">
        <f>_xlfn.CONCAT(Sales_Data!C422,"-",Sales_Data!E422,"-",Sales_Data!A422)</f>
        <v>West-C1003-1421</v>
      </c>
      <c r="U422" t="str">
        <f t="shared" si="64"/>
        <v>High Value</v>
      </c>
      <c r="V422" t="str" cm="1">
        <f t="array" ref="V422">_xlfn.IFS(R422&gt;=100000,"Excellent",R422&gt;=50000,"Good",R422&gt;=20000,"Average",TRUE,"Poor")</f>
        <v>Excellent</v>
      </c>
      <c r="W422">
        <f t="shared" si="65"/>
        <v>4</v>
      </c>
      <c r="X422" t="str">
        <f t="shared" si="66"/>
        <v>October</v>
      </c>
      <c r="Y422">
        <f>HLOOKUP("Q"&amp;W422,Bonus_HLookup!$A$1:$E$2,2,FALSE)</f>
        <v>0.08</v>
      </c>
      <c r="Z422">
        <f t="shared" si="67"/>
        <v>36194.9</v>
      </c>
      <c r="AA422" s="1">
        <f t="shared" si="68"/>
        <v>11575.278738431702</v>
      </c>
      <c r="AB422">
        <f t="shared" si="69"/>
        <v>98</v>
      </c>
    </row>
    <row r="423" spans="1:28" x14ac:dyDescent="0.3">
      <c r="A423">
        <v>1422</v>
      </c>
      <c r="B423" t="s">
        <v>264</v>
      </c>
      <c r="C423" t="s">
        <v>30</v>
      </c>
      <c r="D423" t="s">
        <v>59</v>
      </c>
      <c r="E423" t="s">
        <v>172</v>
      </c>
      <c r="F423" t="s">
        <v>25</v>
      </c>
      <c r="G423">
        <v>7</v>
      </c>
      <c r="H423">
        <v>1500</v>
      </c>
      <c r="I423">
        <v>5</v>
      </c>
      <c r="J423">
        <v>325129</v>
      </c>
      <c r="K423">
        <v>7</v>
      </c>
      <c r="L423">
        <v>1</v>
      </c>
      <c r="M423" t="str">
        <f>VLOOKUP(Sales_Data!F423,Product_Master!$A$2:$D$11,2)</f>
        <v>Keyboard</v>
      </c>
      <c r="N423" t="str">
        <f>VLOOKUP(F423,Product_Master!$A$2:$C$11,3)</f>
        <v>Accessories</v>
      </c>
      <c r="O423">
        <f>VLOOKUP(F423,Product_Master!$A$2:$D$11,4,FALSE)</f>
        <v>1200</v>
      </c>
      <c r="P423">
        <f t="shared" si="60"/>
        <v>10500</v>
      </c>
      <c r="Q423">
        <f t="shared" si="61"/>
        <v>525</v>
      </c>
      <c r="R423">
        <f t="shared" si="62"/>
        <v>9975</v>
      </c>
      <c r="S423">
        <f t="shared" si="63"/>
        <v>1575</v>
      </c>
      <c r="T423" t="str">
        <f>_xlfn.CONCAT(Sales_Data!C423,"-",Sales_Data!E423,"-",Sales_Data!A423)</f>
        <v>South-C1033-1422</v>
      </c>
      <c r="U423" t="str">
        <f t="shared" si="64"/>
        <v>Regular</v>
      </c>
      <c r="V423" t="str" cm="1">
        <f t="array" ref="V423">_xlfn.IFS(R423&gt;=100000,"Excellent",R423&gt;=50000,"Good",R423&gt;=20000,"Average",TRUE,"Poor")</f>
        <v>Poor</v>
      </c>
      <c r="W423">
        <f t="shared" si="65"/>
        <v>3</v>
      </c>
      <c r="X423" t="str">
        <f t="shared" si="66"/>
        <v>July</v>
      </c>
      <c r="Y423">
        <f>HLOOKUP("Q"&amp;W423,Bonus_HLookup!$A$1:$E$2,2,FALSE)</f>
        <v>0.06</v>
      </c>
      <c r="Z423">
        <f t="shared" si="67"/>
        <v>22759.03</v>
      </c>
      <c r="AA423" s="1">
        <f t="shared" si="68"/>
        <v>28132.354432141528</v>
      </c>
      <c r="AB423">
        <f t="shared" si="69"/>
        <v>643</v>
      </c>
    </row>
    <row r="424" spans="1:28" x14ac:dyDescent="0.3">
      <c r="A424">
        <v>1423</v>
      </c>
      <c r="B424" t="s">
        <v>152</v>
      </c>
      <c r="C424" t="s">
        <v>30</v>
      </c>
      <c r="D424" t="s">
        <v>33</v>
      </c>
      <c r="E424" t="s">
        <v>102</v>
      </c>
      <c r="F424" t="s">
        <v>28</v>
      </c>
      <c r="G424">
        <v>1</v>
      </c>
      <c r="H424">
        <v>950</v>
      </c>
      <c r="I424">
        <v>5</v>
      </c>
      <c r="J424">
        <v>442005</v>
      </c>
      <c r="K424">
        <v>8</v>
      </c>
      <c r="L424">
        <v>4</v>
      </c>
      <c r="M424" t="str">
        <f>VLOOKUP(Sales_Data!F424,Product_Master!$A$2:$D$11,2)</f>
        <v>Webcam</v>
      </c>
      <c r="N424" t="str">
        <f>VLOOKUP(F424,Product_Master!$A$2:$C$11,3)</f>
        <v>Accessories</v>
      </c>
      <c r="O424">
        <f>VLOOKUP(F424,Product_Master!$A$2:$D$11,4,FALSE)</f>
        <v>700</v>
      </c>
      <c r="P424">
        <f t="shared" si="60"/>
        <v>950</v>
      </c>
      <c r="Q424">
        <f t="shared" si="61"/>
        <v>47.5</v>
      </c>
      <c r="R424">
        <f t="shared" si="62"/>
        <v>902.5</v>
      </c>
      <c r="S424">
        <f t="shared" si="63"/>
        <v>202.5</v>
      </c>
      <c r="T424" t="str">
        <f>_xlfn.CONCAT(Sales_Data!C424,"-",Sales_Data!E424,"-",Sales_Data!A424)</f>
        <v>South-C1049-1423</v>
      </c>
      <c r="U424" t="str">
        <f t="shared" si="64"/>
        <v>Regular</v>
      </c>
      <c r="V424" t="str" cm="1">
        <f t="array" ref="V424">_xlfn.IFS(R424&gt;=100000,"Excellent",R424&gt;=50000,"Good",R424&gt;=20000,"Average",TRUE,"Poor")</f>
        <v>Poor</v>
      </c>
      <c r="W424">
        <f t="shared" si="65"/>
        <v>4</v>
      </c>
      <c r="X424" t="str">
        <f t="shared" si="66"/>
        <v>October</v>
      </c>
      <c r="Y424">
        <f>HLOOKUP("Q"&amp;W424,Bonus_HLookup!$A$1:$E$2,2,FALSE)</f>
        <v>0.08</v>
      </c>
      <c r="Z424">
        <f t="shared" si="67"/>
        <v>141441.60000000001</v>
      </c>
      <c r="AA424" s="1">
        <f t="shared" si="68"/>
        <v>10790.633739555804</v>
      </c>
      <c r="AB424">
        <f t="shared" si="69"/>
        <v>976</v>
      </c>
    </row>
    <row r="425" spans="1:28" x14ac:dyDescent="0.3">
      <c r="A425">
        <v>1424</v>
      </c>
      <c r="B425" t="s">
        <v>162</v>
      </c>
      <c r="C425" t="s">
        <v>18</v>
      </c>
      <c r="D425" t="s">
        <v>91</v>
      </c>
      <c r="E425" t="s">
        <v>169</v>
      </c>
      <c r="F425" t="s">
        <v>21</v>
      </c>
      <c r="G425">
        <v>5</v>
      </c>
      <c r="H425">
        <v>12000</v>
      </c>
      <c r="I425">
        <v>15</v>
      </c>
      <c r="J425">
        <v>173422</v>
      </c>
      <c r="K425">
        <v>11</v>
      </c>
      <c r="L425">
        <v>3</v>
      </c>
      <c r="M425" t="str">
        <f>VLOOKUP(Sales_Data!F425,Product_Master!$A$2:$D$11,2)</f>
        <v>Monitor</v>
      </c>
      <c r="N425" t="str">
        <f>VLOOKUP(F425,Product_Master!$A$2:$C$11,3)</f>
        <v>Electronics</v>
      </c>
      <c r="O425">
        <f>VLOOKUP(F425,Product_Master!$A$2:$D$11,4,FALSE)</f>
        <v>9000</v>
      </c>
      <c r="P425">
        <f t="shared" si="60"/>
        <v>60000</v>
      </c>
      <c r="Q425">
        <f t="shared" si="61"/>
        <v>9000</v>
      </c>
      <c r="R425">
        <f t="shared" si="62"/>
        <v>51000</v>
      </c>
      <c r="S425">
        <f t="shared" si="63"/>
        <v>6000</v>
      </c>
      <c r="T425" t="str">
        <f>_xlfn.CONCAT(Sales_Data!C425,"-",Sales_Data!E425,"-",Sales_Data!A425)</f>
        <v>North-C1038-1424</v>
      </c>
      <c r="U425" t="str">
        <f t="shared" si="64"/>
        <v>High Value</v>
      </c>
      <c r="V425" t="str" cm="1">
        <f t="array" ref="V425">_xlfn.IFS(R425&gt;=100000,"Excellent",R425&gt;=50000,"Good",R425&gt;=20000,"Average",TRUE,"Poor")</f>
        <v>Good</v>
      </c>
      <c r="W425">
        <f t="shared" si="65"/>
        <v>2</v>
      </c>
      <c r="X425" t="str">
        <f t="shared" si="66"/>
        <v>June</v>
      </c>
      <c r="Y425">
        <f>HLOOKUP("Q"&amp;W425,Bonus_HLookup!$A$1:$E$2,2,FALSE)</f>
        <v>0.04</v>
      </c>
      <c r="Z425">
        <f t="shared" si="67"/>
        <v>57229.26</v>
      </c>
      <c r="AA425" s="1">
        <f t="shared" si="68"/>
        <v>5677.6137998647282</v>
      </c>
      <c r="AB425">
        <f t="shared" si="69"/>
        <v>293</v>
      </c>
    </row>
    <row r="426" spans="1:28" x14ac:dyDescent="0.3">
      <c r="A426">
        <v>1425</v>
      </c>
      <c r="B426" t="s">
        <v>184</v>
      </c>
      <c r="C426" t="s">
        <v>18</v>
      </c>
      <c r="D426" t="s">
        <v>19</v>
      </c>
      <c r="E426" t="s">
        <v>106</v>
      </c>
      <c r="F426" t="s">
        <v>69</v>
      </c>
      <c r="G426">
        <v>7</v>
      </c>
      <c r="H426">
        <v>2000</v>
      </c>
      <c r="I426">
        <v>15</v>
      </c>
      <c r="J426">
        <v>136853</v>
      </c>
      <c r="K426">
        <v>9</v>
      </c>
      <c r="L426">
        <v>4</v>
      </c>
      <c r="M426" t="str">
        <f>VLOOKUP(Sales_Data!F426,Product_Master!$A$2:$D$11,2)</f>
        <v>Headset</v>
      </c>
      <c r="N426" t="str">
        <f>VLOOKUP(F426,Product_Master!$A$2:$C$11,3)</f>
        <v>Accessories</v>
      </c>
      <c r="O426">
        <f>VLOOKUP(F426,Product_Master!$A$2:$D$11,4,FALSE)</f>
        <v>1500</v>
      </c>
      <c r="P426">
        <f t="shared" si="60"/>
        <v>14000</v>
      </c>
      <c r="Q426">
        <f t="shared" si="61"/>
        <v>2100</v>
      </c>
      <c r="R426">
        <f t="shared" si="62"/>
        <v>11900</v>
      </c>
      <c r="S426">
        <f t="shared" si="63"/>
        <v>1400</v>
      </c>
      <c r="T426" t="str">
        <f>_xlfn.CONCAT(Sales_Data!C426,"-",Sales_Data!E426,"-",Sales_Data!A426)</f>
        <v>North-C1004-1425</v>
      </c>
      <c r="U426" t="str">
        <f t="shared" si="64"/>
        <v>Regular</v>
      </c>
      <c r="V426" t="str" cm="1">
        <f t="array" ref="V426">_xlfn.IFS(R426&gt;=100000,"Excellent",R426&gt;=50000,"Good",R426&gt;=20000,"Average",TRUE,"Poor")</f>
        <v>Poor</v>
      </c>
      <c r="W426">
        <f t="shared" si="65"/>
        <v>1</v>
      </c>
      <c r="X426" t="str">
        <f t="shared" si="66"/>
        <v>February</v>
      </c>
      <c r="Y426">
        <f>HLOOKUP("Q"&amp;W426,Bonus_HLookup!$A$1:$E$2,2,FALSE)</f>
        <v>0.02</v>
      </c>
      <c r="Z426">
        <f t="shared" si="67"/>
        <v>49267.08</v>
      </c>
      <c r="AA426" s="1">
        <f t="shared" si="68"/>
        <v>3405.5927040000183</v>
      </c>
      <c r="AB426">
        <f t="shared" si="69"/>
        <v>592</v>
      </c>
    </row>
    <row r="427" spans="1:28" x14ac:dyDescent="0.3">
      <c r="A427">
        <v>1426</v>
      </c>
      <c r="B427" t="s">
        <v>336</v>
      </c>
      <c r="C427" t="s">
        <v>30</v>
      </c>
      <c r="D427" t="s">
        <v>91</v>
      </c>
      <c r="E427" t="s">
        <v>133</v>
      </c>
      <c r="F427" t="s">
        <v>39</v>
      </c>
      <c r="G427">
        <v>2</v>
      </c>
      <c r="H427">
        <v>7000</v>
      </c>
      <c r="I427">
        <v>0</v>
      </c>
      <c r="J427">
        <v>493195</v>
      </c>
      <c r="K427">
        <v>8</v>
      </c>
      <c r="L427">
        <v>5</v>
      </c>
      <c r="M427" t="str">
        <f>VLOOKUP(Sales_Data!F427,Product_Master!$A$2:$D$11,2)</f>
        <v>Router</v>
      </c>
      <c r="N427" t="str">
        <f>VLOOKUP(F427,Product_Master!$A$2:$C$11,3)</f>
        <v>Electronics</v>
      </c>
      <c r="O427">
        <f>VLOOKUP(F427,Product_Master!$A$2:$D$11,4,FALSE)</f>
        <v>5000</v>
      </c>
      <c r="P427">
        <f t="shared" si="60"/>
        <v>14000</v>
      </c>
      <c r="Q427">
        <f t="shared" si="61"/>
        <v>0</v>
      </c>
      <c r="R427">
        <f t="shared" si="62"/>
        <v>14000</v>
      </c>
      <c r="S427">
        <f t="shared" si="63"/>
        <v>4000</v>
      </c>
      <c r="T427" t="str">
        <f>_xlfn.CONCAT(Sales_Data!C427,"-",Sales_Data!E427,"-",Sales_Data!A427)</f>
        <v>South-C1021-1426</v>
      </c>
      <c r="U427" t="str">
        <f t="shared" si="64"/>
        <v>Regular</v>
      </c>
      <c r="V427" t="str" cm="1">
        <f t="array" ref="V427">_xlfn.IFS(R427&gt;=100000,"Excellent",R427&gt;=50000,"Good",R427&gt;=20000,"Average",TRUE,"Poor")</f>
        <v>Poor</v>
      </c>
      <c r="W427">
        <f t="shared" si="65"/>
        <v>3</v>
      </c>
      <c r="X427" t="str">
        <f t="shared" si="66"/>
        <v>September</v>
      </c>
      <c r="Y427">
        <f>HLOOKUP("Q"&amp;W427,Bonus_HLookup!$A$1:$E$2,2,FALSE)</f>
        <v>0.06</v>
      </c>
      <c r="Z427">
        <f t="shared" si="67"/>
        <v>197278</v>
      </c>
      <c r="AA427" s="1">
        <f t="shared" si="68"/>
        <v>10000.216281074185</v>
      </c>
      <c r="AB427">
        <f t="shared" si="69"/>
        <v>539</v>
      </c>
    </row>
    <row r="428" spans="1:28" x14ac:dyDescent="0.3">
      <c r="A428">
        <v>1427</v>
      </c>
      <c r="B428" t="s">
        <v>337</v>
      </c>
      <c r="C428" t="s">
        <v>18</v>
      </c>
      <c r="D428" t="s">
        <v>46</v>
      </c>
      <c r="E428" t="s">
        <v>160</v>
      </c>
      <c r="F428" t="s">
        <v>69</v>
      </c>
      <c r="G428">
        <v>5</v>
      </c>
      <c r="H428">
        <v>2000</v>
      </c>
      <c r="I428">
        <v>8</v>
      </c>
      <c r="J428">
        <v>362349</v>
      </c>
      <c r="K428">
        <v>8</v>
      </c>
      <c r="L428">
        <v>5</v>
      </c>
      <c r="M428" t="str">
        <f>VLOOKUP(Sales_Data!F428,Product_Master!$A$2:$D$11,2)</f>
        <v>Headset</v>
      </c>
      <c r="N428" t="str">
        <f>VLOOKUP(F428,Product_Master!$A$2:$C$11,3)</f>
        <v>Accessories</v>
      </c>
      <c r="O428">
        <f>VLOOKUP(F428,Product_Master!$A$2:$D$11,4,FALSE)</f>
        <v>1500</v>
      </c>
      <c r="P428">
        <f t="shared" si="60"/>
        <v>10000</v>
      </c>
      <c r="Q428">
        <f t="shared" si="61"/>
        <v>800</v>
      </c>
      <c r="R428">
        <f t="shared" si="62"/>
        <v>9200</v>
      </c>
      <c r="S428">
        <f t="shared" si="63"/>
        <v>1700</v>
      </c>
      <c r="T428" t="str">
        <f>_xlfn.CONCAT(Sales_Data!C428,"-",Sales_Data!E428,"-",Sales_Data!A428)</f>
        <v>North-C1040-1427</v>
      </c>
      <c r="U428" t="str">
        <f t="shared" si="64"/>
        <v>Regular</v>
      </c>
      <c r="V428" t="str" cm="1">
        <f t="array" ref="V428">_xlfn.IFS(R428&gt;=100000,"Excellent",R428&gt;=50000,"Good",R428&gt;=20000,"Average",TRUE,"Poor")</f>
        <v>Poor</v>
      </c>
      <c r="W428">
        <f t="shared" si="65"/>
        <v>1</v>
      </c>
      <c r="X428" t="str">
        <f t="shared" si="66"/>
        <v>January</v>
      </c>
      <c r="Y428">
        <f>HLOOKUP("Q"&amp;W428,Bonus_HLookup!$A$1:$E$2,2,FALSE)</f>
        <v>0.02</v>
      </c>
      <c r="Z428">
        <f t="shared" si="67"/>
        <v>144939.6</v>
      </c>
      <c r="AA428" s="1">
        <f t="shared" si="68"/>
        <v>7347.1311940124097</v>
      </c>
      <c r="AB428">
        <f t="shared" si="69"/>
        <v>657</v>
      </c>
    </row>
    <row r="429" spans="1:28" x14ac:dyDescent="0.3">
      <c r="A429">
        <v>1428</v>
      </c>
      <c r="B429" t="s">
        <v>79</v>
      </c>
      <c r="C429" t="s">
        <v>18</v>
      </c>
      <c r="D429" t="s">
        <v>50</v>
      </c>
      <c r="E429" t="s">
        <v>24</v>
      </c>
      <c r="F429" t="s">
        <v>39</v>
      </c>
      <c r="G429">
        <v>5</v>
      </c>
      <c r="H429">
        <v>7000</v>
      </c>
      <c r="I429">
        <v>8</v>
      </c>
      <c r="J429">
        <v>200178</v>
      </c>
      <c r="K429">
        <v>12</v>
      </c>
      <c r="L429">
        <v>5</v>
      </c>
      <c r="M429" t="str">
        <f>VLOOKUP(Sales_Data!F429,Product_Master!$A$2:$D$11,2)</f>
        <v>Router</v>
      </c>
      <c r="N429" t="str">
        <f>VLOOKUP(F429,Product_Master!$A$2:$C$11,3)</f>
        <v>Electronics</v>
      </c>
      <c r="O429">
        <f>VLOOKUP(F429,Product_Master!$A$2:$D$11,4,FALSE)</f>
        <v>5000</v>
      </c>
      <c r="P429">
        <f t="shared" si="60"/>
        <v>35000</v>
      </c>
      <c r="Q429">
        <f t="shared" si="61"/>
        <v>2800</v>
      </c>
      <c r="R429">
        <f t="shared" si="62"/>
        <v>32200</v>
      </c>
      <c r="S429">
        <f t="shared" si="63"/>
        <v>7200</v>
      </c>
      <c r="T429" t="str">
        <f>_xlfn.CONCAT(Sales_Data!C429,"-",Sales_Data!E429,"-",Sales_Data!A429)</f>
        <v>North-C1029-1428</v>
      </c>
      <c r="U429" t="str">
        <f t="shared" si="64"/>
        <v>Regular</v>
      </c>
      <c r="V429" t="str" cm="1">
        <f t="array" ref="V429">_xlfn.IFS(R429&gt;=100000,"Excellent",R429&gt;=50000,"Good",R429&gt;=20000,"Average",TRUE,"Poor")</f>
        <v>Average</v>
      </c>
      <c r="W429">
        <f t="shared" si="65"/>
        <v>1</v>
      </c>
      <c r="X429" t="str">
        <f t="shared" si="66"/>
        <v>March</v>
      </c>
      <c r="Y429">
        <f>HLOOKUP("Q"&amp;W429,Bonus_HLookup!$A$1:$E$2,2,FALSE)</f>
        <v>0.02</v>
      </c>
      <c r="Z429">
        <f t="shared" si="67"/>
        <v>120106.8</v>
      </c>
      <c r="AA429" s="1">
        <f t="shared" si="68"/>
        <v>4452.8490486682676</v>
      </c>
      <c r="AB429">
        <f t="shared" si="69"/>
        <v>359</v>
      </c>
    </row>
    <row r="430" spans="1:28" x14ac:dyDescent="0.3">
      <c r="A430">
        <v>1429</v>
      </c>
      <c r="B430" t="s">
        <v>338</v>
      </c>
      <c r="C430" t="s">
        <v>18</v>
      </c>
      <c r="D430" t="s">
        <v>23</v>
      </c>
      <c r="E430" t="s">
        <v>34</v>
      </c>
      <c r="F430" t="s">
        <v>42</v>
      </c>
      <c r="G430">
        <v>7</v>
      </c>
      <c r="H430">
        <v>8000</v>
      </c>
      <c r="I430">
        <v>2</v>
      </c>
      <c r="J430">
        <v>144947</v>
      </c>
      <c r="K430">
        <v>8</v>
      </c>
      <c r="L430">
        <v>4</v>
      </c>
      <c r="M430" t="str">
        <f>VLOOKUP(Sales_Data!F430,Product_Master!$A$2:$D$11,2)</f>
        <v>Printer</v>
      </c>
      <c r="N430" t="str">
        <f>VLOOKUP(F430,Product_Master!$A$2:$C$11,3)</f>
        <v>Electronics</v>
      </c>
      <c r="O430">
        <f>VLOOKUP(F430,Product_Master!$A$2:$D$11,4,FALSE)</f>
        <v>6500</v>
      </c>
      <c r="P430">
        <f t="shared" si="60"/>
        <v>56000</v>
      </c>
      <c r="Q430">
        <f t="shared" si="61"/>
        <v>1120</v>
      </c>
      <c r="R430">
        <f t="shared" si="62"/>
        <v>54880</v>
      </c>
      <c r="S430">
        <f t="shared" si="63"/>
        <v>9380</v>
      </c>
      <c r="T430" t="str">
        <f>_xlfn.CONCAT(Sales_Data!C430,"-",Sales_Data!E430,"-",Sales_Data!A430)</f>
        <v>North-C1036-1429</v>
      </c>
      <c r="U430" t="str">
        <f t="shared" si="64"/>
        <v>High Value</v>
      </c>
      <c r="V430" t="str" cm="1">
        <f t="array" ref="V430">_xlfn.IFS(R430&gt;=100000,"Excellent",R430&gt;=50000,"Good",R430&gt;=20000,"Average",TRUE,"Poor")</f>
        <v>Good</v>
      </c>
      <c r="W430">
        <f t="shared" si="65"/>
        <v>4</v>
      </c>
      <c r="X430" t="str">
        <f t="shared" si="66"/>
        <v>December</v>
      </c>
      <c r="Y430">
        <f>HLOOKUP("Q"&amp;W430,Bonus_HLookup!$A$1:$E$2,2,FALSE)</f>
        <v>0.08</v>
      </c>
      <c r="Z430">
        <f t="shared" si="67"/>
        <v>46383.040000000001</v>
      </c>
      <c r="AA430" s="1">
        <f t="shared" si="68"/>
        <v>3538.5798546337601</v>
      </c>
      <c r="AB430">
        <f t="shared" si="69"/>
        <v>273</v>
      </c>
    </row>
    <row r="431" spans="1:28" x14ac:dyDescent="0.3">
      <c r="A431">
        <v>1430</v>
      </c>
      <c r="B431" t="s">
        <v>339</v>
      </c>
      <c r="C431" t="s">
        <v>13</v>
      </c>
      <c r="D431" t="s">
        <v>33</v>
      </c>
      <c r="E431" t="s">
        <v>122</v>
      </c>
      <c r="F431" t="s">
        <v>42</v>
      </c>
      <c r="G431">
        <v>4</v>
      </c>
      <c r="H431">
        <v>8000</v>
      </c>
      <c r="I431">
        <v>2</v>
      </c>
      <c r="J431">
        <v>455395</v>
      </c>
      <c r="K431">
        <v>8</v>
      </c>
      <c r="L431">
        <v>3</v>
      </c>
      <c r="M431" t="str">
        <f>VLOOKUP(Sales_Data!F431,Product_Master!$A$2:$D$11,2)</f>
        <v>Printer</v>
      </c>
      <c r="N431" t="str">
        <f>VLOOKUP(F431,Product_Master!$A$2:$C$11,3)</f>
        <v>Electronics</v>
      </c>
      <c r="O431">
        <f>VLOOKUP(F431,Product_Master!$A$2:$D$11,4,FALSE)</f>
        <v>6500</v>
      </c>
      <c r="P431">
        <f t="shared" si="60"/>
        <v>32000</v>
      </c>
      <c r="Q431">
        <f t="shared" si="61"/>
        <v>640</v>
      </c>
      <c r="R431">
        <f t="shared" si="62"/>
        <v>31360</v>
      </c>
      <c r="S431">
        <f t="shared" si="63"/>
        <v>5360</v>
      </c>
      <c r="T431" t="str">
        <f>_xlfn.CONCAT(Sales_Data!C431,"-",Sales_Data!E431,"-",Sales_Data!A431)</f>
        <v>West-C1046-1430</v>
      </c>
      <c r="U431" t="str">
        <f t="shared" si="64"/>
        <v>Regular</v>
      </c>
      <c r="V431" t="str" cm="1">
        <f t="array" ref="V431">_xlfn.IFS(R431&gt;=100000,"Excellent",R431&gt;=50000,"Good",R431&gt;=20000,"Average",TRUE,"Poor")</f>
        <v>Average</v>
      </c>
      <c r="W431">
        <f t="shared" si="65"/>
        <v>4</v>
      </c>
      <c r="X431" t="str">
        <f t="shared" si="66"/>
        <v>October</v>
      </c>
      <c r="Y431">
        <f>HLOOKUP("Q"&amp;W431,Bonus_HLookup!$A$1:$E$2,2,FALSE)</f>
        <v>0.08</v>
      </c>
      <c r="Z431">
        <f t="shared" si="67"/>
        <v>109294.8</v>
      </c>
      <c r="AA431" s="1">
        <f t="shared" si="68"/>
        <v>14270.424149308301</v>
      </c>
      <c r="AB431">
        <f t="shared" si="69"/>
        <v>370</v>
      </c>
    </row>
    <row r="432" spans="1:28" x14ac:dyDescent="0.3">
      <c r="A432">
        <v>1431</v>
      </c>
      <c r="B432" t="s">
        <v>243</v>
      </c>
      <c r="C432" t="s">
        <v>18</v>
      </c>
      <c r="D432" t="s">
        <v>19</v>
      </c>
      <c r="E432" t="s">
        <v>133</v>
      </c>
      <c r="F432" t="s">
        <v>52</v>
      </c>
      <c r="G432">
        <v>3</v>
      </c>
      <c r="H432">
        <v>500</v>
      </c>
      <c r="I432">
        <v>5</v>
      </c>
      <c r="J432">
        <v>166095</v>
      </c>
      <c r="K432">
        <v>11</v>
      </c>
      <c r="L432">
        <v>3</v>
      </c>
      <c r="M432" t="str">
        <f>VLOOKUP(Sales_Data!F432,Product_Master!$A$2:$D$11,2)</f>
        <v>Mouse</v>
      </c>
      <c r="N432" t="str">
        <f>VLOOKUP(F432,Product_Master!$A$2:$C$11,3)</f>
        <v>Accessories</v>
      </c>
      <c r="O432">
        <f>VLOOKUP(F432,Product_Master!$A$2:$D$11,4,FALSE)</f>
        <v>350</v>
      </c>
      <c r="P432">
        <f t="shared" si="60"/>
        <v>1500</v>
      </c>
      <c r="Q432">
        <f t="shared" si="61"/>
        <v>75</v>
      </c>
      <c r="R432">
        <f t="shared" si="62"/>
        <v>1425</v>
      </c>
      <c r="S432">
        <f t="shared" si="63"/>
        <v>375</v>
      </c>
      <c r="T432" t="str">
        <f>_xlfn.CONCAT(Sales_Data!C432,"-",Sales_Data!E432,"-",Sales_Data!A432)</f>
        <v>North-C1021-1431</v>
      </c>
      <c r="U432" t="str">
        <f t="shared" si="64"/>
        <v>Regular</v>
      </c>
      <c r="V432" t="str" cm="1">
        <f t="array" ref="V432">_xlfn.IFS(R432&gt;=100000,"Excellent",R432&gt;=50000,"Good",R432&gt;=20000,"Average",TRUE,"Poor")</f>
        <v>Poor</v>
      </c>
      <c r="W432">
        <f t="shared" si="65"/>
        <v>2</v>
      </c>
      <c r="X432" t="str">
        <f t="shared" si="66"/>
        <v>April</v>
      </c>
      <c r="Y432">
        <f>HLOOKUP("Q"&amp;W432,Bonus_HLookup!$A$1:$E$2,2,FALSE)</f>
        <v>0.04</v>
      </c>
      <c r="Z432">
        <f t="shared" si="67"/>
        <v>54811.35</v>
      </c>
      <c r="AA432" s="1">
        <f t="shared" si="68"/>
        <v>5437.737219548454</v>
      </c>
      <c r="AB432">
        <f t="shared" si="69"/>
        <v>952</v>
      </c>
    </row>
    <row r="433" spans="1:28" x14ac:dyDescent="0.3">
      <c r="A433">
        <v>1432</v>
      </c>
      <c r="B433" t="s">
        <v>340</v>
      </c>
      <c r="C433" t="s">
        <v>13</v>
      </c>
      <c r="D433" t="s">
        <v>59</v>
      </c>
      <c r="E433" t="s">
        <v>115</v>
      </c>
      <c r="F433" t="s">
        <v>39</v>
      </c>
      <c r="G433">
        <v>8</v>
      </c>
      <c r="H433">
        <v>7000</v>
      </c>
      <c r="I433">
        <v>0</v>
      </c>
      <c r="J433">
        <v>255823</v>
      </c>
      <c r="K433">
        <v>12</v>
      </c>
      <c r="L433">
        <v>4</v>
      </c>
      <c r="M433" t="str">
        <f>VLOOKUP(Sales_Data!F433,Product_Master!$A$2:$D$11,2)</f>
        <v>Router</v>
      </c>
      <c r="N433" t="str">
        <f>VLOOKUP(F433,Product_Master!$A$2:$C$11,3)</f>
        <v>Electronics</v>
      </c>
      <c r="O433">
        <f>VLOOKUP(F433,Product_Master!$A$2:$D$11,4,FALSE)</f>
        <v>5000</v>
      </c>
      <c r="P433">
        <f t="shared" si="60"/>
        <v>56000</v>
      </c>
      <c r="Q433">
        <f t="shared" si="61"/>
        <v>0</v>
      </c>
      <c r="R433">
        <f t="shared" si="62"/>
        <v>56000</v>
      </c>
      <c r="S433">
        <f t="shared" si="63"/>
        <v>16000</v>
      </c>
      <c r="T433" t="str">
        <f>_xlfn.CONCAT(Sales_Data!C433,"-",Sales_Data!E433,"-",Sales_Data!A433)</f>
        <v>West-C1026-1432</v>
      </c>
      <c r="U433" t="str">
        <f t="shared" si="64"/>
        <v>High Value</v>
      </c>
      <c r="V433" t="str" cm="1">
        <f t="array" ref="V433">_xlfn.IFS(R433&gt;=100000,"Excellent",R433&gt;=50000,"Good",R433&gt;=20000,"Average",TRUE,"Poor")</f>
        <v>Good</v>
      </c>
      <c r="W433">
        <f t="shared" si="65"/>
        <v>2</v>
      </c>
      <c r="X433" t="str">
        <f t="shared" si="66"/>
        <v>April</v>
      </c>
      <c r="Y433">
        <f>HLOOKUP("Q"&amp;W433,Bonus_HLookup!$A$1:$E$2,2,FALSE)</f>
        <v>0.04</v>
      </c>
      <c r="Z433">
        <f t="shared" si="67"/>
        <v>122795.04</v>
      </c>
      <c r="AA433" s="1">
        <f t="shared" si="68"/>
        <v>6736.8007817020571</v>
      </c>
      <c r="AB433">
        <f t="shared" si="69"/>
        <v>265</v>
      </c>
    </row>
    <row r="434" spans="1:28" x14ac:dyDescent="0.3">
      <c r="A434">
        <v>1433</v>
      </c>
      <c r="B434" t="s">
        <v>341</v>
      </c>
      <c r="C434" t="s">
        <v>62</v>
      </c>
      <c r="D434" t="s">
        <v>19</v>
      </c>
      <c r="E434" t="s">
        <v>203</v>
      </c>
      <c r="F434" t="s">
        <v>21</v>
      </c>
      <c r="G434">
        <v>2</v>
      </c>
      <c r="H434">
        <v>12000</v>
      </c>
      <c r="I434">
        <v>12</v>
      </c>
      <c r="J434">
        <v>329158</v>
      </c>
      <c r="K434">
        <v>8</v>
      </c>
      <c r="L434">
        <v>3</v>
      </c>
      <c r="M434" t="str">
        <f>VLOOKUP(Sales_Data!F434,Product_Master!$A$2:$D$11,2)</f>
        <v>Monitor</v>
      </c>
      <c r="N434" t="str">
        <f>VLOOKUP(F434,Product_Master!$A$2:$C$11,3)</f>
        <v>Electronics</v>
      </c>
      <c r="O434">
        <f>VLOOKUP(F434,Product_Master!$A$2:$D$11,4,FALSE)</f>
        <v>9000</v>
      </c>
      <c r="P434">
        <f t="shared" si="60"/>
        <v>24000</v>
      </c>
      <c r="Q434">
        <f t="shared" si="61"/>
        <v>2880</v>
      </c>
      <c r="R434">
        <f t="shared" si="62"/>
        <v>21120</v>
      </c>
      <c r="S434">
        <f t="shared" si="63"/>
        <v>3120</v>
      </c>
      <c r="T434" t="str">
        <f>_xlfn.CONCAT(Sales_Data!C434,"-",Sales_Data!E434,"-",Sales_Data!A434)</f>
        <v>East-C1037-1433</v>
      </c>
      <c r="U434" t="str">
        <f t="shared" si="64"/>
        <v>Regular</v>
      </c>
      <c r="V434" t="str" cm="1">
        <f t="array" ref="V434">_xlfn.IFS(R434&gt;=100000,"Excellent",R434&gt;=50000,"Good",R434&gt;=20000,"Average",TRUE,"Poor")</f>
        <v>Average</v>
      </c>
      <c r="W434">
        <f t="shared" si="65"/>
        <v>3</v>
      </c>
      <c r="X434" t="str">
        <f t="shared" si="66"/>
        <v>August</v>
      </c>
      <c r="Y434">
        <f>HLOOKUP("Q"&amp;W434,Bonus_HLookup!$A$1:$E$2,2,FALSE)</f>
        <v>0.06</v>
      </c>
      <c r="Z434">
        <f t="shared" si="67"/>
        <v>78997.919999999998</v>
      </c>
      <c r="AA434" s="1">
        <f t="shared" si="68"/>
        <v>10314.615382553657</v>
      </c>
      <c r="AB434">
        <f t="shared" si="69"/>
        <v>429</v>
      </c>
    </row>
    <row r="435" spans="1:28" x14ac:dyDescent="0.3">
      <c r="A435">
        <v>1434</v>
      </c>
      <c r="B435" t="s">
        <v>334</v>
      </c>
      <c r="C435" t="s">
        <v>62</v>
      </c>
      <c r="D435" t="s">
        <v>14</v>
      </c>
      <c r="E435" t="s">
        <v>71</v>
      </c>
      <c r="F435" t="s">
        <v>69</v>
      </c>
      <c r="G435">
        <v>3</v>
      </c>
      <c r="H435">
        <v>2000</v>
      </c>
      <c r="I435">
        <v>8</v>
      </c>
      <c r="J435">
        <v>89531</v>
      </c>
      <c r="K435">
        <v>12</v>
      </c>
      <c r="L435">
        <v>2</v>
      </c>
      <c r="M435" t="str">
        <f>VLOOKUP(Sales_Data!F435,Product_Master!$A$2:$D$11,2)</f>
        <v>Headset</v>
      </c>
      <c r="N435" t="str">
        <f>VLOOKUP(F435,Product_Master!$A$2:$C$11,3)</f>
        <v>Accessories</v>
      </c>
      <c r="O435">
        <f>VLOOKUP(F435,Product_Master!$A$2:$D$11,4,FALSE)</f>
        <v>1500</v>
      </c>
      <c r="P435">
        <f t="shared" si="60"/>
        <v>6000</v>
      </c>
      <c r="Q435">
        <f t="shared" si="61"/>
        <v>480</v>
      </c>
      <c r="R435">
        <f t="shared" si="62"/>
        <v>5520</v>
      </c>
      <c r="S435">
        <f t="shared" si="63"/>
        <v>1020</v>
      </c>
      <c r="T435" t="str">
        <f>_xlfn.CONCAT(Sales_Data!C435,"-",Sales_Data!E435,"-",Sales_Data!A435)</f>
        <v>East-C1019-1434</v>
      </c>
      <c r="U435" t="str">
        <f t="shared" si="64"/>
        <v>Regular</v>
      </c>
      <c r="V435" t="str" cm="1">
        <f t="array" ref="V435">_xlfn.IFS(R435&gt;=100000,"Excellent",R435&gt;=50000,"Good",R435&gt;=20000,"Average",TRUE,"Poor")</f>
        <v>Poor</v>
      </c>
      <c r="W435">
        <f t="shared" si="65"/>
        <v>3</v>
      </c>
      <c r="X435" t="str">
        <f t="shared" si="66"/>
        <v>July</v>
      </c>
      <c r="Y435">
        <f>HLOOKUP("Q"&amp;W435,Bonus_HLookup!$A$1:$E$2,2,FALSE)</f>
        <v>0.06</v>
      </c>
      <c r="Z435">
        <f t="shared" si="67"/>
        <v>21487.439999999999</v>
      </c>
      <c r="AA435" s="1">
        <f t="shared" si="68"/>
        <v>4214.5350416211122</v>
      </c>
      <c r="AB435">
        <f t="shared" si="69"/>
        <v>771</v>
      </c>
    </row>
    <row r="436" spans="1:28" x14ac:dyDescent="0.3">
      <c r="A436">
        <v>1435</v>
      </c>
      <c r="B436" t="s">
        <v>210</v>
      </c>
      <c r="C436" t="s">
        <v>13</v>
      </c>
      <c r="D436" t="s">
        <v>50</v>
      </c>
      <c r="E436" t="s">
        <v>24</v>
      </c>
      <c r="F436" t="s">
        <v>52</v>
      </c>
      <c r="G436">
        <v>2</v>
      </c>
      <c r="H436">
        <v>500</v>
      </c>
      <c r="I436">
        <v>15</v>
      </c>
      <c r="J436">
        <v>312329</v>
      </c>
      <c r="K436">
        <v>11</v>
      </c>
      <c r="L436">
        <v>2</v>
      </c>
      <c r="M436" t="str">
        <f>VLOOKUP(Sales_Data!F436,Product_Master!$A$2:$D$11,2)</f>
        <v>Mouse</v>
      </c>
      <c r="N436" t="str">
        <f>VLOOKUP(F436,Product_Master!$A$2:$C$11,3)</f>
        <v>Accessories</v>
      </c>
      <c r="O436">
        <f>VLOOKUP(F436,Product_Master!$A$2:$D$11,4,FALSE)</f>
        <v>350</v>
      </c>
      <c r="P436">
        <f t="shared" si="60"/>
        <v>1000</v>
      </c>
      <c r="Q436">
        <f t="shared" si="61"/>
        <v>150</v>
      </c>
      <c r="R436">
        <f t="shared" si="62"/>
        <v>850</v>
      </c>
      <c r="S436">
        <f t="shared" si="63"/>
        <v>150</v>
      </c>
      <c r="T436" t="str">
        <f>_xlfn.CONCAT(Sales_Data!C436,"-",Sales_Data!E436,"-",Sales_Data!A436)</f>
        <v>West-C1029-1435</v>
      </c>
      <c r="U436" t="str">
        <f t="shared" si="64"/>
        <v>Regular</v>
      </c>
      <c r="V436" t="str" cm="1">
        <f t="array" ref="V436">_xlfn.IFS(R436&gt;=100000,"Excellent",R436&gt;=50000,"Good",R436&gt;=20000,"Average",TRUE,"Poor")</f>
        <v>Poor</v>
      </c>
      <c r="W436">
        <f t="shared" si="65"/>
        <v>4</v>
      </c>
      <c r="X436" t="str">
        <f t="shared" si="66"/>
        <v>December</v>
      </c>
      <c r="Y436">
        <f>HLOOKUP("Q"&amp;W436,Bonus_HLookup!$A$1:$E$2,2,FALSE)</f>
        <v>0.08</v>
      </c>
      <c r="Z436">
        <f t="shared" si="67"/>
        <v>68712.38</v>
      </c>
      <c r="AA436" s="1">
        <f t="shared" si="68"/>
        <v>14556.979496082475</v>
      </c>
      <c r="AB436">
        <f t="shared" si="69"/>
        <v>985</v>
      </c>
    </row>
    <row r="437" spans="1:28" x14ac:dyDescent="0.3">
      <c r="A437">
        <v>1436</v>
      </c>
      <c r="B437" t="s">
        <v>284</v>
      </c>
      <c r="C437" t="s">
        <v>62</v>
      </c>
      <c r="D437" t="s">
        <v>19</v>
      </c>
      <c r="E437" t="s">
        <v>122</v>
      </c>
      <c r="F437" t="s">
        <v>16</v>
      </c>
      <c r="G437">
        <v>8</v>
      </c>
      <c r="H437">
        <v>2500</v>
      </c>
      <c r="I437">
        <v>12</v>
      </c>
      <c r="J437">
        <v>171360</v>
      </c>
      <c r="K437">
        <v>8</v>
      </c>
      <c r="L437">
        <v>1</v>
      </c>
      <c r="M437" t="str">
        <f>VLOOKUP(Sales_Data!F437,Product_Master!$A$2:$D$11,2)</f>
        <v>Speaker</v>
      </c>
      <c r="N437" t="str">
        <f>VLOOKUP(F437,Product_Master!$A$2:$C$11,3)</f>
        <v>Accessories</v>
      </c>
      <c r="O437">
        <f>VLOOKUP(F437,Product_Master!$A$2:$D$11,4,FALSE)</f>
        <v>1800</v>
      </c>
      <c r="P437">
        <f t="shared" si="60"/>
        <v>20000</v>
      </c>
      <c r="Q437">
        <f t="shared" si="61"/>
        <v>2400</v>
      </c>
      <c r="R437">
        <f t="shared" si="62"/>
        <v>17600</v>
      </c>
      <c r="S437">
        <f t="shared" si="63"/>
        <v>3200</v>
      </c>
      <c r="T437" t="str">
        <f>_xlfn.CONCAT(Sales_Data!C437,"-",Sales_Data!E437,"-",Sales_Data!A437)</f>
        <v>East-C1046-1436</v>
      </c>
      <c r="U437" t="str">
        <f t="shared" si="64"/>
        <v>Regular</v>
      </c>
      <c r="V437" t="str" cm="1">
        <f t="array" ref="V437">_xlfn.IFS(R437&gt;=100000,"Excellent",R437&gt;=50000,"Good",R437&gt;=20000,"Average",TRUE,"Poor")</f>
        <v>Poor</v>
      </c>
      <c r="W437">
        <f t="shared" si="65"/>
        <v>2</v>
      </c>
      <c r="X437" t="str">
        <f t="shared" si="66"/>
        <v>June</v>
      </c>
      <c r="Y437">
        <f>HLOOKUP("Q"&amp;W437,Bonus_HLookup!$A$1:$E$2,2,FALSE)</f>
        <v>0.04</v>
      </c>
      <c r="Z437">
        <f t="shared" si="67"/>
        <v>13708.8</v>
      </c>
      <c r="AA437" s="1">
        <f t="shared" si="68"/>
        <v>14906.337208077754</v>
      </c>
      <c r="AB437">
        <f t="shared" si="69"/>
        <v>491</v>
      </c>
    </row>
    <row r="438" spans="1:28" x14ac:dyDescent="0.3">
      <c r="A438">
        <v>1437</v>
      </c>
      <c r="B438" t="s">
        <v>116</v>
      </c>
      <c r="C438" t="s">
        <v>13</v>
      </c>
      <c r="D438" t="s">
        <v>46</v>
      </c>
      <c r="E438" t="s">
        <v>85</v>
      </c>
      <c r="F438" t="s">
        <v>74</v>
      </c>
      <c r="G438">
        <v>4</v>
      </c>
      <c r="H438">
        <v>35000</v>
      </c>
      <c r="I438">
        <v>15</v>
      </c>
      <c r="J438">
        <v>493947</v>
      </c>
      <c r="K438">
        <v>10</v>
      </c>
      <c r="L438">
        <v>3</v>
      </c>
      <c r="M438" t="str">
        <f>VLOOKUP(Sales_Data!F438,Product_Master!$A$2:$D$11,2)</f>
        <v>Tablet</v>
      </c>
      <c r="N438" t="str">
        <f>VLOOKUP(F438,Product_Master!$A$2:$C$11,3)</f>
        <v>Electronics</v>
      </c>
      <c r="O438">
        <f>VLOOKUP(F438,Product_Master!$A$2:$D$11,4,FALSE)</f>
        <v>29000</v>
      </c>
      <c r="P438">
        <f t="shared" si="60"/>
        <v>140000</v>
      </c>
      <c r="Q438">
        <f t="shared" si="61"/>
        <v>21000</v>
      </c>
      <c r="R438">
        <f t="shared" si="62"/>
        <v>119000</v>
      </c>
      <c r="S438">
        <f t="shared" si="63"/>
        <v>3000</v>
      </c>
      <c r="T438" t="str">
        <f>_xlfn.CONCAT(Sales_Data!C438,"-",Sales_Data!E438,"-",Sales_Data!A438)</f>
        <v>West-C1005-1437</v>
      </c>
      <c r="U438" t="str">
        <f t="shared" si="64"/>
        <v>High Value</v>
      </c>
      <c r="V438" t="str" cm="1">
        <f t="array" ref="V438">_xlfn.IFS(R438&gt;=100000,"Excellent",R438&gt;=50000,"Good",R438&gt;=20000,"Average",TRUE,"Poor")</f>
        <v>Excellent</v>
      </c>
      <c r="W438">
        <f t="shared" si="65"/>
        <v>2</v>
      </c>
      <c r="X438" t="str">
        <f t="shared" si="66"/>
        <v>May</v>
      </c>
      <c r="Y438">
        <f>HLOOKUP("Q"&amp;W438,Bonus_HLookup!$A$1:$E$2,2,FALSE)</f>
        <v>0.04</v>
      </c>
      <c r="Z438">
        <f t="shared" si="67"/>
        <v>148184.1</v>
      </c>
      <c r="AA438" s="1">
        <f t="shared" si="68"/>
        <v>15938.280312834444</v>
      </c>
      <c r="AB438">
        <f t="shared" si="69"/>
        <v>145</v>
      </c>
    </row>
    <row r="439" spans="1:28" x14ac:dyDescent="0.3">
      <c r="A439">
        <v>1438</v>
      </c>
      <c r="B439" t="s">
        <v>342</v>
      </c>
      <c r="C439" t="s">
        <v>18</v>
      </c>
      <c r="D439" t="s">
        <v>91</v>
      </c>
      <c r="E439" t="s">
        <v>94</v>
      </c>
      <c r="F439" t="s">
        <v>52</v>
      </c>
      <c r="G439">
        <v>7</v>
      </c>
      <c r="H439">
        <v>500</v>
      </c>
      <c r="I439">
        <v>0</v>
      </c>
      <c r="J439">
        <v>312538</v>
      </c>
      <c r="K439">
        <v>9</v>
      </c>
      <c r="L439">
        <v>2</v>
      </c>
      <c r="M439" t="str">
        <f>VLOOKUP(Sales_Data!F439,Product_Master!$A$2:$D$11,2)</f>
        <v>Mouse</v>
      </c>
      <c r="N439" t="str">
        <f>VLOOKUP(F439,Product_Master!$A$2:$C$11,3)</f>
        <v>Accessories</v>
      </c>
      <c r="O439">
        <f>VLOOKUP(F439,Product_Master!$A$2:$D$11,4,FALSE)</f>
        <v>350</v>
      </c>
      <c r="P439">
        <f t="shared" si="60"/>
        <v>3500</v>
      </c>
      <c r="Q439">
        <f t="shared" si="61"/>
        <v>0</v>
      </c>
      <c r="R439">
        <f t="shared" si="62"/>
        <v>3500</v>
      </c>
      <c r="S439">
        <f t="shared" si="63"/>
        <v>1050</v>
      </c>
      <c r="T439" t="str">
        <f>_xlfn.CONCAT(Sales_Data!C439,"-",Sales_Data!E439,"-",Sales_Data!A439)</f>
        <v>North-C1027-1438</v>
      </c>
      <c r="U439" t="str">
        <f t="shared" si="64"/>
        <v>Regular</v>
      </c>
      <c r="V439" t="str" cm="1">
        <f t="array" ref="V439">_xlfn.IFS(R439&gt;=100000,"Excellent",R439&gt;=50000,"Good",R439&gt;=20000,"Average",TRUE,"Poor")</f>
        <v>Poor</v>
      </c>
      <c r="W439">
        <f t="shared" si="65"/>
        <v>2</v>
      </c>
      <c r="X439" t="str">
        <f t="shared" si="66"/>
        <v>April</v>
      </c>
      <c r="Y439">
        <f>HLOOKUP("Q"&amp;W439,Bonus_HLookup!$A$1:$E$2,2,FALSE)</f>
        <v>0.04</v>
      </c>
      <c r="Z439">
        <f t="shared" si="67"/>
        <v>56256.84</v>
      </c>
      <c r="AA439" s="1">
        <f t="shared" si="68"/>
        <v>14278.217982448201</v>
      </c>
      <c r="AB439">
        <f t="shared" si="69"/>
        <v>865</v>
      </c>
    </row>
    <row r="440" spans="1:28" x14ac:dyDescent="0.3">
      <c r="A440">
        <v>1439</v>
      </c>
      <c r="B440" t="s">
        <v>334</v>
      </c>
      <c r="C440" t="s">
        <v>18</v>
      </c>
      <c r="D440" t="s">
        <v>23</v>
      </c>
      <c r="E440" t="s">
        <v>66</v>
      </c>
      <c r="F440" t="s">
        <v>21</v>
      </c>
      <c r="G440">
        <v>9</v>
      </c>
      <c r="H440">
        <v>12000</v>
      </c>
      <c r="I440">
        <v>15</v>
      </c>
      <c r="J440">
        <v>351993</v>
      </c>
      <c r="K440">
        <v>12</v>
      </c>
      <c r="L440">
        <v>2</v>
      </c>
      <c r="M440" t="str">
        <f>VLOOKUP(Sales_Data!F440,Product_Master!$A$2:$D$11,2)</f>
        <v>Monitor</v>
      </c>
      <c r="N440" t="str">
        <f>VLOOKUP(F440,Product_Master!$A$2:$C$11,3)</f>
        <v>Electronics</v>
      </c>
      <c r="O440">
        <f>VLOOKUP(F440,Product_Master!$A$2:$D$11,4,FALSE)</f>
        <v>9000</v>
      </c>
      <c r="P440">
        <f t="shared" si="60"/>
        <v>108000</v>
      </c>
      <c r="Q440">
        <f t="shared" si="61"/>
        <v>16200</v>
      </c>
      <c r="R440">
        <f t="shared" si="62"/>
        <v>91800</v>
      </c>
      <c r="S440">
        <f t="shared" si="63"/>
        <v>10800</v>
      </c>
      <c r="T440" t="str">
        <f>_xlfn.CONCAT(Sales_Data!C440,"-",Sales_Data!E440,"-",Sales_Data!A440)</f>
        <v>North-C1010-1439</v>
      </c>
      <c r="U440" t="str">
        <f t="shared" si="64"/>
        <v>High Value</v>
      </c>
      <c r="V440" t="str" cm="1">
        <f t="array" ref="V440">_xlfn.IFS(R440&gt;=100000,"Excellent",R440&gt;=50000,"Good",R440&gt;=20000,"Average",TRUE,"Poor")</f>
        <v>Good</v>
      </c>
      <c r="W440">
        <f t="shared" si="65"/>
        <v>3</v>
      </c>
      <c r="X440" t="str">
        <f t="shared" si="66"/>
        <v>July</v>
      </c>
      <c r="Y440">
        <f>HLOOKUP("Q"&amp;W440,Bonus_HLookup!$A$1:$E$2,2,FALSE)</f>
        <v>0.06</v>
      </c>
      <c r="Z440">
        <f t="shared" si="67"/>
        <v>84478.32</v>
      </c>
      <c r="AA440" s="1">
        <f t="shared" si="68"/>
        <v>16569.532708283612</v>
      </c>
      <c r="AB440">
        <f t="shared" si="69"/>
        <v>183</v>
      </c>
    </row>
    <row r="441" spans="1:28" x14ac:dyDescent="0.3">
      <c r="A441">
        <v>1440</v>
      </c>
      <c r="B441" t="s">
        <v>343</v>
      </c>
      <c r="C441" t="s">
        <v>30</v>
      </c>
      <c r="D441" t="s">
        <v>59</v>
      </c>
      <c r="E441" t="s">
        <v>106</v>
      </c>
      <c r="F441" t="s">
        <v>21</v>
      </c>
      <c r="G441">
        <v>8</v>
      </c>
      <c r="H441">
        <v>12000</v>
      </c>
      <c r="I441">
        <v>0</v>
      </c>
      <c r="J441">
        <v>261798</v>
      </c>
      <c r="K441">
        <v>12</v>
      </c>
      <c r="L441">
        <v>1</v>
      </c>
      <c r="M441" t="str">
        <f>VLOOKUP(Sales_Data!F441,Product_Master!$A$2:$D$11,2)</f>
        <v>Monitor</v>
      </c>
      <c r="N441" t="str">
        <f>VLOOKUP(F441,Product_Master!$A$2:$C$11,3)</f>
        <v>Electronics</v>
      </c>
      <c r="O441">
        <f>VLOOKUP(F441,Product_Master!$A$2:$D$11,4,FALSE)</f>
        <v>9000</v>
      </c>
      <c r="P441">
        <f t="shared" si="60"/>
        <v>96000</v>
      </c>
      <c r="Q441">
        <f t="shared" si="61"/>
        <v>0</v>
      </c>
      <c r="R441">
        <f t="shared" si="62"/>
        <v>96000</v>
      </c>
      <c r="S441">
        <f t="shared" si="63"/>
        <v>24000</v>
      </c>
      <c r="T441" t="str">
        <f>_xlfn.CONCAT(Sales_Data!C441,"-",Sales_Data!E441,"-",Sales_Data!A441)</f>
        <v>South-C1004-1440</v>
      </c>
      <c r="U441" t="str">
        <f t="shared" si="64"/>
        <v>High Value</v>
      </c>
      <c r="V441" t="str" cm="1">
        <f t="array" ref="V441">_xlfn.IFS(R441&gt;=100000,"Excellent",R441&gt;=50000,"Good",R441&gt;=20000,"Average",TRUE,"Poor")</f>
        <v>Good</v>
      </c>
      <c r="W441">
        <f t="shared" si="65"/>
        <v>1</v>
      </c>
      <c r="X441" t="str">
        <f t="shared" si="66"/>
        <v>January</v>
      </c>
      <c r="Y441">
        <f>HLOOKUP("Q"&amp;W441,Bonus_HLookup!$A$1:$E$2,2,FALSE)</f>
        <v>0.02</v>
      </c>
      <c r="Z441">
        <f t="shared" si="67"/>
        <v>31415.759999999998</v>
      </c>
      <c r="AA441" s="1">
        <f t="shared" si="68"/>
        <v>23260.435178412499</v>
      </c>
      <c r="AB441">
        <f t="shared" si="69"/>
        <v>172</v>
      </c>
    </row>
    <row r="442" spans="1:28" x14ac:dyDescent="0.3">
      <c r="A442">
        <v>1441</v>
      </c>
      <c r="B442" t="s">
        <v>344</v>
      </c>
      <c r="C442" t="s">
        <v>30</v>
      </c>
      <c r="D442" t="s">
        <v>19</v>
      </c>
      <c r="E442" t="s">
        <v>77</v>
      </c>
      <c r="F442" t="s">
        <v>42</v>
      </c>
      <c r="G442">
        <v>10</v>
      </c>
      <c r="H442">
        <v>8000</v>
      </c>
      <c r="I442">
        <v>15</v>
      </c>
      <c r="J442">
        <v>162379</v>
      </c>
      <c r="K442">
        <v>8</v>
      </c>
      <c r="L442">
        <v>4</v>
      </c>
      <c r="M442" t="str">
        <f>VLOOKUP(Sales_Data!F442,Product_Master!$A$2:$D$11,2)</f>
        <v>Printer</v>
      </c>
      <c r="N442" t="str">
        <f>VLOOKUP(F442,Product_Master!$A$2:$C$11,3)</f>
        <v>Electronics</v>
      </c>
      <c r="O442">
        <f>VLOOKUP(F442,Product_Master!$A$2:$D$11,4,FALSE)</f>
        <v>6500</v>
      </c>
      <c r="P442">
        <f t="shared" si="60"/>
        <v>80000</v>
      </c>
      <c r="Q442">
        <f t="shared" si="61"/>
        <v>12000</v>
      </c>
      <c r="R442">
        <f t="shared" si="62"/>
        <v>68000</v>
      </c>
      <c r="S442">
        <f t="shared" si="63"/>
        <v>3000</v>
      </c>
      <c r="T442" t="str">
        <f>_xlfn.CONCAT(Sales_Data!C442,"-",Sales_Data!E442,"-",Sales_Data!A442)</f>
        <v>South-C1020-1441</v>
      </c>
      <c r="U442" t="str">
        <f t="shared" si="64"/>
        <v>High Value</v>
      </c>
      <c r="V442" t="str" cm="1">
        <f t="array" ref="V442">_xlfn.IFS(R442&gt;=100000,"Excellent",R442&gt;=50000,"Good",R442&gt;=20000,"Average",TRUE,"Poor")</f>
        <v>Good</v>
      </c>
      <c r="W442">
        <f t="shared" si="65"/>
        <v>3</v>
      </c>
      <c r="X442" t="str">
        <f t="shared" si="66"/>
        <v>August</v>
      </c>
      <c r="Y442">
        <f>HLOOKUP("Q"&amp;W442,Bonus_HLookup!$A$1:$E$2,2,FALSE)</f>
        <v>0.06</v>
      </c>
      <c r="Z442">
        <f t="shared" si="67"/>
        <v>51961.279999999999</v>
      </c>
      <c r="AA442" s="1">
        <f t="shared" si="68"/>
        <v>3964.1459168908323</v>
      </c>
      <c r="AB442">
        <f t="shared" si="69"/>
        <v>227</v>
      </c>
    </row>
    <row r="443" spans="1:28" x14ac:dyDescent="0.3">
      <c r="A443">
        <v>1442</v>
      </c>
      <c r="B443" t="s">
        <v>226</v>
      </c>
      <c r="C443" t="s">
        <v>62</v>
      </c>
      <c r="D443" t="s">
        <v>14</v>
      </c>
      <c r="E443" t="s">
        <v>44</v>
      </c>
      <c r="F443" t="s">
        <v>52</v>
      </c>
      <c r="G443">
        <v>5</v>
      </c>
      <c r="H443">
        <v>500</v>
      </c>
      <c r="I443">
        <v>2</v>
      </c>
      <c r="J443">
        <v>430576</v>
      </c>
      <c r="K443">
        <v>9</v>
      </c>
      <c r="L443">
        <v>4</v>
      </c>
      <c r="M443" t="str">
        <f>VLOOKUP(Sales_Data!F443,Product_Master!$A$2:$D$11,2)</f>
        <v>Mouse</v>
      </c>
      <c r="N443" t="str">
        <f>VLOOKUP(F443,Product_Master!$A$2:$C$11,3)</f>
        <v>Accessories</v>
      </c>
      <c r="O443">
        <f>VLOOKUP(F443,Product_Master!$A$2:$D$11,4,FALSE)</f>
        <v>350</v>
      </c>
      <c r="P443">
        <f t="shared" si="60"/>
        <v>2500</v>
      </c>
      <c r="Q443">
        <f t="shared" si="61"/>
        <v>50</v>
      </c>
      <c r="R443">
        <f t="shared" si="62"/>
        <v>2450</v>
      </c>
      <c r="S443">
        <f t="shared" si="63"/>
        <v>700</v>
      </c>
      <c r="T443" t="str">
        <f>_xlfn.CONCAT(Sales_Data!C443,"-",Sales_Data!E443,"-",Sales_Data!A443)</f>
        <v>East-C1028-1442</v>
      </c>
      <c r="U443" t="str">
        <f t="shared" si="64"/>
        <v>Regular</v>
      </c>
      <c r="V443" t="str" cm="1">
        <f t="array" ref="V443">_xlfn.IFS(R443&gt;=100000,"Excellent",R443&gt;=50000,"Good",R443&gt;=20000,"Average",TRUE,"Poor")</f>
        <v>Poor</v>
      </c>
      <c r="W443">
        <f t="shared" si="65"/>
        <v>3</v>
      </c>
      <c r="X443" t="str">
        <f t="shared" si="66"/>
        <v>July</v>
      </c>
      <c r="Y443">
        <f>HLOOKUP("Q"&amp;W443,Bonus_HLookup!$A$1:$E$2,2,FALSE)</f>
        <v>0.06</v>
      </c>
      <c r="Z443">
        <f t="shared" si="67"/>
        <v>155007.35999999999</v>
      </c>
      <c r="AA443" s="1">
        <f t="shared" si="68"/>
        <v>10714.902005199096</v>
      </c>
      <c r="AB443">
        <f t="shared" si="69"/>
        <v>908</v>
      </c>
    </row>
    <row r="444" spans="1:28" x14ac:dyDescent="0.3">
      <c r="A444">
        <v>1443</v>
      </c>
      <c r="B444" t="s">
        <v>345</v>
      </c>
      <c r="C444" t="s">
        <v>13</v>
      </c>
      <c r="D444" t="s">
        <v>46</v>
      </c>
      <c r="E444" t="s">
        <v>140</v>
      </c>
      <c r="F444" t="s">
        <v>74</v>
      </c>
      <c r="G444">
        <v>1</v>
      </c>
      <c r="H444">
        <v>35000</v>
      </c>
      <c r="I444">
        <v>0</v>
      </c>
      <c r="J444">
        <v>255809</v>
      </c>
      <c r="K444">
        <v>7</v>
      </c>
      <c r="L444">
        <v>3</v>
      </c>
      <c r="M444" t="str">
        <f>VLOOKUP(Sales_Data!F444,Product_Master!$A$2:$D$11,2)</f>
        <v>Tablet</v>
      </c>
      <c r="N444" t="str">
        <f>VLOOKUP(F444,Product_Master!$A$2:$C$11,3)</f>
        <v>Electronics</v>
      </c>
      <c r="O444">
        <f>VLOOKUP(F444,Product_Master!$A$2:$D$11,4,FALSE)</f>
        <v>29000</v>
      </c>
      <c r="P444">
        <f t="shared" si="60"/>
        <v>35000</v>
      </c>
      <c r="Q444">
        <f t="shared" si="61"/>
        <v>0</v>
      </c>
      <c r="R444">
        <f t="shared" si="62"/>
        <v>35000</v>
      </c>
      <c r="S444">
        <f t="shared" si="63"/>
        <v>6000</v>
      </c>
      <c r="T444" t="str">
        <f>_xlfn.CONCAT(Sales_Data!C444,"-",Sales_Data!E444,"-",Sales_Data!A444)</f>
        <v>West-C1011-1443</v>
      </c>
      <c r="U444" t="str">
        <f t="shared" si="64"/>
        <v>Regular</v>
      </c>
      <c r="V444" t="str" cm="1">
        <f t="array" ref="V444">_xlfn.IFS(R444&gt;=100000,"Excellent",R444&gt;=50000,"Good",R444&gt;=20000,"Average",TRUE,"Poor")</f>
        <v>Average</v>
      </c>
      <c r="W444">
        <f t="shared" si="65"/>
        <v>4</v>
      </c>
      <c r="X444" t="str">
        <f t="shared" si="66"/>
        <v>October</v>
      </c>
      <c r="Y444">
        <f>HLOOKUP("Q"&amp;W444,Bonus_HLookup!$A$1:$E$2,2,FALSE)</f>
        <v>0.08</v>
      </c>
      <c r="Z444">
        <f t="shared" si="67"/>
        <v>53719.89</v>
      </c>
      <c r="AA444" s="1">
        <f t="shared" si="68"/>
        <v>7898.6392720339309</v>
      </c>
      <c r="AB444">
        <f t="shared" si="69"/>
        <v>351</v>
      </c>
    </row>
    <row r="445" spans="1:28" x14ac:dyDescent="0.3">
      <c r="A445">
        <v>1444</v>
      </c>
      <c r="B445" t="s">
        <v>346</v>
      </c>
      <c r="C445" t="s">
        <v>30</v>
      </c>
      <c r="D445" t="s">
        <v>19</v>
      </c>
      <c r="E445" t="s">
        <v>157</v>
      </c>
      <c r="F445" t="s">
        <v>36</v>
      </c>
      <c r="G445">
        <v>6</v>
      </c>
      <c r="H445">
        <v>55000</v>
      </c>
      <c r="I445">
        <v>8</v>
      </c>
      <c r="J445">
        <v>89355</v>
      </c>
      <c r="K445">
        <v>9</v>
      </c>
      <c r="L445">
        <v>2</v>
      </c>
      <c r="M445" t="str">
        <f>VLOOKUP(Sales_Data!F445,Product_Master!$A$2:$D$11,2)</f>
        <v>Laptop</v>
      </c>
      <c r="N445" t="str">
        <f>VLOOKUP(F445,Product_Master!$A$2:$C$11,3)</f>
        <v>Electronics</v>
      </c>
      <c r="O445">
        <f>VLOOKUP(F445,Product_Master!$A$2:$D$11,4,FALSE)</f>
        <v>45000</v>
      </c>
      <c r="P445">
        <f t="shared" si="60"/>
        <v>330000</v>
      </c>
      <c r="Q445">
        <f t="shared" si="61"/>
        <v>26400</v>
      </c>
      <c r="R445">
        <f t="shared" si="62"/>
        <v>303600</v>
      </c>
      <c r="S445">
        <f t="shared" si="63"/>
        <v>33600</v>
      </c>
      <c r="T445" t="str">
        <f>_xlfn.CONCAT(Sales_Data!C445,"-",Sales_Data!E445,"-",Sales_Data!A445)</f>
        <v>South-C1024-1444</v>
      </c>
      <c r="U445" t="str">
        <f t="shared" si="64"/>
        <v>High Value</v>
      </c>
      <c r="V445" t="str" cm="1">
        <f t="array" ref="V445">_xlfn.IFS(R445&gt;=100000,"Excellent",R445&gt;=50000,"Good",R445&gt;=20000,"Average",TRUE,"Poor")</f>
        <v>Excellent</v>
      </c>
      <c r="W445">
        <f t="shared" si="65"/>
        <v>4</v>
      </c>
      <c r="X445" t="str">
        <f t="shared" si="66"/>
        <v>November</v>
      </c>
      <c r="Y445">
        <f>HLOOKUP("Q"&amp;W445,Bonus_HLookup!$A$1:$E$2,2,FALSE)</f>
        <v>0.08</v>
      </c>
      <c r="Z445">
        <f t="shared" si="67"/>
        <v>16083.9</v>
      </c>
      <c r="AA445" s="1">
        <f t="shared" si="68"/>
        <v>4082.1601463555116</v>
      </c>
      <c r="AB445">
        <f t="shared" si="69"/>
        <v>54</v>
      </c>
    </row>
    <row r="446" spans="1:28" x14ac:dyDescent="0.3">
      <c r="A446">
        <v>1445</v>
      </c>
      <c r="B446" t="s">
        <v>229</v>
      </c>
      <c r="C446" t="s">
        <v>30</v>
      </c>
      <c r="D446" t="s">
        <v>33</v>
      </c>
      <c r="E446" t="s">
        <v>44</v>
      </c>
      <c r="F446" t="s">
        <v>52</v>
      </c>
      <c r="G446">
        <v>8</v>
      </c>
      <c r="H446">
        <v>500</v>
      </c>
      <c r="I446">
        <v>0</v>
      </c>
      <c r="J446">
        <v>181105</v>
      </c>
      <c r="K446">
        <v>10</v>
      </c>
      <c r="L446">
        <v>1</v>
      </c>
      <c r="M446" t="str">
        <f>VLOOKUP(Sales_Data!F446,Product_Master!$A$2:$D$11,2)</f>
        <v>Mouse</v>
      </c>
      <c r="N446" t="str">
        <f>VLOOKUP(F446,Product_Master!$A$2:$C$11,3)</f>
        <v>Accessories</v>
      </c>
      <c r="O446">
        <f>VLOOKUP(F446,Product_Master!$A$2:$D$11,4,FALSE)</f>
        <v>350</v>
      </c>
      <c r="P446">
        <f t="shared" si="60"/>
        <v>4000</v>
      </c>
      <c r="Q446">
        <f t="shared" si="61"/>
        <v>0</v>
      </c>
      <c r="R446">
        <f t="shared" si="62"/>
        <v>4000</v>
      </c>
      <c r="S446">
        <f t="shared" si="63"/>
        <v>1200</v>
      </c>
      <c r="T446" t="str">
        <f>_xlfn.CONCAT(Sales_Data!C446,"-",Sales_Data!E446,"-",Sales_Data!A446)</f>
        <v>South-C1028-1445</v>
      </c>
      <c r="U446" t="str">
        <f t="shared" si="64"/>
        <v>Regular</v>
      </c>
      <c r="V446" t="str" cm="1">
        <f t="array" ref="V446">_xlfn.IFS(R446&gt;=100000,"Excellent",R446&gt;=50000,"Good",R446&gt;=20000,"Average",TRUE,"Poor")</f>
        <v>Poor</v>
      </c>
      <c r="W446">
        <f t="shared" si="65"/>
        <v>1</v>
      </c>
      <c r="X446" t="str">
        <f t="shared" si="66"/>
        <v>January</v>
      </c>
      <c r="Y446">
        <f>HLOOKUP("Q"&amp;W446,Bonus_HLookup!$A$1:$E$2,2,FALSE)</f>
        <v>0.02</v>
      </c>
      <c r="Z446">
        <f t="shared" si="67"/>
        <v>18110.5</v>
      </c>
      <c r="AA446" s="1">
        <f t="shared" si="68"/>
        <v>15922.006756790888</v>
      </c>
      <c r="AB446">
        <f t="shared" si="69"/>
        <v>837</v>
      </c>
    </row>
    <row r="447" spans="1:28" x14ac:dyDescent="0.3">
      <c r="A447">
        <v>1446</v>
      </c>
      <c r="B447" t="s">
        <v>114</v>
      </c>
      <c r="C447" t="s">
        <v>18</v>
      </c>
      <c r="D447" t="s">
        <v>14</v>
      </c>
      <c r="E447" t="s">
        <v>77</v>
      </c>
      <c r="F447" t="s">
        <v>21</v>
      </c>
      <c r="G447">
        <v>4</v>
      </c>
      <c r="H447">
        <v>12000</v>
      </c>
      <c r="I447">
        <v>5</v>
      </c>
      <c r="J447">
        <v>147056</v>
      </c>
      <c r="K447">
        <v>12</v>
      </c>
      <c r="L447">
        <v>5</v>
      </c>
      <c r="M447" t="str">
        <f>VLOOKUP(Sales_Data!F447,Product_Master!$A$2:$D$11,2)</f>
        <v>Monitor</v>
      </c>
      <c r="N447" t="str">
        <f>VLOOKUP(F447,Product_Master!$A$2:$C$11,3)</f>
        <v>Electronics</v>
      </c>
      <c r="O447">
        <f>VLOOKUP(F447,Product_Master!$A$2:$D$11,4,FALSE)</f>
        <v>9000</v>
      </c>
      <c r="P447">
        <f t="shared" si="60"/>
        <v>48000</v>
      </c>
      <c r="Q447">
        <f t="shared" si="61"/>
        <v>2400</v>
      </c>
      <c r="R447">
        <f t="shared" si="62"/>
        <v>45600</v>
      </c>
      <c r="S447">
        <f t="shared" si="63"/>
        <v>9600</v>
      </c>
      <c r="T447" t="str">
        <f>_xlfn.CONCAT(Sales_Data!C447,"-",Sales_Data!E447,"-",Sales_Data!A447)</f>
        <v>North-C1020-1446</v>
      </c>
      <c r="U447" t="str">
        <f t="shared" si="64"/>
        <v>Regular</v>
      </c>
      <c r="V447" t="str" cm="1">
        <f t="array" ref="V447">_xlfn.IFS(R447&gt;=100000,"Excellent",R447&gt;=50000,"Good",R447&gt;=20000,"Average",TRUE,"Poor")</f>
        <v>Average</v>
      </c>
      <c r="W447">
        <f t="shared" si="65"/>
        <v>4</v>
      </c>
      <c r="X447" t="str">
        <f t="shared" si="66"/>
        <v>November</v>
      </c>
      <c r="Y447">
        <f>HLOOKUP("Q"&amp;W447,Bonus_HLookup!$A$1:$E$2,2,FALSE)</f>
        <v>0.08</v>
      </c>
      <c r="Z447">
        <f t="shared" si="67"/>
        <v>88233.600000000006</v>
      </c>
      <c r="AA447" s="1">
        <f t="shared" si="68"/>
        <v>3271.1794987509152</v>
      </c>
      <c r="AB447">
        <f t="shared" si="69"/>
        <v>317</v>
      </c>
    </row>
    <row r="448" spans="1:28" x14ac:dyDescent="0.3">
      <c r="A448">
        <v>1447</v>
      </c>
      <c r="B448" t="s">
        <v>332</v>
      </c>
      <c r="C448" t="s">
        <v>18</v>
      </c>
      <c r="D448" t="s">
        <v>46</v>
      </c>
      <c r="E448" t="s">
        <v>63</v>
      </c>
      <c r="F448" t="s">
        <v>16</v>
      </c>
      <c r="G448">
        <v>6</v>
      </c>
      <c r="H448">
        <v>2500</v>
      </c>
      <c r="I448">
        <v>8</v>
      </c>
      <c r="J448">
        <v>74594</v>
      </c>
      <c r="K448">
        <v>9</v>
      </c>
      <c r="L448">
        <v>5</v>
      </c>
      <c r="M448" t="str">
        <f>VLOOKUP(Sales_Data!F448,Product_Master!$A$2:$D$11,2)</f>
        <v>Speaker</v>
      </c>
      <c r="N448" t="str">
        <f>VLOOKUP(F448,Product_Master!$A$2:$C$11,3)</f>
        <v>Accessories</v>
      </c>
      <c r="O448">
        <f>VLOOKUP(F448,Product_Master!$A$2:$D$11,4,FALSE)</f>
        <v>1800</v>
      </c>
      <c r="P448">
        <f t="shared" si="60"/>
        <v>15000</v>
      </c>
      <c r="Q448">
        <f t="shared" si="61"/>
        <v>1200</v>
      </c>
      <c r="R448">
        <f t="shared" si="62"/>
        <v>13800</v>
      </c>
      <c r="S448">
        <f t="shared" si="63"/>
        <v>3000</v>
      </c>
      <c r="T448" t="str">
        <f>_xlfn.CONCAT(Sales_Data!C448,"-",Sales_Data!E448,"-",Sales_Data!A448)</f>
        <v>North-C1035-1447</v>
      </c>
      <c r="U448" t="str">
        <f t="shared" si="64"/>
        <v>Regular</v>
      </c>
      <c r="V448" t="str" cm="1">
        <f t="array" ref="V448">_xlfn.IFS(R448&gt;=100000,"Excellent",R448&gt;=50000,"Good",R448&gt;=20000,"Average",TRUE,"Poor")</f>
        <v>Poor</v>
      </c>
      <c r="W448">
        <f t="shared" si="65"/>
        <v>1</v>
      </c>
      <c r="X448" t="str">
        <f t="shared" si="66"/>
        <v>March</v>
      </c>
      <c r="Y448">
        <f>HLOOKUP("Q"&amp;W448,Bonus_HLookup!$A$1:$E$2,2,FALSE)</f>
        <v>0.02</v>
      </c>
      <c r="Z448">
        <f t="shared" si="67"/>
        <v>33567.300000000003</v>
      </c>
      <c r="AA448" s="1">
        <f t="shared" si="68"/>
        <v>1548.4487497546509</v>
      </c>
      <c r="AB448">
        <f t="shared" si="69"/>
        <v>544</v>
      </c>
    </row>
    <row r="449" spans="1:28" x14ac:dyDescent="0.3">
      <c r="A449">
        <v>1448</v>
      </c>
      <c r="B449" t="s">
        <v>347</v>
      </c>
      <c r="C449" t="s">
        <v>18</v>
      </c>
      <c r="D449" t="s">
        <v>14</v>
      </c>
      <c r="E449" t="s">
        <v>165</v>
      </c>
      <c r="F449" t="s">
        <v>74</v>
      </c>
      <c r="G449">
        <v>7</v>
      </c>
      <c r="H449">
        <v>35000</v>
      </c>
      <c r="I449">
        <v>8</v>
      </c>
      <c r="J449">
        <v>278475</v>
      </c>
      <c r="K449">
        <v>8</v>
      </c>
      <c r="L449">
        <v>2</v>
      </c>
      <c r="M449" t="str">
        <f>VLOOKUP(Sales_Data!F449,Product_Master!$A$2:$D$11,2)</f>
        <v>Tablet</v>
      </c>
      <c r="N449" t="str">
        <f>VLOOKUP(F449,Product_Master!$A$2:$C$11,3)</f>
        <v>Electronics</v>
      </c>
      <c r="O449">
        <f>VLOOKUP(F449,Product_Master!$A$2:$D$11,4,FALSE)</f>
        <v>29000</v>
      </c>
      <c r="P449">
        <f t="shared" si="60"/>
        <v>245000</v>
      </c>
      <c r="Q449">
        <f t="shared" si="61"/>
        <v>19600</v>
      </c>
      <c r="R449">
        <f t="shared" si="62"/>
        <v>225400</v>
      </c>
      <c r="S449">
        <f t="shared" si="63"/>
        <v>22400</v>
      </c>
      <c r="T449" t="str">
        <f>_xlfn.CONCAT(Sales_Data!C449,"-",Sales_Data!E449,"-",Sales_Data!A449)</f>
        <v>North-C1042-1448</v>
      </c>
      <c r="U449" t="str">
        <f t="shared" si="64"/>
        <v>High Value</v>
      </c>
      <c r="V449" t="str" cm="1">
        <f t="array" ref="V449">_xlfn.IFS(R449&gt;=100000,"Excellent",R449&gt;=50000,"Good",R449&gt;=20000,"Average",TRUE,"Poor")</f>
        <v>Excellent</v>
      </c>
      <c r="W449">
        <f t="shared" si="65"/>
        <v>3</v>
      </c>
      <c r="X449" t="str">
        <f t="shared" si="66"/>
        <v>July</v>
      </c>
      <c r="Y449">
        <f>HLOOKUP("Q"&amp;W449,Bonus_HLookup!$A$1:$E$2,2,FALSE)</f>
        <v>0.06</v>
      </c>
      <c r="Z449">
        <f t="shared" si="67"/>
        <v>44556</v>
      </c>
      <c r="AA449" s="1">
        <f t="shared" si="68"/>
        <v>12594.669988260881</v>
      </c>
      <c r="AB449">
        <f t="shared" si="69"/>
        <v>93</v>
      </c>
    </row>
    <row r="450" spans="1:28" x14ac:dyDescent="0.3">
      <c r="A450">
        <v>1449</v>
      </c>
      <c r="B450" t="s">
        <v>161</v>
      </c>
      <c r="C450" t="s">
        <v>30</v>
      </c>
      <c r="D450" t="s">
        <v>19</v>
      </c>
      <c r="E450" t="s">
        <v>174</v>
      </c>
      <c r="F450" t="s">
        <v>25</v>
      </c>
      <c r="G450">
        <v>8</v>
      </c>
      <c r="H450">
        <v>1500</v>
      </c>
      <c r="I450">
        <v>10</v>
      </c>
      <c r="J450">
        <v>136616</v>
      </c>
      <c r="K450">
        <v>8</v>
      </c>
      <c r="L450">
        <v>5</v>
      </c>
      <c r="M450" t="str">
        <f>VLOOKUP(Sales_Data!F450,Product_Master!$A$2:$D$11,2)</f>
        <v>Keyboard</v>
      </c>
      <c r="N450" t="str">
        <f>VLOOKUP(F450,Product_Master!$A$2:$C$11,3)</f>
        <v>Accessories</v>
      </c>
      <c r="O450">
        <f>VLOOKUP(F450,Product_Master!$A$2:$D$11,4,FALSE)</f>
        <v>1200</v>
      </c>
      <c r="P450">
        <f t="shared" si="60"/>
        <v>12000</v>
      </c>
      <c r="Q450">
        <f t="shared" si="61"/>
        <v>1200</v>
      </c>
      <c r="R450">
        <f t="shared" si="62"/>
        <v>10800</v>
      </c>
      <c r="S450">
        <f t="shared" si="63"/>
        <v>1200</v>
      </c>
      <c r="T450" t="str">
        <f>_xlfn.CONCAT(Sales_Data!C450,"-",Sales_Data!E450,"-",Sales_Data!A450)</f>
        <v>South-C1044-1449</v>
      </c>
      <c r="U450" t="str">
        <f t="shared" si="64"/>
        <v>Regular</v>
      </c>
      <c r="V450" t="str" cm="1">
        <f t="array" ref="V450">_xlfn.IFS(R450&gt;=100000,"Excellent",R450&gt;=50000,"Good",R450&gt;=20000,"Average",TRUE,"Poor")</f>
        <v>Poor</v>
      </c>
      <c r="W450">
        <f t="shared" si="65"/>
        <v>3</v>
      </c>
      <c r="X450" t="str">
        <f t="shared" si="66"/>
        <v>July</v>
      </c>
      <c r="Y450">
        <f>HLOOKUP("Q"&amp;W450,Bonus_HLookup!$A$1:$E$2,2,FALSE)</f>
        <v>0.06</v>
      </c>
      <c r="Z450">
        <f t="shared" si="67"/>
        <v>54646.400000000001</v>
      </c>
      <c r="AA450" s="1">
        <f t="shared" si="68"/>
        <v>2770.0798821059234</v>
      </c>
      <c r="AB450">
        <f t="shared" si="69"/>
        <v>619</v>
      </c>
    </row>
    <row r="451" spans="1:28" x14ac:dyDescent="0.3">
      <c r="A451">
        <v>1450</v>
      </c>
      <c r="B451" t="s">
        <v>348</v>
      </c>
      <c r="C451" t="s">
        <v>18</v>
      </c>
      <c r="D451" t="s">
        <v>14</v>
      </c>
      <c r="E451" t="s">
        <v>140</v>
      </c>
      <c r="F451" t="s">
        <v>69</v>
      </c>
      <c r="G451">
        <v>7</v>
      </c>
      <c r="H451">
        <v>2000</v>
      </c>
      <c r="I451">
        <v>5</v>
      </c>
      <c r="J451">
        <v>243124</v>
      </c>
      <c r="K451">
        <v>7</v>
      </c>
      <c r="L451">
        <v>4</v>
      </c>
      <c r="M451" t="str">
        <f>VLOOKUP(Sales_Data!F451,Product_Master!$A$2:$D$11,2)</f>
        <v>Headset</v>
      </c>
      <c r="N451" t="str">
        <f>VLOOKUP(F451,Product_Master!$A$2:$C$11,3)</f>
        <v>Accessories</v>
      </c>
      <c r="O451">
        <f>VLOOKUP(F451,Product_Master!$A$2:$D$11,4,FALSE)</f>
        <v>1500</v>
      </c>
      <c r="P451">
        <f t="shared" ref="P451:P514" si="70">H451*G451</f>
        <v>14000</v>
      </c>
      <c r="Q451">
        <f t="shared" ref="Q451:Q514" si="71">P451*(I451/100)</f>
        <v>700</v>
      </c>
      <c r="R451">
        <f t="shared" ref="R451:R514" si="72">P451-Q451</f>
        <v>13300</v>
      </c>
      <c r="S451">
        <f t="shared" ref="S451:S514" si="73">R451-(G451*O451)</f>
        <v>2800</v>
      </c>
      <c r="T451" t="str">
        <f>_xlfn.CONCAT(Sales_Data!C451,"-",Sales_Data!E451,"-",Sales_Data!A451)</f>
        <v>North-C1011-1450</v>
      </c>
      <c r="U451" t="str">
        <f t="shared" ref="U451:U514" si="74">IF(R451&gt;=50000,"High Value","Regular")</f>
        <v>Regular</v>
      </c>
      <c r="V451" t="str" cm="1">
        <f t="array" ref="V451">_xlfn.IFS(R451&gt;=100000,"Excellent",R451&gt;=50000,"Good",R451&gt;=20000,"Average",TRUE,"Poor")</f>
        <v>Poor</v>
      </c>
      <c r="W451">
        <f t="shared" ref="W451:W514" si="75">ROUNDUP(MONTH(B451)/3,0)</f>
        <v>2</v>
      </c>
      <c r="X451" t="str">
        <f t="shared" ref="X451:X514" si="76">TEXT(B451,"mmmm")</f>
        <v>May</v>
      </c>
      <c r="Y451">
        <f>HLOOKUP("Q"&amp;W451,Bonus_HLookup!$A$1:$E$2,2,FALSE)</f>
        <v>0.04</v>
      </c>
      <c r="Z451">
        <f t="shared" ref="Z451:Z514" si="77">(J451*K451*L451)/100</f>
        <v>68074.720000000001</v>
      </c>
      <c r="AA451" s="1">
        <f t="shared" ref="AA451:AA514" si="78">PMT(K451/1200,L451*12,-J451)</f>
        <v>5821.9067873117692</v>
      </c>
      <c r="AB451">
        <f t="shared" ref="AB451:AB514" si="79">RANK(R451,$R$2:$R$1001)</f>
        <v>559</v>
      </c>
    </row>
    <row r="452" spans="1:28" x14ac:dyDescent="0.3">
      <c r="A452">
        <v>1451</v>
      </c>
      <c r="B452" t="s">
        <v>349</v>
      </c>
      <c r="C452" t="s">
        <v>62</v>
      </c>
      <c r="D452" t="s">
        <v>14</v>
      </c>
      <c r="E452" t="s">
        <v>51</v>
      </c>
      <c r="F452" t="s">
        <v>28</v>
      </c>
      <c r="G452">
        <v>4</v>
      </c>
      <c r="H452">
        <v>950</v>
      </c>
      <c r="I452">
        <v>15</v>
      </c>
      <c r="J452">
        <v>153002</v>
      </c>
      <c r="K452">
        <v>12</v>
      </c>
      <c r="L452">
        <v>2</v>
      </c>
      <c r="M452" t="str">
        <f>VLOOKUP(Sales_Data!F452,Product_Master!$A$2:$D$11,2)</f>
        <v>Webcam</v>
      </c>
      <c r="N452" t="str">
        <f>VLOOKUP(F452,Product_Master!$A$2:$C$11,3)</f>
        <v>Accessories</v>
      </c>
      <c r="O452">
        <f>VLOOKUP(F452,Product_Master!$A$2:$D$11,4,FALSE)</f>
        <v>700</v>
      </c>
      <c r="P452">
        <f t="shared" si="70"/>
        <v>3800</v>
      </c>
      <c r="Q452">
        <f t="shared" si="71"/>
        <v>570</v>
      </c>
      <c r="R452">
        <f t="shared" si="72"/>
        <v>3230</v>
      </c>
      <c r="S452">
        <f t="shared" si="73"/>
        <v>430</v>
      </c>
      <c r="T452" t="str">
        <f>_xlfn.CONCAT(Sales_Data!C452,"-",Sales_Data!E452,"-",Sales_Data!A452)</f>
        <v>East-C1002-1451</v>
      </c>
      <c r="U452" t="str">
        <f t="shared" si="74"/>
        <v>Regular</v>
      </c>
      <c r="V452" t="str" cm="1">
        <f t="array" ref="V452">_xlfn.IFS(R452&gt;=100000,"Excellent",R452&gt;=50000,"Good",R452&gt;=20000,"Average",TRUE,"Poor")</f>
        <v>Poor</v>
      </c>
      <c r="W452">
        <f t="shared" si="75"/>
        <v>1</v>
      </c>
      <c r="X452" t="str">
        <f t="shared" si="76"/>
        <v>January</v>
      </c>
      <c r="Y452">
        <f>HLOOKUP("Q"&amp;W452,Bonus_HLookup!$A$1:$E$2,2,FALSE)</f>
        <v>0.02</v>
      </c>
      <c r="Z452">
        <f t="shared" si="77"/>
        <v>36720.480000000003</v>
      </c>
      <c r="AA452" s="1">
        <f t="shared" si="78"/>
        <v>7202.335397103946</v>
      </c>
      <c r="AB452">
        <f t="shared" si="79"/>
        <v>871</v>
      </c>
    </row>
    <row r="453" spans="1:28" x14ac:dyDescent="0.3">
      <c r="A453">
        <v>1452</v>
      </c>
      <c r="B453" t="s">
        <v>347</v>
      </c>
      <c r="C453" t="s">
        <v>18</v>
      </c>
      <c r="D453" t="s">
        <v>91</v>
      </c>
      <c r="E453" t="s">
        <v>44</v>
      </c>
      <c r="F453" t="s">
        <v>36</v>
      </c>
      <c r="G453">
        <v>10</v>
      </c>
      <c r="H453">
        <v>55000</v>
      </c>
      <c r="I453">
        <v>8</v>
      </c>
      <c r="J453">
        <v>288442</v>
      </c>
      <c r="K453">
        <v>10</v>
      </c>
      <c r="L453">
        <v>2</v>
      </c>
      <c r="M453" t="str">
        <f>VLOOKUP(Sales_Data!F453,Product_Master!$A$2:$D$11,2)</f>
        <v>Laptop</v>
      </c>
      <c r="N453" t="str">
        <f>VLOOKUP(F453,Product_Master!$A$2:$C$11,3)</f>
        <v>Electronics</v>
      </c>
      <c r="O453">
        <f>VLOOKUP(F453,Product_Master!$A$2:$D$11,4,FALSE)</f>
        <v>45000</v>
      </c>
      <c r="P453">
        <f t="shared" si="70"/>
        <v>550000</v>
      </c>
      <c r="Q453">
        <f t="shared" si="71"/>
        <v>44000</v>
      </c>
      <c r="R453">
        <f t="shared" si="72"/>
        <v>506000</v>
      </c>
      <c r="S453">
        <f t="shared" si="73"/>
        <v>56000</v>
      </c>
      <c r="T453" t="str">
        <f>_xlfn.CONCAT(Sales_Data!C453,"-",Sales_Data!E453,"-",Sales_Data!A453)</f>
        <v>North-C1028-1452</v>
      </c>
      <c r="U453" t="str">
        <f t="shared" si="74"/>
        <v>High Value</v>
      </c>
      <c r="V453" t="str" cm="1">
        <f t="array" ref="V453">_xlfn.IFS(R453&gt;=100000,"Excellent",R453&gt;=50000,"Good",R453&gt;=20000,"Average",TRUE,"Poor")</f>
        <v>Excellent</v>
      </c>
      <c r="W453">
        <f t="shared" si="75"/>
        <v>3</v>
      </c>
      <c r="X453" t="str">
        <f t="shared" si="76"/>
        <v>July</v>
      </c>
      <c r="Y453">
        <f>HLOOKUP("Q"&amp;W453,Bonus_HLookup!$A$1:$E$2,2,FALSE)</f>
        <v>0.06</v>
      </c>
      <c r="Z453">
        <f t="shared" si="77"/>
        <v>57688.4</v>
      </c>
      <c r="AA453" s="1">
        <f t="shared" si="78"/>
        <v>13310.134842645935</v>
      </c>
      <c r="AB453">
        <f t="shared" si="79"/>
        <v>3</v>
      </c>
    </row>
    <row r="454" spans="1:28" x14ac:dyDescent="0.3">
      <c r="A454">
        <v>1453</v>
      </c>
      <c r="B454" t="s">
        <v>178</v>
      </c>
      <c r="C454" t="s">
        <v>13</v>
      </c>
      <c r="D454" t="s">
        <v>59</v>
      </c>
      <c r="E454" t="s">
        <v>38</v>
      </c>
      <c r="F454" t="s">
        <v>74</v>
      </c>
      <c r="G454">
        <v>10</v>
      </c>
      <c r="H454">
        <v>35000</v>
      </c>
      <c r="I454">
        <v>12</v>
      </c>
      <c r="J454">
        <v>405367</v>
      </c>
      <c r="K454">
        <v>7</v>
      </c>
      <c r="L454">
        <v>1</v>
      </c>
      <c r="M454" t="str">
        <f>VLOOKUP(Sales_Data!F454,Product_Master!$A$2:$D$11,2)</f>
        <v>Tablet</v>
      </c>
      <c r="N454" t="str">
        <f>VLOOKUP(F454,Product_Master!$A$2:$C$11,3)</f>
        <v>Electronics</v>
      </c>
      <c r="O454">
        <f>VLOOKUP(F454,Product_Master!$A$2:$D$11,4,FALSE)</f>
        <v>29000</v>
      </c>
      <c r="P454">
        <f t="shared" si="70"/>
        <v>350000</v>
      </c>
      <c r="Q454">
        <f t="shared" si="71"/>
        <v>42000</v>
      </c>
      <c r="R454">
        <f t="shared" si="72"/>
        <v>308000</v>
      </c>
      <c r="S454">
        <f t="shared" si="73"/>
        <v>18000</v>
      </c>
      <c r="T454" t="str">
        <f>_xlfn.CONCAT(Sales_Data!C454,"-",Sales_Data!E454,"-",Sales_Data!A454)</f>
        <v>West-C1009-1453</v>
      </c>
      <c r="U454" t="str">
        <f t="shared" si="74"/>
        <v>High Value</v>
      </c>
      <c r="V454" t="str" cm="1">
        <f t="array" ref="V454">_xlfn.IFS(R454&gt;=100000,"Excellent",R454&gt;=50000,"Good",R454&gt;=20000,"Average",TRUE,"Poor")</f>
        <v>Excellent</v>
      </c>
      <c r="W454">
        <f t="shared" si="75"/>
        <v>2</v>
      </c>
      <c r="X454" t="str">
        <f t="shared" si="76"/>
        <v>June</v>
      </c>
      <c r="Y454">
        <f>HLOOKUP("Q"&amp;W454,Bonus_HLookup!$A$1:$E$2,2,FALSE)</f>
        <v>0.04</v>
      </c>
      <c r="Z454">
        <f t="shared" si="77"/>
        <v>28375.69</v>
      </c>
      <c r="AA454" s="1">
        <f t="shared" si="78"/>
        <v>35075.087485563927</v>
      </c>
      <c r="AB454">
        <f t="shared" si="79"/>
        <v>52</v>
      </c>
    </row>
    <row r="455" spans="1:28" x14ac:dyDescent="0.3">
      <c r="A455">
        <v>1454</v>
      </c>
      <c r="B455" t="s">
        <v>350</v>
      </c>
      <c r="C455" t="s">
        <v>18</v>
      </c>
      <c r="D455" t="s">
        <v>19</v>
      </c>
      <c r="E455" t="s">
        <v>99</v>
      </c>
      <c r="F455" t="s">
        <v>74</v>
      </c>
      <c r="G455">
        <v>8</v>
      </c>
      <c r="H455">
        <v>35000</v>
      </c>
      <c r="I455">
        <v>8</v>
      </c>
      <c r="J455">
        <v>156178</v>
      </c>
      <c r="K455">
        <v>8</v>
      </c>
      <c r="L455">
        <v>2</v>
      </c>
      <c r="M455" t="str">
        <f>VLOOKUP(Sales_Data!F455,Product_Master!$A$2:$D$11,2)</f>
        <v>Tablet</v>
      </c>
      <c r="N455" t="str">
        <f>VLOOKUP(F455,Product_Master!$A$2:$C$11,3)</f>
        <v>Electronics</v>
      </c>
      <c r="O455">
        <f>VLOOKUP(F455,Product_Master!$A$2:$D$11,4,FALSE)</f>
        <v>29000</v>
      </c>
      <c r="P455">
        <f t="shared" si="70"/>
        <v>280000</v>
      </c>
      <c r="Q455">
        <f t="shared" si="71"/>
        <v>22400</v>
      </c>
      <c r="R455">
        <f t="shared" si="72"/>
        <v>257600</v>
      </c>
      <c r="S455">
        <f t="shared" si="73"/>
        <v>25600</v>
      </c>
      <c r="T455" t="str">
        <f>_xlfn.CONCAT(Sales_Data!C455,"-",Sales_Data!E455,"-",Sales_Data!A455)</f>
        <v>North-C1050-1454</v>
      </c>
      <c r="U455" t="str">
        <f t="shared" si="74"/>
        <v>High Value</v>
      </c>
      <c r="V455" t="str" cm="1">
        <f t="array" ref="V455">_xlfn.IFS(R455&gt;=100000,"Excellent",R455&gt;=50000,"Good",R455&gt;=20000,"Average",TRUE,"Poor")</f>
        <v>Excellent</v>
      </c>
      <c r="W455">
        <f t="shared" si="75"/>
        <v>4</v>
      </c>
      <c r="X455" t="str">
        <f t="shared" si="76"/>
        <v>November</v>
      </c>
      <c r="Y455">
        <f>HLOOKUP("Q"&amp;W455,Bonus_HLookup!$A$1:$E$2,2,FALSE)</f>
        <v>0.08</v>
      </c>
      <c r="Z455">
        <f t="shared" si="77"/>
        <v>24988.48</v>
      </c>
      <c r="AA455" s="1">
        <f t="shared" si="78"/>
        <v>7063.5079250439294</v>
      </c>
      <c r="AB455">
        <f t="shared" si="79"/>
        <v>72</v>
      </c>
    </row>
    <row r="456" spans="1:28" x14ac:dyDescent="0.3">
      <c r="A456">
        <v>1455</v>
      </c>
      <c r="B456" t="s">
        <v>103</v>
      </c>
      <c r="C456" t="s">
        <v>62</v>
      </c>
      <c r="D456" t="s">
        <v>50</v>
      </c>
      <c r="E456" t="s">
        <v>85</v>
      </c>
      <c r="F456" t="s">
        <v>25</v>
      </c>
      <c r="G456">
        <v>5</v>
      </c>
      <c r="H456">
        <v>1500</v>
      </c>
      <c r="I456">
        <v>12</v>
      </c>
      <c r="J456">
        <v>230524</v>
      </c>
      <c r="K456">
        <v>9</v>
      </c>
      <c r="L456">
        <v>1</v>
      </c>
      <c r="M456" t="str">
        <f>VLOOKUP(Sales_Data!F456,Product_Master!$A$2:$D$11,2)</f>
        <v>Keyboard</v>
      </c>
      <c r="N456" t="str">
        <f>VLOOKUP(F456,Product_Master!$A$2:$C$11,3)</f>
        <v>Accessories</v>
      </c>
      <c r="O456">
        <f>VLOOKUP(F456,Product_Master!$A$2:$D$11,4,FALSE)</f>
        <v>1200</v>
      </c>
      <c r="P456">
        <f t="shared" si="70"/>
        <v>7500</v>
      </c>
      <c r="Q456">
        <f t="shared" si="71"/>
        <v>900</v>
      </c>
      <c r="R456">
        <f t="shared" si="72"/>
        <v>6600</v>
      </c>
      <c r="S456">
        <f t="shared" si="73"/>
        <v>600</v>
      </c>
      <c r="T456" t="str">
        <f>_xlfn.CONCAT(Sales_Data!C456,"-",Sales_Data!E456,"-",Sales_Data!A456)</f>
        <v>East-C1005-1455</v>
      </c>
      <c r="U456" t="str">
        <f t="shared" si="74"/>
        <v>Regular</v>
      </c>
      <c r="V456" t="str" cm="1">
        <f t="array" ref="V456">_xlfn.IFS(R456&gt;=100000,"Excellent",R456&gt;=50000,"Good",R456&gt;=20000,"Average",TRUE,"Poor")</f>
        <v>Poor</v>
      </c>
      <c r="W456">
        <f t="shared" si="75"/>
        <v>3</v>
      </c>
      <c r="X456" t="str">
        <f t="shared" si="76"/>
        <v>September</v>
      </c>
      <c r="Y456">
        <f>HLOOKUP("Q"&amp;W456,Bonus_HLookup!$A$1:$E$2,2,FALSE)</f>
        <v>0.06</v>
      </c>
      <c r="Z456">
        <f t="shared" si="77"/>
        <v>20747.16</v>
      </c>
      <c r="AA456" s="1">
        <f t="shared" si="78"/>
        <v>20159.664230909366</v>
      </c>
      <c r="AB456">
        <f t="shared" si="79"/>
        <v>738</v>
      </c>
    </row>
    <row r="457" spans="1:28" x14ac:dyDescent="0.3">
      <c r="A457">
        <v>1456</v>
      </c>
      <c r="B457" t="s">
        <v>247</v>
      </c>
      <c r="C457" t="s">
        <v>62</v>
      </c>
      <c r="D457" t="s">
        <v>59</v>
      </c>
      <c r="E457" t="s">
        <v>51</v>
      </c>
      <c r="F457" t="s">
        <v>52</v>
      </c>
      <c r="G457">
        <v>4</v>
      </c>
      <c r="H457">
        <v>500</v>
      </c>
      <c r="I457">
        <v>12</v>
      </c>
      <c r="J457">
        <v>141041</v>
      </c>
      <c r="K457">
        <v>8</v>
      </c>
      <c r="L457">
        <v>5</v>
      </c>
      <c r="M457" t="str">
        <f>VLOOKUP(Sales_Data!F457,Product_Master!$A$2:$D$11,2)</f>
        <v>Mouse</v>
      </c>
      <c r="N457" t="str">
        <f>VLOOKUP(F457,Product_Master!$A$2:$C$11,3)</f>
        <v>Accessories</v>
      </c>
      <c r="O457">
        <f>VLOOKUP(F457,Product_Master!$A$2:$D$11,4,FALSE)</f>
        <v>350</v>
      </c>
      <c r="P457">
        <f t="shared" si="70"/>
        <v>2000</v>
      </c>
      <c r="Q457">
        <f t="shared" si="71"/>
        <v>240</v>
      </c>
      <c r="R457">
        <f t="shared" si="72"/>
        <v>1760</v>
      </c>
      <c r="S457">
        <f t="shared" si="73"/>
        <v>360</v>
      </c>
      <c r="T457" t="str">
        <f>_xlfn.CONCAT(Sales_Data!C457,"-",Sales_Data!E457,"-",Sales_Data!A457)</f>
        <v>East-C1002-1456</v>
      </c>
      <c r="U457" t="str">
        <f t="shared" si="74"/>
        <v>Regular</v>
      </c>
      <c r="V457" t="str" cm="1">
        <f t="array" ref="V457">_xlfn.IFS(R457&gt;=100000,"Excellent",R457&gt;=50000,"Good",R457&gt;=20000,"Average",TRUE,"Poor")</f>
        <v>Poor</v>
      </c>
      <c r="W457">
        <f t="shared" si="75"/>
        <v>1</v>
      </c>
      <c r="X457" t="str">
        <f t="shared" si="76"/>
        <v>March</v>
      </c>
      <c r="Y457">
        <f>HLOOKUP("Q"&amp;W457,Bonus_HLookup!$A$1:$E$2,2,FALSE)</f>
        <v>0.02</v>
      </c>
      <c r="Z457">
        <f t="shared" si="77"/>
        <v>56416.4</v>
      </c>
      <c r="AA457" s="1">
        <f t="shared" si="78"/>
        <v>2859.8029268321538</v>
      </c>
      <c r="AB457">
        <f t="shared" si="79"/>
        <v>944</v>
      </c>
    </row>
    <row r="458" spans="1:28" x14ac:dyDescent="0.3">
      <c r="A458">
        <v>1457</v>
      </c>
      <c r="B458" t="s">
        <v>334</v>
      </c>
      <c r="C458" t="s">
        <v>18</v>
      </c>
      <c r="D458" t="s">
        <v>46</v>
      </c>
      <c r="E458" t="s">
        <v>115</v>
      </c>
      <c r="F458" t="s">
        <v>36</v>
      </c>
      <c r="G458">
        <v>10</v>
      </c>
      <c r="H458">
        <v>55000</v>
      </c>
      <c r="I458">
        <v>15</v>
      </c>
      <c r="J458">
        <v>352122</v>
      </c>
      <c r="K458">
        <v>9</v>
      </c>
      <c r="L458">
        <v>2</v>
      </c>
      <c r="M458" t="str">
        <f>VLOOKUP(Sales_Data!F458,Product_Master!$A$2:$D$11,2)</f>
        <v>Laptop</v>
      </c>
      <c r="N458" t="str">
        <f>VLOOKUP(F458,Product_Master!$A$2:$C$11,3)</f>
        <v>Electronics</v>
      </c>
      <c r="O458">
        <f>VLOOKUP(F458,Product_Master!$A$2:$D$11,4,FALSE)</f>
        <v>45000</v>
      </c>
      <c r="P458">
        <f t="shared" si="70"/>
        <v>550000</v>
      </c>
      <c r="Q458">
        <f t="shared" si="71"/>
        <v>82500</v>
      </c>
      <c r="R458">
        <f t="shared" si="72"/>
        <v>467500</v>
      </c>
      <c r="S458">
        <f t="shared" si="73"/>
        <v>17500</v>
      </c>
      <c r="T458" t="str">
        <f>_xlfn.CONCAT(Sales_Data!C458,"-",Sales_Data!E458,"-",Sales_Data!A458)</f>
        <v>North-C1026-1457</v>
      </c>
      <c r="U458" t="str">
        <f t="shared" si="74"/>
        <v>High Value</v>
      </c>
      <c r="V458" t="str" cm="1">
        <f t="array" ref="V458">_xlfn.IFS(R458&gt;=100000,"Excellent",R458&gt;=50000,"Good",R458&gt;=20000,"Average",TRUE,"Poor")</f>
        <v>Excellent</v>
      </c>
      <c r="W458">
        <f t="shared" si="75"/>
        <v>3</v>
      </c>
      <c r="X458" t="str">
        <f t="shared" si="76"/>
        <v>July</v>
      </c>
      <c r="Y458">
        <f>HLOOKUP("Q"&amp;W458,Bonus_HLookup!$A$1:$E$2,2,FALSE)</f>
        <v>0.06</v>
      </c>
      <c r="Z458">
        <f t="shared" si="77"/>
        <v>63381.96</v>
      </c>
      <c r="AA458" s="1">
        <f t="shared" si="78"/>
        <v>16086.602820826987</v>
      </c>
      <c r="AB458">
        <f t="shared" si="79"/>
        <v>13</v>
      </c>
    </row>
    <row r="459" spans="1:28" x14ac:dyDescent="0.3">
      <c r="A459">
        <v>1458</v>
      </c>
      <c r="B459" t="s">
        <v>223</v>
      </c>
      <c r="C459" t="s">
        <v>30</v>
      </c>
      <c r="D459" t="s">
        <v>91</v>
      </c>
      <c r="E459" t="s">
        <v>128</v>
      </c>
      <c r="F459" t="s">
        <v>52</v>
      </c>
      <c r="G459">
        <v>2</v>
      </c>
      <c r="H459">
        <v>500</v>
      </c>
      <c r="I459">
        <v>8</v>
      </c>
      <c r="J459">
        <v>353466</v>
      </c>
      <c r="K459">
        <v>12</v>
      </c>
      <c r="L459">
        <v>1</v>
      </c>
      <c r="M459" t="str">
        <f>VLOOKUP(Sales_Data!F459,Product_Master!$A$2:$D$11,2)</f>
        <v>Mouse</v>
      </c>
      <c r="N459" t="str">
        <f>VLOOKUP(F459,Product_Master!$A$2:$C$11,3)</f>
        <v>Accessories</v>
      </c>
      <c r="O459">
        <f>VLOOKUP(F459,Product_Master!$A$2:$D$11,4,FALSE)</f>
        <v>350</v>
      </c>
      <c r="P459">
        <f t="shared" si="70"/>
        <v>1000</v>
      </c>
      <c r="Q459">
        <f t="shared" si="71"/>
        <v>80</v>
      </c>
      <c r="R459">
        <f t="shared" si="72"/>
        <v>920</v>
      </c>
      <c r="S459">
        <f t="shared" si="73"/>
        <v>220</v>
      </c>
      <c r="T459" t="str">
        <f>_xlfn.CONCAT(Sales_Data!C459,"-",Sales_Data!E459,"-",Sales_Data!A459)</f>
        <v>South-C1013-1458</v>
      </c>
      <c r="U459" t="str">
        <f t="shared" si="74"/>
        <v>Regular</v>
      </c>
      <c r="V459" t="str" cm="1">
        <f t="array" ref="V459">_xlfn.IFS(R459&gt;=100000,"Excellent",R459&gt;=50000,"Good",R459&gt;=20000,"Average",TRUE,"Poor")</f>
        <v>Poor</v>
      </c>
      <c r="W459">
        <f t="shared" si="75"/>
        <v>2</v>
      </c>
      <c r="X459" t="str">
        <f t="shared" si="76"/>
        <v>April</v>
      </c>
      <c r="Y459">
        <f>HLOOKUP("Q"&amp;W459,Bonus_HLookup!$A$1:$E$2,2,FALSE)</f>
        <v>0.04</v>
      </c>
      <c r="Z459">
        <f t="shared" si="77"/>
        <v>42415.92</v>
      </c>
      <c r="AA459" s="1">
        <f t="shared" si="78"/>
        <v>31405.025938978721</v>
      </c>
      <c r="AB459">
        <f t="shared" si="79"/>
        <v>971</v>
      </c>
    </row>
    <row r="460" spans="1:28" x14ac:dyDescent="0.3">
      <c r="A460">
        <v>1459</v>
      </c>
      <c r="B460" t="s">
        <v>123</v>
      </c>
      <c r="C460" t="s">
        <v>13</v>
      </c>
      <c r="D460" t="s">
        <v>91</v>
      </c>
      <c r="E460" t="s">
        <v>51</v>
      </c>
      <c r="F460" t="s">
        <v>28</v>
      </c>
      <c r="G460">
        <v>8</v>
      </c>
      <c r="H460">
        <v>950</v>
      </c>
      <c r="I460">
        <v>15</v>
      </c>
      <c r="J460">
        <v>408316</v>
      </c>
      <c r="K460">
        <v>8</v>
      </c>
      <c r="L460">
        <v>2</v>
      </c>
      <c r="M460" t="str">
        <f>VLOOKUP(Sales_Data!F460,Product_Master!$A$2:$D$11,2)</f>
        <v>Webcam</v>
      </c>
      <c r="N460" t="str">
        <f>VLOOKUP(F460,Product_Master!$A$2:$C$11,3)</f>
        <v>Accessories</v>
      </c>
      <c r="O460">
        <f>VLOOKUP(F460,Product_Master!$A$2:$D$11,4,FALSE)</f>
        <v>700</v>
      </c>
      <c r="P460">
        <f t="shared" si="70"/>
        <v>7600</v>
      </c>
      <c r="Q460">
        <f t="shared" si="71"/>
        <v>1140</v>
      </c>
      <c r="R460">
        <f t="shared" si="72"/>
        <v>6460</v>
      </c>
      <c r="S460">
        <f t="shared" si="73"/>
        <v>860</v>
      </c>
      <c r="T460" t="str">
        <f>_xlfn.CONCAT(Sales_Data!C460,"-",Sales_Data!E460,"-",Sales_Data!A460)</f>
        <v>West-C1002-1459</v>
      </c>
      <c r="U460" t="str">
        <f t="shared" si="74"/>
        <v>Regular</v>
      </c>
      <c r="V460" t="str" cm="1">
        <f t="array" ref="V460">_xlfn.IFS(R460&gt;=100000,"Excellent",R460&gt;=50000,"Good",R460&gt;=20000,"Average",TRUE,"Poor")</f>
        <v>Poor</v>
      </c>
      <c r="W460">
        <f t="shared" si="75"/>
        <v>1</v>
      </c>
      <c r="X460" t="str">
        <f t="shared" si="76"/>
        <v>February</v>
      </c>
      <c r="Y460">
        <f>HLOOKUP("Q"&amp;W460,Bonus_HLookup!$A$1:$E$2,2,FALSE)</f>
        <v>0.02</v>
      </c>
      <c r="Z460">
        <f t="shared" si="77"/>
        <v>65330.559999999998</v>
      </c>
      <c r="AA460" s="1">
        <f t="shared" si="78"/>
        <v>18467.026738223289</v>
      </c>
      <c r="AB460">
        <f t="shared" si="79"/>
        <v>745</v>
      </c>
    </row>
    <row r="461" spans="1:28" x14ac:dyDescent="0.3">
      <c r="A461">
        <v>1460</v>
      </c>
      <c r="B461" t="s">
        <v>293</v>
      </c>
      <c r="C461" t="s">
        <v>62</v>
      </c>
      <c r="D461" t="s">
        <v>23</v>
      </c>
      <c r="E461" t="s">
        <v>68</v>
      </c>
      <c r="F461" t="s">
        <v>16</v>
      </c>
      <c r="G461">
        <v>3</v>
      </c>
      <c r="H461">
        <v>2500</v>
      </c>
      <c r="I461">
        <v>8</v>
      </c>
      <c r="J461">
        <v>349440</v>
      </c>
      <c r="K461">
        <v>11</v>
      </c>
      <c r="L461">
        <v>4</v>
      </c>
      <c r="M461" t="str">
        <f>VLOOKUP(Sales_Data!F461,Product_Master!$A$2:$D$11,2)</f>
        <v>Speaker</v>
      </c>
      <c r="N461" t="str">
        <f>VLOOKUP(F461,Product_Master!$A$2:$C$11,3)</f>
        <v>Accessories</v>
      </c>
      <c r="O461">
        <f>VLOOKUP(F461,Product_Master!$A$2:$D$11,4,FALSE)</f>
        <v>1800</v>
      </c>
      <c r="P461">
        <f t="shared" si="70"/>
        <v>7500</v>
      </c>
      <c r="Q461">
        <f t="shared" si="71"/>
        <v>600</v>
      </c>
      <c r="R461">
        <f t="shared" si="72"/>
        <v>6900</v>
      </c>
      <c r="S461">
        <f t="shared" si="73"/>
        <v>1500</v>
      </c>
      <c r="T461" t="str">
        <f>_xlfn.CONCAT(Sales_Data!C461,"-",Sales_Data!E461,"-",Sales_Data!A461)</f>
        <v>East-C1043-1460</v>
      </c>
      <c r="U461" t="str">
        <f t="shared" si="74"/>
        <v>Regular</v>
      </c>
      <c r="V461" t="str" cm="1">
        <f t="array" ref="V461">_xlfn.IFS(R461&gt;=100000,"Excellent",R461&gt;=50000,"Good",R461&gt;=20000,"Average",TRUE,"Poor")</f>
        <v>Poor</v>
      </c>
      <c r="W461">
        <f t="shared" si="75"/>
        <v>4</v>
      </c>
      <c r="X461" t="str">
        <f t="shared" si="76"/>
        <v>December</v>
      </c>
      <c r="Y461">
        <f>HLOOKUP("Q"&amp;W461,Bonus_HLookup!$A$1:$E$2,2,FALSE)</f>
        <v>0.08</v>
      </c>
      <c r="Z461">
        <f t="shared" si="77"/>
        <v>153753.60000000001</v>
      </c>
      <c r="AA461" s="1">
        <f t="shared" si="78"/>
        <v>9031.4594213460714</v>
      </c>
      <c r="AB461">
        <f t="shared" si="79"/>
        <v>724</v>
      </c>
    </row>
    <row r="462" spans="1:28" x14ac:dyDescent="0.3">
      <c r="A462">
        <v>1461</v>
      </c>
      <c r="B462" t="s">
        <v>351</v>
      </c>
      <c r="C462" t="s">
        <v>18</v>
      </c>
      <c r="D462" t="s">
        <v>19</v>
      </c>
      <c r="E462" t="s">
        <v>57</v>
      </c>
      <c r="F462" t="s">
        <v>16</v>
      </c>
      <c r="G462">
        <v>6</v>
      </c>
      <c r="H462">
        <v>2500</v>
      </c>
      <c r="I462">
        <v>12</v>
      </c>
      <c r="J462">
        <v>196480</v>
      </c>
      <c r="K462">
        <v>8</v>
      </c>
      <c r="L462">
        <v>1</v>
      </c>
      <c r="M462" t="str">
        <f>VLOOKUP(Sales_Data!F462,Product_Master!$A$2:$D$11,2)</f>
        <v>Speaker</v>
      </c>
      <c r="N462" t="str">
        <f>VLOOKUP(F462,Product_Master!$A$2:$C$11,3)</f>
        <v>Accessories</v>
      </c>
      <c r="O462">
        <f>VLOOKUP(F462,Product_Master!$A$2:$D$11,4,FALSE)</f>
        <v>1800</v>
      </c>
      <c r="P462">
        <f t="shared" si="70"/>
        <v>15000</v>
      </c>
      <c r="Q462">
        <f t="shared" si="71"/>
        <v>1800</v>
      </c>
      <c r="R462">
        <f t="shared" si="72"/>
        <v>13200</v>
      </c>
      <c r="S462">
        <f t="shared" si="73"/>
        <v>2400</v>
      </c>
      <c r="T462" t="str">
        <f>_xlfn.CONCAT(Sales_Data!C462,"-",Sales_Data!E462,"-",Sales_Data!A462)</f>
        <v>North-C1012-1461</v>
      </c>
      <c r="U462" t="str">
        <f t="shared" si="74"/>
        <v>Regular</v>
      </c>
      <c r="V462" t="str" cm="1">
        <f t="array" ref="V462">_xlfn.IFS(R462&gt;=100000,"Excellent",R462&gt;=50000,"Good",R462&gt;=20000,"Average",TRUE,"Poor")</f>
        <v>Poor</v>
      </c>
      <c r="W462">
        <f t="shared" si="75"/>
        <v>3</v>
      </c>
      <c r="X462" t="str">
        <f t="shared" si="76"/>
        <v>July</v>
      </c>
      <c r="Y462">
        <f>HLOOKUP("Q"&amp;W462,Bonus_HLookup!$A$1:$E$2,2,FALSE)</f>
        <v>0.06</v>
      </c>
      <c r="Z462">
        <f t="shared" si="77"/>
        <v>15718.4</v>
      </c>
      <c r="AA462" s="1">
        <f t="shared" si="78"/>
        <v>17091.486546703531</v>
      </c>
      <c r="AB462">
        <f t="shared" si="79"/>
        <v>564</v>
      </c>
    </row>
    <row r="463" spans="1:28" x14ac:dyDescent="0.3">
      <c r="A463">
        <v>1462</v>
      </c>
      <c r="B463" t="s">
        <v>110</v>
      </c>
      <c r="C463" t="s">
        <v>18</v>
      </c>
      <c r="D463" t="s">
        <v>50</v>
      </c>
      <c r="E463" t="s">
        <v>24</v>
      </c>
      <c r="F463" t="s">
        <v>16</v>
      </c>
      <c r="G463">
        <v>8</v>
      </c>
      <c r="H463">
        <v>2500</v>
      </c>
      <c r="I463">
        <v>0</v>
      </c>
      <c r="J463">
        <v>479387</v>
      </c>
      <c r="K463">
        <v>10</v>
      </c>
      <c r="L463">
        <v>1</v>
      </c>
      <c r="M463" t="str">
        <f>VLOOKUP(Sales_Data!F463,Product_Master!$A$2:$D$11,2)</f>
        <v>Speaker</v>
      </c>
      <c r="N463" t="str">
        <f>VLOOKUP(F463,Product_Master!$A$2:$C$11,3)</f>
        <v>Accessories</v>
      </c>
      <c r="O463">
        <f>VLOOKUP(F463,Product_Master!$A$2:$D$11,4,FALSE)</f>
        <v>1800</v>
      </c>
      <c r="P463">
        <f t="shared" si="70"/>
        <v>20000</v>
      </c>
      <c r="Q463">
        <f t="shared" si="71"/>
        <v>0</v>
      </c>
      <c r="R463">
        <f t="shared" si="72"/>
        <v>20000</v>
      </c>
      <c r="S463">
        <f t="shared" si="73"/>
        <v>5600</v>
      </c>
      <c r="T463" t="str">
        <f>_xlfn.CONCAT(Sales_Data!C463,"-",Sales_Data!E463,"-",Sales_Data!A463)</f>
        <v>North-C1029-1462</v>
      </c>
      <c r="U463" t="str">
        <f t="shared" si="74"/>
        <v>Regular</v>
      </c>
      <c r="V463" t="str" cm="1">
        <f t="array" ref="V463">_xlfn.IFS(R463&gt;=100000,"Excellent",R463&gt;=50000,"Good",R463&gt;=20000,"Average",TRUE,"Poor")</f>
        <v>Average</v>
      </c>
      <c r="W463">
        <f t="shared" si="75"/>
        <v>2</v>
      </c>
      <c r="X463" t="str">
        <f t="shared" si="76"/>
        <v>June</v>
      </c>
      <c r="Y463">
        <f>HLOOKUP("Q"&amp;W463,Bonus_HLookup!$A$1:$E$2,2,FALSE)</f>
        <v>0.04</v>
      </c>
      <c r="Z463">
        <f t="shared" si="77"/>
        <v>47938.7</v>
      </c>
      <c r="AA463" s="1">
        <f t="shared" si="78"/>
        <v>42145.733431532608</v>
      </c>
      <c r="AB463">
        <f t="shared" si="79"/>
        <v>453</v>
      </c>
    </row>
    <row r="464" spans="1:28" x14ac:dyDescent="0.3">
      <c r="A464">
        <v>1463</v>
      </c>
      <c r="B464" t="s">
        <v>168</v>
      </c>
      <c r="C464" t="s">
        <v>62</v>
      </c>
      <c r="D464" t="s">
        <v>59</v>
      </c>
      <c r="E464" t="s">
        <v>172</v>
      </c>
      <c r="F464" t="s">
        <v>42</v>
      </c>
      <c r="G464">
        <v>7</v>
      </c>
      <c r="H464">
        <v>8000</v>
      </c>
      <c r="I464">
        <v>12</v>
      </c>
      <c r="J464">
        <v>358069</v>
      </c>
      <c r="K464">
        <v>8</v>
      </c>
      <c r="L464">
        <v>4</v>
      </c>
      <c r="M464" t="str">
        <f>VLOOKUP(Sales_Data!F464,Product_Master!$A$2:$D$11,2)</f>
        <v>Printer</v>
      </c>
      <c r="N464" t="str">
        <f>VLOOKUP(F464,Product_Master!$A$2:$C$11,3)</f>
        <v>Electronics</v>
      </c>
      <c r="O464">
        <f>VLOOKUP(F464,Product_Master!$A$2:$D$11,4,FALSE)</f>
        <v>6500</v>
      </c>
      <c r="P464">
        <f t="shared" si="70"/>
        <v>56000</v>
      </c>
      <c r="Q464">
        <f t="shared" si="71"/>
        <v>6720</v>
      </c>
      <c r="R464">
        <f t="shared" si="72"/>
        <v>49280</v>
      </c>
      <c r="S464">
        <f t="shared" si="73"/>
        <v>3780</v>
      </c>
      <c r="T464" t="str">
        <f>_xlfn.CONCAT(Sales_Data!C464,"-",Sales_Data!E464,"-",Sales_Data!A464)</f>
        <v>East-C1033-1463</v>
      </c>
      <c r="U464" t="str">
        <f t="shared" si="74"/>
        <v>Regular</v>
      </c>
      <c r="V464" t="str" cm="1">
        <f t="array" ref="V464">_xlfn.IFS(R464&gt;=100000,"Excellent",R464&gt;=50000,"Good",R464&gt;=20000,"Average",TRUE,"Poor")</f>
        <v>Average</v>
      </c>
      <c r="W464">
        <f t="shared" si="75"/>
        <v>2</v>
      </c>
      <c r="X464" t="str">
        <f t="shared" si="76"/>
        <v>June</v>
      </c>
      <c r="Y464">
        <f>HLOOKUP("Q"&amp;W464,Bonus_HLookup!$A$1:$E$2,2,FALSE)</f>
        <v>0.04</v>
      </c>
      <c r="Z464">
        <f t="shared" si="77"/>
        <v>114582.08</v>
      </c>
      <c r="AA464" s="1">
        <f t="shared" si="78"/>
        <v>8741.5106898994527</v>
      </c>
      <c r="AB464">
        <f t="shared" si="79"/>
        <v>297</v>
      </c>
    </row>
    <row r="465" spans="1:28" x14ac:dyDescent="0.3">
      <c r="A465">
        <v>1464</v>
      </c>
      <c r="B465" t="s">
        <v>130</v>
      </c>
      <c r="C465" t="s">
        <v>30</v>
      </c>
      <c r="D465" t="s">
        <v>23</v>
      </c>
      <c r="E465" t="s">
        <v>15</v>
      </c>
      <c r="F465" t="s">
        <v>21</v>
      </c>
      <c r="G465">
        <v>4</v>
      </c>
      <c r="H465">
        <v>12000</v>
      </c>
      <c r="I465">
        <v>10</v>
      </c>
      <c r="J465">
        <v>343377</v>
      </c>
      <c r="K465">
        <v>7</v>
      </c>
      <c r="L465">
        <v>4</v>
      </c>
      <c r="M465" t="str">
        <f>VLOOKUP(Sales_Data!F465,Product_Master!$A$2:$D$11,2)</f>
        <v>Monitor</v>
      </c>
      <c r="N465" t="str">
        <f>VLOOKUP(F465,Product_Master!$A$2:$C$11,3)</f>
        <v>Electronics</v>
      </c>
      <c r="O465">
        <f>VLOOKUP(F465,Product_Master!$A$2:$D$11,4,FALSE)</f>
        <v>9000</v>
      </c>
      <c r="P465">
        <f t="shared" si="70"/>
        <v>48000</v>
      </c>
      <c r="Q465">
        <f t="shared" si="71"/>
        <v>4800</v>
      </c>
      <c r="R465">
        <f t="shared" si="72"/>
        <v>43200</v>
      </c>
      <c r="S465">
        <f t="shared" si="73"/>
        <v>7200</v>
      </c>
      <c r="T465" t="str">
        <f>_xlfn.CONCAT(Sales_Data!C465,"-",Sales_Data!E465,"-",Sales_Data!A465)</f>
        <v>South-C1016-1464</v>
      </c>
      <c r="U465" t="str">
        <f t="shared" si="74"/>
        <v>Regular</v>
      </c>
      <c r="V465" t="str" cm="1">
        <f t="array" ref="V465">_xlfn.IFS(R465&gt;=100000,"Excellent",R465&gt;=50000,"Good",R465&gt;=20000,"Average",TRUE,"Poor")</f>
        <v>Average</v>
      </c>
      <c r="W465">
        <f t="shared" si="75"/>
        <v>3</v>
      </c>
      <c r="X465" t="str">
        <f t="shared" si="76"/>
        <v>July</v>
      </c>
      <c r="Y465">
        <f>HLOOKUP("Q"&amp;W465,Bonus_HLookup!$A$1:$E$2,2,FALSE)</f>
        <v>0.06</v>
      </c>
      <c r="Z465">
        <f t="shared" si="77"/>
        <v>96145.56</v>
      </c>
      <c r="AA465" s="1">
        <f t="shared" si="78"/>
        <v>8222.5896534556578</v>
      </c>
      <c r="AB465">
        <f t="shared" si="79"/>
        <v>323</v>
      </c>
    </row>
    <row r="466" spans="1:28" x14ac:dyDescent="0.3">
      <c r="A466">
        <v>1465</v>
      </c>
      <c r="B466" t="s">
        <v>352</v>
      </c>
      <c r="C466" t="s">
        <v>18</v>
      </c>
      <c r="D466" t="s">
        <v>50</v>
      </c>
      <c r="E466" t="s">
        <v>133</v>
      </c>
      <c r="F466" t="s">
        <v>28</v>
      </c>
      <c r="G466">
        <v>1</v>
      </c>
      <c r="H466">
        <v>950</v>
      </c>
      <c r="I466">
        <v>12</v>
      </c>
      <c r="J466">
        <v>256250</v>
      </c>
      <c r="K466">
        <v>10</v>
      </c>
      <c r="L466">
        <v>3</v>
      </c>
      <c r="M466" t="str">
        <f>VLOOKUP(Sales_Data!F466,Product_Master!$A$2:$D$11,2)</f>
        <v>Webcam</v>
      </c>
      <c r="N466" t="str">
        <f>VLOOKUP(F466,Product_Master!$A$2:$C$11,3)</f>
        <v>Accessories</v>
      </c>
      <c r="O466">
        <f>VLOOKUP(F466,Product_Master!$A$2:$D$11,4,FALSE)</f>
        <v>700</v>
      </c>
      <c r="P466">
        <f t="shared" si="70"/>
        <v>950</v>
      </c>
      <c r="Q466">
        <f t="shared" si="71"/>
        <v>114</v>
      </c>
      <c r="R466">
        <f t="shared" si="72"/>
        <v>836</v>
      </c>
      <c r="S466">
        <f t="shared" si="73"/>
        <v>136</v>
      </c>
      <c r="T466" t="str">
        <f>_xlfn.CONCAT(Sales_Data!C466,"-",Sales_Data!E466,"-",Sales_Data!A466)</f>
        <v>North-C1021-1465</v>
      </c>
      <c r="U466" t="str">
        <f t="shared" si="74"/>
        <v>Regular</v>
      </c>
      <c r="V466" t="str" cm="1">
        <f t="array" ref="V466">_xlfn.IFS(R466&gt;=100000,"Excellent",R466&gt;=50000,"Good",R466&gt;=20000,"Average",TRUE,"Poor")</f>
        <v>Poor</v>
      </c>
      <c r="W466">
        <f t="shared" si="75"/>
        <v>4</v>
      </c>
      <c r="X466" t="str">
        <f t="shared" si="76"/>
        <v>October</v>
      </c>
      <c r="Y466">
        <f>HLOOKUP("Q"&amp;W466,Bonus_HLookup!$A$1:$E$2,2,FALSE)</f>
        <v>0.08</v>
      </c>
      <c r="Z466">
        <f t="shared" si="77"/>
        <v>76875</v>
      </c>
      <c r="AA466" s="1">
        <f t="shared" si="78"/>
        <v>8268.4667184208556</v>
      </c>
      <c r="AB466">
        <f t="shared" si="79"/>
        <v>989</v>
      </c>
    </row>
    <row r="467" spans="1:28" x14ac:dyDescent="0.3">
      <c r="A467">
        <v>1466</v>
      </c>
      <c r="B467" t="s">
        <v>56</v>
      </c>
      <c r="C467" t="s">
        <v>62</v>
      </c>
      <c r="D467" t="s">
        <v>23</v>
      </c>
      <c r="E467" t="s">
        <v>99</v>
      </c>
      <c r="F467" t="s">
        <v>42</v>
      </c>
      <c r="G467">
        <v>9</v>
      </c>
      <c r="H467">
        <v>8000</v>
      </c>
      <c r="I467">
        <v>5</v>
      </c>
      <c r="J467">
        <v>326445</v>
      </c>
      <c r="K467">
        <v>11</v>
      </c>
      <c r="L467">
        <v>2</v>
      </c>
      <c r="M467" t="str">
        <f>VLOOKUP(Sales_Data!F467,Product_Master!$A$2:$D$11,2)</f>
        <v>Printer</v>
      </c>
      <c r="N467" t="str">
        <f>VLOOKUP(F467,Product_Master!$A$2:$C$11,3)</f>
        <v>Electronics</v>
      </c>
      <c r="O467">
        <f>VLOOKUP(F467,Product_Master!$A$2:$D$11,4,FALSE)</f>
        <v>6500</v>
      </c>
      <c r="P467">
        <f t="shared" si="70"/>
        <v>72000</v>
      </c>
      <c r="Q467">
        <f t="shared" si="71"/>
        <v>3600</v>
      </c>
      <c r="R467">
        <f t="shared" si="72"/>
        <v>68400</v>
      </c>
      <c r="S467">
        <f t="shared" si="73"/>
        <v>9900</v>
      </c>
      <c r="T467" t="str">
        <f>_xlfn.CONCAT(Sales_Data!C467,"-",Sales_Data!E467,"-",Sales_Data!A467)</f>
        <v>East-C1050-1466</v>
      </c>
      <c r="U467" t="str">
        <f t="shared" si="74"/>
        <v>High Value</v>
      </c>
      <c r="V467" t="str" cm="1">
        <f t="array" ref="V467">_xlfn.IFS(R467&gt;=100000,"Excellent",R467&gt;=50000,"Good",R467&gt;=20000,"Average",TRUE,"Poor")</f>
        <v>Good</v>
      </c>
      <c r="W467">
        <f t="shared" si="75"/>
        <v>4</v>
      </c>
      <c r="X467" t="str">
        <f t="shared" si="76"/>
        <v>November</v>
      </c>
      <c r="Y467">
        <f>HLOOKUP("Q"&amp;W467,Bonus_HLookup!$A$1:$E$2,2,FALSE)</f>
        <v>0.08</v>
      </c>
      <c r="Z467">
        <f t="shared" si="77"/>
        <v>71817.899999999994</v>
      </c>
      <c r="AA467" s="1">
        <f t="shared" si="78"/>
        <v>15214.895740064623</v>
      </c>
      <c r="AB467">
        <f t="shared" si="79"/>
        <v>224</v>
      </c>
    </row>
    <row r="468" spans="1:28" x14ac:dyDescent="0.3">
      <c r="A468">
        <v>1467</v>
      </c>
      <c r="B468" t="s">
        <v>353</v>
      </c>
      <c r="C468" t="s">
        <v>62</v>
      </c>
      <c r="D468" t="s">
        <v>59</v>
      </c>
      <c r="E468" t="s">
        <v>122</v>
      </c>
      <c r="F468" t="s">
        <v>16</v>
      </c>
      <c r="G468">
        <v>1</v>
      </c>
      <c r="H468">
        <v>2500</v>
      </c>
      <c r="I468">
        <v>8</v>
      </c>
      <c r="J468">
        <v>439921</v>
      </c>
      <c r="K468">
        <v>8</v>
      </c>
      <c r="L468">
        <v>4</v>
      </c>
      <c r="M468" t="str">
        <f>VLOOKUP(Sales_Data!F468,Product_Master!$A$2:$D$11,2)</f>
        <v>Speaker</v>
      </c>
      <c r="N468" t="str">
        <f>VLOOKUP(F468,Product_Master!$A$2:$C$11,3)</f>
        <v>Accessories</v>
      </c>
      <c r="O468">
        <f>VLOOKUP(F468,Product_Master!$A$2:$D$11,4,FALSE)</f>
        <v>1800</v>
      </c>
      <c r="P468">
        <f t="shared" si="70"/>
        <v>2500</v>
      </c>
      <c r="Q468">
        <f t="shared" si="71"/>
        <v>200</v>
      </c>
      <c r="R468">
        <f t="shared" si="72"/>
        <v>2300</v>
      </c>
      <c r="S468">
        <f t="shared" si="73"/>
        <v>500</v>
      </c>
      <c r="T468" t="str">
        <f>_xlfn.CONCAT(Sales_Data!C468,"-",Sales_Data!E468,"-",Sales_Data!A468)</f>
        <v>East-C1046-1467</v>
      </c>
      <c r="U468" t="str">
        <f t="shared" si="74"/>
        <v>Regular</v>
      </c>
      <c r="V468" t="str" cm="1">
        <f t="array" ref="V468">_xlfn.IFS(R468&gt;=100000,"Excellent",R468&gt;=50000,"Good",R468&gt;=20000,"Average",TRUE,"Poor")</f>
        <v>Poor</v>
      </c>
      <c r="W468">
        <f t="shared" si="75"/>
        <v>1</v>
      </c>
      <c r="X468" t="str">
        <f t="shared" si="76"/>
        <v>January</v>
      </c>
      <c r="Y468">
        <f>HLOOKUP("Q"&amp;W468,Bonus_HLookup!$A$1:$E$2,2,FALSE)</f>
        <v>0.02</v>
      </c>
      <c r="Z468">
        <f t="shared" si="77"/>
        <v>140774.72</v>
      </c>
      <c r="AA468" s="1">
        <f t="shared" si="78"/>
        <v>10739.757209396115</v>
      </c>
      <c r="AB468">
        <f t="shared" si="79"/>
        <v>917</v>
      </c>
    </row>
    <row r="469" spans="1:28" x14ac:dyDescent="0.3">
      <c r="A469">
        <v>1468</v>
      </c>
      <c r="B469" t="s">
        <v>256</v>
      </c>
      <c r="C469" t="s">
        <v>18</v>
      </c>
      <c r="D469" t="s">
        <v>23</v>
      </c>
      <c r="E469" t="s">
        <v>106</v>
      </c>
      <c r="F469" t="s">
        <v>52</v>
      </c>
      <c r="G469">
        <v>1</v>
      </c>
      <c r="H469">
        <v>500</v>
      </c>
      <c r="I469">
        <v>15</v>
      </c>
      <c r="J469">
        <v>341763</v>
      </c>
      <c r="K469">
        <v>7</v>
      </c>
      <c r="L469">
        <v>5</v>
      </c>
      <c r="M469" t="str">
        <f>VLOOKUP(Sales_Data!F469,Product_Master!$A$2:$D$11,2)</f>
        <v>Mouse</v>
      </c>
      <c r="N469" t="str">
        <f>VLOOKUP(F469,Product_Master!$A$2:$C$11,3)</f>
        <v>Accessories</v>
      </c>
      <c r="O469">
        <f>VLOOKUP(F469,Product_Master!$A$2:$D$11,4,FALSE)</f>
        <v>350</v>
      </c>
      <c r="P469">
        <f t="shared" si="70"/>
        <v>500</v>
      </c>
      <c r="Q469">
        <f t="shared" si="71"/>
        <v>75</v>
      </c>
      <c r="R469">
        <f t="shared" si="72"/>
        <v>425</v>
      </c>
      <c r="S469">
        <f t="shared" si="73"/>
        <v>75</v>
      </c>
      <c r="T469" t="str">
        <f>_xlfn.CONCAT(Sales_Data!C469,"-",Sales_Data!E469,"-",Sales_Data!A469)</f>
        <v>North-C1004-1468</v>
      </c>
      <c r="U469" t="str">
        <f t="shared" si="74"/>
        <v>Regular</v>
      </c>
      <c r="V469" t="str" cm="1">
        <f t="array" ref="V469">_xlfn.IFS(R469&gt;=100000,"Excellent",R469&gt;=50000,"Good",R469&gt;=20000,"Average",TRUE,"Poor")</f>
        <v>Poor</v>
      </c>
      <c r="W469">
        <f t="shared" si="75"/>
        <v>2</v>
      </c>
      <c r="X469" t="str">
        <f t="shared" si="76"/>
        <v>June</v>
      </c>
      <c r="Y469">
        <f>HLOOKUP("Q"&amp;W469,Bonus_HLookup!$A$1:$E$2,2,FALSE)</f>
        <v>0.04</v>
      </c>
      <c r="Z469">
        <f t="shared" si="77"/>
        <v>119617.05</v>
      </c>
      <c r="AA469" s="1">
        <f t="shared" si="78"/>
        <v>6767.3170167454791</v>
      </c>
      <c r="AB469">
        <f t="shared" si="79"/>
        <v>999</v>
      </c>
    </row>
    <row r="470" spans="1:28" x14ac:dyDescent="0.3">
      <c r="A470">
        <v>1469</v>
      </c>
      <c r="B470" t="s">
        <v>148</v>
      </c>
      <c r="C470" t="s">
        <v>18</v>
      </c>
      <c r="D470" t="s">
        <v>23</v>
      </c>
      <c r="E470" t="s">
        <v>160</v>
      </c>
      <c r="F470" t="s">
        <v>28</v>
      </c>
      <c r="G470">
        <v>1</v>
      </c>
      <c r="H470">
        <v>950</v>
      </c>
      <c r="I470">
        <v>5</v>
      </c>
      <c r="J470">
        <v>218294</v>
      </c>
      <c r="K470">
        <v>7</v>
      </c>
      <c r="L470">
        <v>1</v>
      </c>
      <c r="M470" t="str">
        <f>VLOOKUP(Sales_Data!F470,Product_Master!$A$2:$D$11,2)</f>
        <v>Webcam</v>
      </c>
      <c r="N470" t="str">
        <f>VLOOKUP(F470,Product_Master!$A$2:$C$11,3)</f>
        <v>Accessories</v>
      </c>
      <c r="O470">
        <f>VLOOKUP(F470,Product_Master!$A$2:$D$11,4,FALSE)</f>
        <v>700</v>
      </c>
      <c r="P470">
        <f t="shared" si="70"/>
        <v>950</v>
      </c>
      <c r="Q470">
        <f t="shared" si="71"/>
        <v>47.5</v>
      </c>
      <c r="R470">
        <f t="shared" si="72"/>
        <v>902.5</v>
      </c>
      <c r="S470">
        <f t="shared" si="73"/>
        <v>202.5</v>
      </c>
      <c r="T470" t="str">
        <f>_xlfn.CONCAT(Sales_Data!C470,"-",Sales_Data!E470,"-",Sales_Data!A470)</f>
        <v>North-C1040-1469</v>
      </c>
      <c r="U470" t="str">
        <f t="shared" si="74"/>
        <v>Regular</v>
      </c>
      <c r="V470" t="str" cm="1">
        <f t="array" ref="V470">_xlfn.IFS(R470&gt;=100000,"Excellent",R470&gt;=50000,"Good",R470&gt;=20000,"Average",TRUE,"Poor")</f>
        <v>Poor</v>
      </c>
      <c r="W470">
        <f t="shared" si="75"/>
        <v>2</v>
      </c>
      <c r="X470" t="str">
        <f t="shared" si="76"/>
        <v>May</v>
      </c>
      <c r="Y470">
        <f>HLOOKUP("Q"&amp;W470,Bonus_HLookup!$A$1:$E$2,2,FALSE)</f>
        <v>0.04</v>
      </c>
      <c r="Z470">
        <f t="shared" si="77"/>
        <v>15280.58</v>
      </c>
      <c r="AA470" s="1">
        <f t="shared" si="78"/>
        <v>18888.269512746949</v>
      </c>
      <c r="AB470">
        <f t="shared" si="79"/>
        <v>976</v>
      </c>
    </row>
    <row r="471" spans="1:28" x14ac:dyDescent="0.3">
      <c r="A471">
        <v>1470</v>
      </c>
      <c r="B471" t="s">
        <v>145</v>
      </c>
      <c r="C471" t="s">
        <v>30</v>
      </c>
      <c r="D471" t="s">
        <v>33</v>
      </c>
      <c r="E471" t="s">
        <v>165</v>
      </c>
      <c r="F471" t="s">
        <v>36</v>
      </c>
      <c r="G471">
        <v>9</v>
      </c>
      <c r="H471">
        <v>55000</v>
      </c>
      <c r="I471">
        <v>0</v>
      </c>
      <c r="J471">
        <v>413476</v>
      </c>
      <c r="K471">
        <v>10</v>
      </c>
      <c r="L471">
        <v>3</v>
      </c>
      <c r="M471" t="str">
        <f>VLOOKUP(Sales_Data!F471,Product_Master!$A$2:$D$11,2)</f>
        <v>Laptop</v>
      </c>
      <c r="N471" t="str">
        <f>VLOOKUP(F471,Product_Master!$A$2:$C$11,3)</f>
        <v>Electronics</v>
      </c>
      <c r="O471">
        <f>VLOOKUP(F471,Product_Master!$A$2:$D$11,4,FALSE)</f>
        <v>45000</v>
      </c>
      <c r="P471">
        <f t="shared" si="70"/>
        <v>495000</v>
      </c>
      <c r="Q471">
        <f t="shared" si="71"/>
        <v>0</v>
      </c>
      <c r="R471">
        <f t="shared" si="72"/>
        <v>495000</v>
      </c>
      <c r="S471">
        <f t="shared" si="73"/>
        <v>90000</v>
      </c>
      <c r="T471" t="str">
        <f>_xlfn.CONCAT(Sales_Data!C471,"-",Sales_Data!E471,"-",Sales_Data!A471)</f>
        <v>South-C1042-1470</v>
      </c>
      <c r="U471" t="str">
        <f t="shared" si="74"/>
        <v>High Value</v>
      </c>
      <c r="V471" t="str" cm="1">
        <f t="array" ref="V471">_xlfn.IFS(R471&gt;=100000,"Excellent",R471&gt;=50000,"Good",R471&gt;=20000,"Average",TRUE,"Poor")</f>
        <v>Excellent</v>
      </c>
      <c r="W471">
        <f t="shared" si="75"/>
        <v>1</v>
      </c>
      <c r="X471" t="str">
        <f t="shared" si="76"/>
        <v>March</v>
      </c>
      <c r="Y471">
        <f>HLOOKUP("Q"&amp;W471,Bonus_HLookup!$A$1:$E$2,2,FALSE)</f>
        <v>0.02</v>
      </c>
      <c r="Z471">
        <f t="shared" si="77"/>
        <v>124042.8</v>
      </c>
      <c r="AA471" s="1">
        <f t="shared" si="78"/>
        <v>13341.707492159148</v>
      </c>
      <c r="AB471">
        <f t="shared" si="79"/>
        <v>4</v>
      </c>
    </row>
    <row r="472" spans="1:28" x14ac:dyDescent="0.3">
      <c r="A472">
        <v>1471</v>
      </c>
      <c r="B472" t="s">
        <v>239</v>
      </c>
      <c r="C472" t="s">
        <v>62</v>
      </c>
      <c r="D472" t="s">
        <v>19</v>
      </c>
      <c r="E472" t="s">
        <v>189</v>
      </c>
      <c r="F472" t="s">
        <v>16</v>
      </c>
      <c r="G472">
        <v>6</v>
      </c>
      <c r="H472">
        <v>2500</v>
      </c>
      <c r="I472">
        <v>8</v>
      </c>
      <c r="J472">
        <v>137184</v>
      </c>
      <c r="K472">
        <v>11</v>
      </c>
      <c r="L472">
        <v>3</v>
      </c>
      <c r="M472" t="str">
        <f>VLOOKUP(Sales_Data!F472,Product_Master!$A$2:$D$11,2)</f>
        <v>Speaker</v>
      </c>
      <c r="N472" t="str">
        <f>VLOOKUP(F472,Product_Master!$A$2:$C$11,3)</f>
        <v>Accessories</v>
      </c>
      <c r="O472">
        <f>VLOOKUP(F472,Product_Master!$A$2:$D$11,4,FALSE)</f>
        <v>1800</v>
      </c>
      <c r="P472">
        <f t="shared" si="70"/>
        <v>15000</v>
      </c>
      <c r="Q472">
        <f t="shared" si="71"/>
        <v>1200</v>
      </c>
      <c r="R472">
        <f t="shared" si="72"/>
        <v>13800</v>
      </c>
      <c r="S472">
        <f t="shared" si="73"/>
        <v>3000</v>
      </c>
      <c r="T472" t="str">
        <f>_xlfn.CONCAT(Sales_Data!C472,"-",Sales_Data!E472,"-",Sales_Data!A472)</f>
        <v>East-C1015-1471</v>
      </c>
      <c r="U472" t="str">
        <f t="shared" si="74"/>
        <v>Regular</v>
      </c>
      <c r="V472" t="str" cm="1">
        <f t="array" ref="V472">_xlfn.IFS(R472&gt;=100000,"Excellent",R472&gt;=50000,"Good",R472&gt;=20000,"Average",TRUE,"Poor")</f>
        <v>Poor</v>
      </c>
      <c r="W472">
        <f t="shared" si="75"/>
        <v>4</v>
      </c>
      <c r="X472" t="str">
        <f t="shared" si="76"/>
        <v>November</v>
      </c>
      <c r="Y472">
        <f>HLOOKUP("Q"&amp;W472,Bonus_HLookup!$A$1:$E$2,2,FALSE)</f>
        <v>0.08</v>
      </c>
      <c r="Z472">
        <f t="shared" si="77"/>
        <v>45270.720000000001</v>
      </c>
      <c r="AA472" s="1">
        <f t="shared" si="78"/>
        <v>4491.2281689788078</v>
      </c>
      <c r="AB472">
        <f t="shared" si="79"/>
        <v>544</v>
      </c>
    </row>
    <row r="473" spans="1:28" x14ac:dyDescent="0.3">
      <c r="A473">
        <v>1472</v>
      </c>
      <c r="B473" t="s">
        <v>350</v>
      </c>
      <c r="C473" t="s">
        <v>18</v>
      </c>
      <c r="D473" t="s">
        <v>91</v>
      </c>
      <c r="E473" t="s">
        <v>128</v>
      </c>
      <c r="F473" t="s">
        <v>69</v>
      </c>
      <c r="G473">
        <v>2</v>
      </c>
      <c r="H473">
        <v>2000</v>
      </c>
      <c r="I473">
        <v>2</v>
      </c>
      <c r="J473">
        <v>351375</v>
      </c>
      <c r="K473">
        <v>9</v>
      </c>
      <c r="L473">
        <v>1</v>
      </c>
      <c r="M473" t="str">
        <f>VLOOKUP(Sales_Data!F473,Product_Master!$A$2:$D$11,2)</f>
        <v>Headset</v>
      </c>
      <c r="N473" t="str">
        <f>VLOOKUP(F473,Product_Master!$A$2:$C$11,3)</f>
        <v>Accessories</v>
      </c>
      <c r="O473">
        <f>VLOOKUP(F473,Product_Master!$A$2:$D$11,4,FALSE)</f>
        <v>1500</v>
      </c>
      <c r="P473">
        <f t="shared" si="70"/>
        <v>4000</v>
      </c>
      <c r="Q473">
        <f t="shared" si="71"/>
        <v>80</v>
      </c>
      <c r="R473">
        <f t="shared" si="72"/>
        <v>3920</v>
      </c>
      <c r="S473">
        <f t="shared" si="73"/>
        <v>920</v>
      </c>
      <c r="T473" t="str">
        <f>_xlfn.CONCAT(Sales_Data!C473,"-",Sales_Data!E473,"-",Sales_Data!A473)</f>
        <v>North-C1013-1472</v>
      </c>
      <c r="U473" t="str">
        <f t="shared" si="74"/>
        <v>Regular</v>
      </c>
      <c r="V473" t="str" cm="1">
        <f t="array" ref="V473">_xlfn.IFS(R473&gt;=100000,"Excellent",R473&gt;=50000,"Good",R473&gt;=20000,"Average",TRUE,"Poor")</f>
        <v>Poor</v>
      </c>
      <c r="W473">
        <f t="shared" si="75"/>
        <v>4</v>
      </c>
      <c r="X473" t="str">
        <f t="shared" si="76"/>
        <v>November</v>
      </c>
      <c r="Y473">
        <f>HLOOKUP("Q"&amp;W473,Bonus_HLookup!$A$1:$E$2,2,FALSE)</f>
        <v>0.08</v>
      </c>
      <c r="Z473">
        <f t="shared" si="77"/>
        <v>31623.75</v>
      </c>
      <c r="AA473" s="1">
        <f t="shared" si="78"/>
        <v>30728.262650031142</v>
      </c>
      <c r="AB473">
        <f t="shared" si="79"/>
        <v>846</v>
      </c>
    </row>
    <row r="474" spans="1:28" x14ac:dyDescent="0.3">
      <c r="A474">
        <v>1473</v>
      </c>
      <c r="B474" t="s">
        <v>352</v>
      </c>
      <c r="C474" t="s">
        <v>13</v>
      </c>
      <c r="D474" t="s">
        <v>33</v>
      </c>
      <c r="E474" t="s">
        <v>71</v>
      </c>
      <c r="F474" t="s">
        <v>25</v>
      </c>
      <c r="G474">
        <v>8</v>
      </c>
      <c r="H474">
        <v>1500</v>
      </c>
      <c r="I474">
        <v>5</v>
      </c>
      <c r="J474">
        <v>264325</v>
      </c>
      <c r="K474">
        <v>8</v>
      </c>
      <c r="L474">
        <v>5</v>
      </c>
      <c r="M474" t="str">
        <f>VLOOKUP(Sales_Data!F474,Product_Master!$A$2:$D$11,2)</f>
        <v>Keyboard</v>
      </c>
      <c r="N474" t="str">
        <f>VLOOKUP(F474,Product_Master!$A$2:$C$11,3)</f>
        <v>Accessories</v>
      </c>
      <c r="O474">
        <f>VLOOKUP(F474,Product_Master!$A$2:$D$11,4,FALSE)</f>
        <v>1200</v>
      </c>
      <c r="P474">
        <f t="shared" si="70"/>
        <v>12000</v>
      </c>
      <c r="Q474">
        <f t="shared" si="71"/>
        <v>600</v>
      </c>
      <c r="R474">
        <f t="shared" si="72"/>
        <v>11400</v>
      </c>
      <c r="S474">
        <f t="shared" si="73"/>
        <v>1800</v>
      </c>
      <c r="T474" t="str">
        <f>_xlfn.CONCAT(Sales_Data!C474,"-",Sales_Data!E474,"-",Sales_Data!A474)</f>
        <v>West-C1019-1473</v>
      </c>
      <c r="U474" t="str">
        <f t="shared" si="74"/>
        <v>Regular</v>
      </c>
      <c r="V474" t="str" cm="1">
        <f t="array" ref="V474">_xlfn.IFS(R474&gt;=100000,"Excellent",R474&gt;=50000,"Good",R474&gt;=20000,"Average",TRUE,"Poor")</f>
        <v>Poor</v>
      </c>
      <c r="W474">
        <f t="shared" si="75"/>
        <v>4</v>
      </c>
      <c r="X474" t="str">
        <f t="shared" si="76"/>
        <v>October</v>
      </c>
      <c r="Y474">
        <f>HLOOKUP("Q"&amp;W474,Bonus_HLookup!$A$1:$E$2,2,FALSE)</f>
        <v>0.08</v>
      </c>
      <c r="Z474">
        <f t="shared" si="77"/>
        <v>105730</v>
      </c>
      <c r="AA474" s="1">
        <f t="shared" si="78"/>
        <v>5359.5579202849458</v>
      </c>
      <c r="AB474">
        <f t="shared" si="79"/>
        <v>607</v>
      </c>
    </row>
    <row r="475" spans="1:28" x14ac:dyDescent="0.3">
      <c r="A475">
        <v>1474</v>
      </c>
      <c r="B475" t="s">
        <v>192</v>
      </c>
      <c r="C475" t="s">
        <v>13</v>
      </c>
      <c r="D475" t="s">
        <v>50</v>
      </c>
      <c r="E475" t="s">
        <v>102</v>
      </c>
      <c r="F475" t="s">
        <v>25</v>
      </c>
      <c r="G475">
        <v>9</v>
      </c>
      <c r="H475">
        <v>1500</v>
      </c>
      <c r="I475">
        <v>8</v>
      </c>
      <c r="J475">
        <v>376580</v>
      </c>
      <c r="K475">
        <v>8</v>
      </c>
      <c r="L475">
        <v>1</v>
      </c>
      <c r="M475" t="str">
        <f>VLOOKUP(Sales_Data!F475,Product_Master!$A$2:$D$11,2)</f>
        <v>Keyboard</v>
      </c>
      <c r="N475" t="str">
        <f>VLOOKUP(F475,Product_Master!$A$2:$C$11,3)</f>
        <v>Accessories</v>
      </c>
      <c r="O475">
        <f>VLOOKUP(F475,Product_Master!$A$2:$D$11,4,FALSE)</f>
        <v>1200</v>
      </c>
      <c r="P475">
        <f t="shared" si="70"/>
        <v>13500</v>
      </c>
      <c r="Q475">
        <f t="shared" si="71"/>
        <v>1080</v>
      </c>
      <c r="R475">
        <f t="shared" si="72"/>
        <v>12420</v>
      </c>
      <c r="S475">
        <f t="shared" si="73"/>
        <v>1620</v>
      </c>
      <c r="T475" t="str">
        <f>_xlfn.CONCAT(Sales_Data!C475,"-",Sales_Data!E475,"-",Sales_Data!A475)</f>
        <v>West-C1049-1474</v>
      </c>
      <c r="U475" t="str">
        <f t="shared" si="74"/>
        <v>Regular</v>
      </c>
      <c r="V475" t="str" cm="1">
        <f t="array" ref="V475">_xlfn.IFS(R475&gt;=100000,"Excellent",R475&gt;=50000,"Good",R475&gt;=20000,"Average",TRUE,"Poor")</f>
        <v>Poor</v>
      </c>
      <c r="W475">
        <f t="shared" si="75"/>
        <v>1</v>
      </c>
      <c r="X475" t="str">
        <f t="shared" si="76"/>
        <v>February</v>
      </c>
      <c r="Y475">
        <f>HLOOKUP("Q"&amp;W475,Bonus_HLookup!$A$1:$E$2,2,FALSE)</f>
        <v>0.02</v>
      </c>
      <c r="Z475">
        <f t="shared" si="77"/>
        <v>30126.400000000001</v>
      </c>
      <c r="AA475" s="1">
        <f t="shared" si="78"/>
        <v>32758.102624987863</v>
      </c>
      <c r="AB475">
        <f t="shared" si="79"/>
        <v>582</v>
      </c>
    </row>
    <row r="476" spans="1:28" x14ac:dyDescent="0.3">
      <c r="A476">
        <v>1475</v>
      </c>
      <c r="B476" t="s">
        <v>155</v>
      </c>
      <c r="C476" t="s">
        <v>18</v>
      </c>
      <c r="D476" t="s">
        <v>19</v>
      </c>
      <c r="E476" t="s">
        <v>54</v>
      </c>
      <c r="F476" t="s">
        <v>52</v>
      </c>
      <c r="G476">
        <v>3</v>
      </c>
      <c r="H476">
        <v>500</v>
      </c>
      <c r="I476">
        <v>15</v>
      </c>
      <c r="J476">
        <v>99064</v>
      </c>
      <c r="K476">
        <v>11</v>
      </c>
      <c r="L476">
        <v>4</v>
      </c>
      <c r="M476" t="str">
        <f>VLOOKUP(Sales_Data!F476,Product_Master!$A$2:$D$11,2)</f>
        <v>Mouse</v>
      </c>
      <c r="N476" t="str">
        <f>VLOOKUP(F476,Product_Master!$A$2:$C$11,3)</f>
        <v>Accessories</v>
      </c>
      <c r="O476">
        <f>VLOOKUP(F476,Product_Master!$A$2:$D$11,4,FALSE)</f>
        <v>350</v>
      </c>
      <c r="P476">
        <f t="shared" si="70"/>
        <v>1500</v>
      </c>
      <c r="Q476">
        <f t="shared" si="71"/>
        <v>225</v>
      </c>
      <c r="R476">
        <f t="shared" si="72"/>
        <v>1275</v>
      </c>
      <c r="S476">
        <f t="shared" si="73"/>
        <v>225</v>
      </c>
      <c r="T476" t="str">
        <f>_xlfn.CONCAT(Sales_Data!C476,"-",Sales_Data!E476,"-",Sales_Data!A476)</f>
        <v>North-C1034-1475</v>
      </c>
      <c r="U476" t="str">
        <f t="shared" si="74"/>
        <v>Regular</v>
      </c>
      <c r="V476" t="str" cm="1">
        <f t="array" ref="V476">_xlfn.IFS(R476&gt;=100000,"Excellent",R476&gt;=50000,"Good",R476&gt;=20000,"Average",TRUE,"Poor")</f>
        <v>Poor</v>
      </c>
      <c r="W476">
        <f t="shared" si="75"/>
        <v>3</v>
      </c>
      <c r="X476" t="str">
        <f t="shared" si="76"/>
        <v>July</v>
      </c>
      <c r="Y476">
        <f>HLOOKUP("Q"&amp;W476,Bonus_HLookup!$A$1:$E$2,2,FALSE)</f>
        <v>0.06</v>
      </c>
      <c r="Z476">
        <f t="shared" si="77"/>
        <v>43588.160000000003</v>
      </c>
      <c r="AA476" s="1">
        <f t="shared" si="78"/>
        <v>2560.3608519809613</v>
      </c>
      <c r="AB476">
        <f t="shared" si="79"/>
        <v>961</v>
      </c>
    </row>
    <row r="477" spans="1:28" x14ac:dyDescent="0.3">
      <c r="A477">
        <v>1476</v>
      </c>
      <c r="B477" t="s">
        <v>191</v>
      </c>
      <c r="C477" t="s">
        <v>30</v>
      </c>
      <c r="D477" t="s">
        <v>33</v>
      </c>
      <c r="E477" t="s">
        <v>51</v>
      </c>
      <c r="F477" t="s">
        <v>25</v>
      </c>
      <c r="G477">
        <v>3</v>
      </c>
      <c r="H477">
        <v>1500</v>
      </c>
      <c r="I477">
        <v>12</v>
      </c>
      <c r="J477">
        <v>341729</v>
      </c>
      <c r="K477">
        <v>7</v>
      </c>
      <c r="L477">
        <v>2</v>
      </c>
      <c r="M477" t="str">
        <f>VLOOKUP(Sales_Data!F477,Product_Master!$A$2:$D$11,2)</f>
        <v>Keyboard</v>
      </c>
      <c r="N477" t="str">
        <f>VLOOKUP(F477,Product_Master!$A$2:$C$11,3)</f>
        <v>Accessories</v>
      </c>
      <c r="O477">
        <f>VLOOKUP(F477,Product_Master!$A$2:$D$11,4,FALSE)</f>
        <v>1200</v>
      </c>
      <c r="P477">
        <f t="shared" si="70"/>
        <v>4500</v>
      </c>
      <c r="Q477">
        <f t="shared" si="71"/>
        <v>540</v>
      </c>
      <c r="R477">
        <f t="shared" si="72"/>
        <v>3960</v>
      </c>
      <c r="S477">
        <f t="shared" si="73"/>
        <v>360</v>
      </c>
      <c r="T477" t="str">
        <f>_xlfn.CONCAT(Sales_Data!C477,"-",Sales_Data!E477,"-",Sales_Data!A477)</f>
        <v>South-C1002-1476</v>
      </c>
      <c r="U477" t="str">
        <f t="shared" si="74"/>
        <v>Regular</v>
      </c>
      <c r="V477" t="str" cm="1">
        <f t="array" ref="V477">_xlfn.IFS(R477&gt;=100000,"Excellent",R477&gt;=50000,"Good",R477&gt;=20000,"Average",TRUE,"Poor")</f>
        <v>Poor</v>
      </c>
      <c r="W477">
        <f t="shared" si="75"/>
        <v>2</v>
      </c>
      <c r="X477" t="str">
        <f t="shared" si="76"/>
        <v>June</v>
      </c>
      <c r="Y477">
        <f>HLOOKUP("Q"&amp;W477,Bonus_HLookup!$A$1:$E$2,2,FALSE)</f>
        <v>0.04</v>
      </c>
      <c r="Z477">
        <f t="shared" si="77"/>
        <v>47842.06</v>
      </c>
      <c r="AA477" s="1">
        <f t="shared" si="78"/>
        <v>15300.08868433878</v>
      </c>
      <c r="AB477">
        <f t="shared" si="79"/>
        <v>840</v>
      </c>
    </row>
    <row r="478" spans="1:28" x14ac:dyDescent="0.3">
      <c r="A478">
        <v>1477</v>
      </c>
      <c r="B478" t="s">
        <v>354</v>
      </c>
      <c r="C478" t="s">
        <v>30</v>
      </c>
      <c r="D478" t="s">
        <v>91</v>
      </c>
      <c r="E478" t="s">
        <v>151</v>
      </c>
      <c r="F478" t="s">
        <v>16</v>
      </c>
      <c r="G478">
        <v>2</v>
      </c>
      <c r="H478">
        <v>2500</v>
      </c>
      <c r="I478">
        <v>0</v>
      </c>
      <c r="J478">
        <v>296013</v>
      </c>
      <c r="K478">
        <v>9</v>
      </c>
      <c r="L478">
        <v>5</v>
      </c>
      <c r="M478" t="str">
        <f>VLOOKUP(Sales_Data!F478,Product_Master!$A$2:$D$11,2)</f>
        <v>Speaker</v>
      </c>
      <c r="N478" t="str">
        <f>VLOOKUP(F478,Product_Master!$A$2:$C$11,3)</f>
        <v>Accessories</v>
      </c>
      <c r="O478">
        <f>VLOOKUP(F478,Product_Master!$A$2:$D$11,4,FALSE)</f>
        <v>1800</v>
      </c>
      <c r="P478">
        <f t="shared" si="70"/>
        <v>5000</v>
      </c>
      <c r="Q478">
        <f t="shared" si="71"/>
        <v>0</v>
      </c>
      <c r="R478">
        <f t="shared" si="72"/>
        <v>5000</v>
      </c>
      <c r="S478">
        <f t="shared" si="73"/>
        <v>1400</v>
      </c>
      <c r="T478" t="str">
        <f>_xlfn.CONCAT(Sales_Data!C478,"-",Sales_Data!E478,"-",Sales_Data!A478)</f>
        <v>South-C1001-1477</v>
      </c>
      <c r="U478" t="str">
        <f t="shared" si="74"/>
        <v>Regular</v>
      </c>
      <c r="V478" t="str" cm="1">
        <f t="array" ref="V478">_xlfn.IFS(R478&gt;=100000,"Excellent",R478&gt;=50000,"Good",R478&gt;=20000,"Average",TRUE,"Poor")</f>
        <v>Poor</v>
      </c>
      <c r="W478">
        <f t="shared" si="75"/>
        <v>2</v>
      </c>
      <c r="X478" t="str">
        <f t="shared" si="76"/>
        <v>June</v>
      </c>
      <c r="Y478">
        <f>HLOOKUP("Q"&amp;W478,Bonus_HLookup!$A$1:$E$2,2,FALSE)</f>
        <v>0.04</v>
      </c>
      <c r="Z478">
        <f t="shared" si="77"/>
        <v>133205.85</v>
      </c>
      <c r="AA478" s="1">
        <f t="shared" si="78"/>
        <v>6144.7430056187286</v>
      </c>
      <c r="AB478">
        <f t="shared" si="79"/>
        <v>790</v>
      </c>
    </row>
    <row r="479" spans="1:28" x14ac:dyDescent="0.3">
      <c r="A479">
        <v>1478</v>
      </c>
      <c r="B479" t="s">
        <v>55</v>
      </c>
      <c r="C479" t="s">
        <v>13</v>
      </c>
      <c r="D479" t="s">
        <v>91</v>
      </c>
      <c r="E479" t="s">
        <v>34</v>
      </c>
      <c r="F479" t="s">
        <v>42</v>
      </c>
      <c r="G479">
        <v>9</v>
      </c>
      <c r="H479">
        <v>8000</v>
      </c>
      <c r="I479">
        <v>10</v>
      </c>
      <c r="J479">
        <v>289060</v>
      </c>
      <c r="K479">
        <v>7</v>
      </c>
      <c r="L479">
        <v>2</v>
      </c>
      <c r="M479" t="str">
        <f>VLOOKUP(Sales_Data!F479,Product_Master!$A$2:$D$11,2)</f>
        <v>Printer</v>
      </c>
      <c r="N479" t="str">
        <f>VLOOKUP(F479,Product_Master!$A$2:$C$11,3)</f>
        <v>Electronics</v>
      </c>
      <c r="O479">
        <f>VLOOKUP(F479,Product_Master!$A$2:$D$11,4,FALSE)</f>
        <v>6500</v>
      </c>
      <c r="P479">
        <f t="shared" si="70"/>
        <v>72000</v>
      </c>
      <c r="Q479">
        <f t="shared" si="71"/>
        <v>7200</v>
      </c>
      <c r="R479">
        <f t="shared" si="72"/>
        <v>64800</v>
      </c>
      <c r="S479">
        <f t="shared" si="73"/>
        <v>6300</v>
      </c>
      <c r="T479" t="str">
        <f>_xlfn.CONCAT(Sales_Data!C479,"-",Sales_Data!E479,"-",Sales_Data!A479)</f>
        <v>West-C1036-1478</v>
      </c>
      <c r="U479" t="str">
        <f t="shared" si="74"/>
        <v>High Value</v>
      </c>
      <c r="V479" t="str" cm="1">
        <f t="array" ref="V479">_xlfn.IFS(R479&gt;=100000,"Excellent",R479&gt;=50000,"Good",R479&gt;=20000,"Average",TRUE,"Poor")</f>
        <v>Good</v>
      </c>
      <c r="W479">
        <f t="shared" si="75"/>
        <v>1</v>
      </c>
      <c r="X479" t="str">
        <f t="shared" si="76"/>
        <v>February</v>
      </c>
      <c r="Y479">
        <f>HLOOKUP("Q"&amp;W479,Bonus_HLookup!$A$1:$E$2,2,FALSE)</f>
        <v>0.02</v>
      </c>
      <c r="Z479">
        <f t="shared" si="77"/>
        <v>40468.400000000001</v>
      </c>
      <c r="AA479" s="1">
        <f t="shared" si="78"/>
        <v>12941.961715555213</v>
      </c>
      <c r="AB479">
        <f t="shared" si="79"/>
        <v>231</v>
      </c>
    </row>
    <row r="480" spans="1:28" x14ac:dyDescent="0.3">
      <c r="A480">
        <v>1479</v>
      </c>
      <c r="B480" t="s">
        <v>325</v>
      </c>
      <c r="C480" t="s">
        <v>30</v>
      </c>
      <c r="D480" t="s">
        <v>91</v>
      </c>
      <c r="E480" t="s">
        <v>128</v>
      </c>
      <c r="F480" t="s">
        <v>36</v>
      </c>
      <c r="G480">
        <v>1</v>
      </c>
      <c r="H480">
        <v>55000</v>
      </c>
      <c r="I480">
        <v>12</v>
      </c>
      <c r="J480">
        <v>159645</v>
      </c>
      <c r="K480">
        <v>10</v>
      </c>
      <c r="L480">
        <v>2</v>
      </c>
      <c r="M480" t="str">
        <f>VLOOKUP(Sales_Data!F480,Product_Master!$A$2:$D$11,2)</f>
        <v>Laptop</v>
      </c>
      <c r="N480" t="str">
        <f>VLOOKUP(F480,Product_Master!$A$2:$C$11,3)</f>
        <v>Electronics</v>
      </c>
      <c r="O480">
        <f>VLOOKUP(F480,Product_Master!$A$2:$D$11,4,FALSE)</f>
        <v>45000</v>
      </c>
      <c r="P480">
        <f t="shared" si="70"/>
        <v>55000</v>
      </c>
      <c r="Q480">
        <f t="shared" si="71"/>
        <v>6600</v>
      </c>
      <c r="R480">
        <f t="shared" si="72"/>
        <v>48400</v>
      </c>
      <c r="S480">
        <f t="shared" si="73"/>
        <v>3400</v>
      </c>
      <c r="T480" t="str">
        <f>_xlfn.CONCAT(Sales_Data!C480,"-",Sales_Data!E480,"-",Sales_Data!A480)</f>
        <v>South-C1013-1479</v>
      </c>
      <c r="U480" t="str">
        <f t="shared" si="74"/>
        <v>Regular</v>
      </c>
      <c r="V480" t="str" cm="1">
        <f t="array" ref="V480">_xlfn.IFS(R480&gt;=100000,"Excellent",R480&gt;=50000,"Good",R480&gt;=20000,"Average",TRUE,"Poor")</f>
        <v>Average</v>
      </c>
      <c r="W480">
        <f t="shared" si="75"/>
        <v>1</v>
      </c>
      <c r="X480" t="str">
        <f t="shared" si="76"/>
        <v>January</v>
      </c>
      <c r="Y480">
        <f>HLOOKUP("Q"&amp;W480,Bonus_HLookup!$A$1:$E$2,2,FALSE)</f>
        <v>0.02</v>
      </c>
      <c r="Z480">
        <f t="shared" si="77"/>
        <v>31929</v>
      </c>
      <c r="AA480" s="1">
        <f t="shared" si="78"/>
        <v>7366.8067651528227</v>
      </c>
      <c r="AB480">
        <f t="shared" si="79"/>
        <v>305</v>
      </c>
    </row>
    <row r="481" spans="1:28" x14ac:dyDescent="0.3">
      <c r="A481">
        <v>1480</v>
      </c>
      <c r="B481" t="s">
        <v>336</v>
      </c>
      <c r="C481" t="s">
        <v>18</v>
      </c>
      <c r="D481" t="s">
        <v>46</v>
      </c>
      <c r="E481" t="s">
        <v>131</v>
      </c>
      <c r="F481" t="s">
        <v>74</v>
      </c>
      <c r="G481">
        <v>3</v>
      </c>
      <c r="H481">
        <v>35000</v>
      </c>
      <c r="I481">
        <v>12</v>
      </c>
      <c r="J481">
        <v>164066</v>
      </c>
      <c r="K481">
        <v>11</v>
      </c>
      <c r="L481">
        <v>4</v>
      </c>
      <c r="M481" t="str">
        <f>VLOOKUP(Sales_Data!F481,Product_Master!$A$2:$D$11,2)</f>
        <v>Tablet</v>
      </c>
      <c r="N481" t="str">
        <f>VLOOKUP(F481,Product_Master!$A$2:$C$11,3)</f>
        <v>Electronics</v>
      </c>
      <c r="O481">
        <f>VLOOKUP(F481,Product_Master!$A$2:$D$11,4,FALSE)</f>
        <v>29000</v>
      </c>
      <c r="P481">
        <f t="shared" si="70"/>
        <v>105000</v>
      </c>
      <c r="Q481">
        <f t="shared" si="71"/>
        <v>12600</v>
      </c>
      <c r="R481">
        <f t="shared" si="72"/>
        <v>92400</v>
      </c>
      <c r="S481">
        <f t="shared" si="73"/>
        <v>5400</v>
      </c>
      <c r="T481" t="str">
        <f>_xlfn.CONCAT(Sales_Data!C481,"-",Sales_Data!E481,"-",Sales_Data!A481)</f>
        <v>North-C1047-1480</v>
      </c>
      <c r="U481" t="str">
        <f t="shared" si="74"/>
        <v>High Value</v>
      </c>
      <c r="V481" t="str" cm="1">
        <f t="array" ref="V481">_xlfn.IFS(R481&gt;=100000,"Excellent",R481&gt;=50000,"Good",R481&gt;=20000,"Average",TRUE,"Poor")</f>
        <v>Good</v>
      </c>
      <c r="W481">
        <f t="shared" si="75"/>
        <v>3</v>
      </c>
      <c r="X481" t="str">
        <f t="shared" si="76"/>
        <v>September</v>
      </c>
      <c r="Y481">
        <f>HLOOKUP("Q"&amp;W481,Bonus_HLookup!$A$1:$E$2,2,FALSE)</f>
        <v>0.06</v>
      </c>
      <c r="Z481">
        <f t="shared" si="77"/>
        <v>72189.039999999994</v>
      </c>
      <c r="AA481" s="1">
        <f t="shared" si="78"/>
        <v>4240.3715127706173</v>
      </c>
      <c r="AB481">
        <f t="shared" si="79"/>
        <v>181</v>
      </c>
    </row>
    <row r="482" spans="1:28" x14ac:dyDescent="0.3">
      <c r="A482">
        <v>1481</v>
      </c>
      <c r="B482" t="s">
        <v>277</v>
      </c>
      <c r="C482" t="s">
        <v>30</v>
      </c>
      <c r="D482" t="s">
        <v>14</v>
      </c>
      <c r="E482" t="s">
        <v>196</v>
      </c>
      <c r="F482" t="s">
        <v>42</v>
      </c>
      <c r="G482">
        <v>2</v>
      </c>
      <c r="H482">
        <v>8000</v>
      </c>
      <c r="I482">
        <v>2</v>
      </c>
      <c r="J482">
        <v>419649</v>
      </c>
      <c r="K482">
        <v>10</v>
      </c>
      <c r="L482">
        <v>2</v>
      </c>
      <c r="M482" t="str">
        <f>VLOOKUP(Sales_Data!F482,Product_Master!$A$2:$D$11,2)</f>
        <v>Printer</v>
      </c>
      <c r="N482" t="str">
        <f>VLOOKUP(F482,Product_Master!$A$2:$C$11,3)</f>
        <v>Electronics</v>
      </c>
      <c r="O482">
        <f>VLOOKUP(F482,Product_Master!$A$2:$D$11,4,FALSE)</f>
        <v>6500</v>
      </c>
      <c r="P482">
        <f t="shared" si="70"/>
        <v>16000</v>
      </c>
      <c r="Q482">
        <f t="shared" si="71"/>
        <v>320</v>
      </c>
      <c r="R482">
        <f t="shared" si="72"/>
        <v>15680</v>
      </c>
      <c r="S482">
        <f t="shared" si="73"/>
        <v>2680</v>
      </c>
      <c r="T482" t="str">
        <f>_xlfn.CONCAT(Sales_Data!C482,"-",Sales_Data!E482,"-",Sales_Data!A482)</f>
        <v>South-C1032-1481</v>
      </c>
      <c r="U482" t="str">
        <f t="shared" si="74"/>
        <v>Regular</v>
      </c>
      <c r="V482" t="str" cm="1">
        <f t="array" ref="V482">_xlfn.IFS(R482&gt;=100000,"Excellent",R482&gt;=50000,"Good",R482&gt;=20000,"Average",TRUE,"Poor")</f>
        <v>Poor</v>
      </c>
      <c r="W482">
        <f t="shared" si="75"/>
        <v>4</v>
      </c>
      <c r="X482" t="str">
        <f t="shared" si="76"/>
        <v>November</v>
      </c>
      <c r="Y482">
        <f>HLOOKUP("Q"&amp;W482,Bonus_HLookup!$A$1:$E$2,2,FALSE)</f>
        <v>0.08</v>
      </c>
      <c r="Z482">
        <f t="shared" si="77"/>
        <v>83929.8</v>
      </c>
      <c r="AA482" s="1">
        <f t="shared" si="78"/>
        <v>19364.672192612466</v>
      </c>
      <c r="AB482">
        <f t="shared" si="79"/>
        <v>519</v>
      </c>
    </row>
    <row r="483" spans="1:28" x14ac:dyDescent="0.3">
      <c r="A483">
        <v>1482</v>
      </c>
      <c r="B483" t="s">
        <v>340</v>
      </c>
      <c r="C483" t="s">
        <v>13</v>
      </c>
      <c r="D483" t="s">
        <v>14</v>
      </c>
      <c r="E483" t="s">
        <v>73</v>
      </c>
      <c r="F483" t="s">
        <v>74</v>
      </c>
      <c r="G483">
        <v>7</v>
      </c>
      <c r="H483">
        <v>35000</v>
      </c>
      <c r="I483">
        <v>0</v>
      </c>
      <c r="J483">
        <v>275998</v>
      </c>
      <c r="K483">
        <v>12</v>
      </c>
      <c r="L483">
        <v>4</v>
      </c>
      <c r="M483" t="str">
        <f>VLOOKUP(Sales_Data!F483,Product_Master!$A$2:$D$11,2)</f>
        <v>Tablet</v>
      </c>
      <c r="N483" t="str">
        <f>VLOOKUP(F483,Product_Master!$A$2:$C$11,3)</f>
        <v>Electronics</v>
      </c>
      <c r="O483">
        <f>VLOOKUP(F483,Product_Master!$A$2:$D$11,4,FALSE)</f>
        <v>29000</v>
      </c>
      <c r="P483">
        <f t="shared" si="70"/>
        <v>245000</v>
      </c>
      <c r="Q483">
        <f t="shared" si="71"/>
        <v>0</v>
      </c>
      <c r="R483">
        <f t="shared" si="72"/>
        <v>245000</v>
      </c>
      <c r="S483">
        <f t="shared" si="73"/>
        <v>42000</v>
      </c>
      <c r="T483" t="str">
        <f>_xlfn.CONCAT(Sales_Data!C483,"-",Sales_Data!E483,"-",Sales_Data!A483)</f>
        <v>West-C1014-1482</v>
      </c>
      <c r="U483" t="str">
        <f t="shared" si="74"/>
        <v>High Value</v>
      </c>
      <c r="V483" t="str" cm="1">
        <f t="array" ref="V483">_xlfn.IFS(R483&gt;=100000,"Excellent",R483&gt;=50000,"Good",R483&gt;=20000,"Average",TRUE,"Poor")</f>
        <v>Excellent</v>
      </c>
      <c r="W483">
        <f t="shared" si="75"/>
        <v>2</v>
      </c>
      <c r="X483" t="str">
        <f t="shared" si="76"/>
        <v>April</v>
      </c>
      <c r="Y483">
        <f>HLOOKUP("Q"&amp;W483,Bonus_HLookup!$A$1:$E$2,2,FALSE)</f>
        <v>0.04</v>
      </c>
      <c r="Z483">
        <f t="shared" si="77"/>
        <v>132479.04000000001</v>
      </c>
      <c r="AA483" s="1">
        <f t="shared" si="78"/>
        <v>7268.0859115411995</v>
      </c>
      <c r="AB483">
        <f t="shared" si="79"/>
        <v>84</v>
      </c>
    </row>
    <row r="484" spans="1:28" x14ac:dyDescent="0.3">
      <c r="A484">
        <v>1483</v>
      </c>
      <c r="B484" t="s">
        <v>355</v>
      </c>
      <c r="C484" t="s">
        <v>62</v>
      </c>
      <c r="D484" t="s">
        <v>14</v>
      </c>
      <c r="E484" t="s">
        <v>122</v>
      </c>
      <c r="F484" t="s">
        <v>52</v>
      </c>
      <c r="G484">
        <v>9</v>
      </c>
      <c r="H484">
        <v>500</v>
      </c>
      <c r="I484">
        <v>2</v>
      </c>
      <c r="J484">
        <v>84410</v>
      </c>
      <c r="K484">
        <v>9</v>
      </c>
      <c r="L484">
        <v>3</v>
      </c>
      <c r="M484" t="str">
        <f>VLOOKUP(Sales_Data!F484,Product_Master!$A$2:$D$11,2)</f>
        <v>Mouse</v>
      </c>
      <c r="N484" t="str">
        <f>VLOOKUP(F484,Product_Master!$A$2:$C$11,3)</f>
        <v>Accessories</v>
      </c>
      <c r="O484">
        <f>VLOOKUP(F484,Product_Master!$A$2:$D$11,4,FALSE)</f>
        <v>350</v>
      </c>
      <c r="P484">
        <f t="shared" si="70"/>
        <v>4500</v>
      </c>
      <c r="Q484">
        <f t="shared" si="71"/>
        <v>90</v>
      </c>
      <c r="R484">
        <f t="shared" si="72"/>
        <v>4410</v>
      </c>
      <c r="S484">
        <f t="shared" si="73"/>
        <v>1260</v>
      </c>
      <c r="T484" t="str">
        <f>_xlfn.CONCAT(Sales_Data!C484,"-",Sales_Data!E484,"-",Sales_Data!A484)</f>
        <v>East-C1046-1483</v>
      </c>
      <c r="U484" t="str">
        <f t="shared" si="74"/>
        <v>Regular</v>
      </c>
      <c r="V484" t="str" cm="1">
        <f t="array" ref="V484">_xlfn.IFS(R484&gt;=100000,"Excellent",R484&gt;=50000,"Good",R484&gt;=20000,"Average",TRUE,"Poor")</f>
        <v>Poor</v>
      </c>
      <c r="W484">
        <f t="shared" si="75"/>
        <v>4</v>
      </c>
      <c r="X484" t="str">
        <f t="shared" si="76"/>
        <v>December</v>
      </c>
      <c r="Y484">
        <f>HLOOKUP("Q"&amp;W484,Bonus_HLookup!$A$1:$E$2,2,FALSE)</f>
        <v>0.08</v>
      </c>
      <c r="Z484">
        <f t="shared" si="77"/>
        <v>22790.7</v>
      </c>
      <c r="AA484" s="1">
        <f t="shared" si="78"/>
        <v>2684.2154338255932</v>
      </c>
      <c r="AB484">
        <f t="shared" si="79"/>
        <v>812</v>
      </c>
    </row>
    <row r="485" spans="1:28" x14ac:dyDescent="0.3">
      <c r="A485">
        <v>1484</v>
      </c>
      <c r="B485" t="s">
        <v>356</v>
      </c>
      <c r="C485" t="s">
        <v>30</v>
      </c>
      <c r="D485" t="s">
        <v>23</v>
      </c>
      <c r="E485" t="s">
        <v>102</v>
      </c>
      <c r="F485" t="s">
        <v>25</v>
      </c>
      <c r="G485">
        <v>3</v>
      </c>
      <c r="H485">
        <v>1500</v>
      </c>
      <c r="I485">
        <v>2</v>
      </c>
      <c r="J485">
        <v>325623</v>
      </c>
      <c r="K485">
        <v>8</v>
      </c>
      <c r="L485">
        <v>2</v>
      </c>
      <c r="M485" t="str">
        <f>VLOOKUP(Sales_Data!F485,Product_Master!$A$2:$D$11,2)</f>
        <v>Keyboard</v>
      </c>
      <c r="N485" t="str">
        <f>VLOOKUP(F485,Product_Master!$A$2:$C$11,3)</f>
        <v>Accessories</v>
      </c>
      <c r="O485">
        <f>VLOOKUP(F485,Product_Master!$A$2:$D$11,4,FALSE)</f>
        <v>1200</v>
      </c>
      <c r="P485">
        <f t="shared" si="70"/>
        <v>4500</v>
      </c>
      <c r="Q485">
        <f t="shared" si="71"/>
        <v>90</v>
      </c>
      <c r="R485">
        <f t="shared" si="72"/>
        <v>4410</v>
      </c>
      <c r="S485">
        <f t="shared" si="73"/>
        <v>810</v>
      </c>
      <c r="T485" t="str">
        <f>_xlfn.CONCAT(Sales_Data!C485,"-",Sales_Data!E485,"-",Sales_Data!A485)</f>
        <v>South-C1049-1484</v>
      </c>
      <c r="U485" t="str">
        <f t="shared" si="74"/>
        <v>Regular</v>
      </c>
      <c r="V485" t="str" cm="1">
        <f t="array" ref="V485">_xlfn.IFS(R485&gt;=100000,"Excellent",R485&gt;=50000,"Good",R485&gt;=20000,"Average",TRUE,"Poor")</f>
        <v>Poor</v>
      </c>
      <c r="W485">
        <f t="shared" si="75"/>
        <v>1</v>
      </c>
      <c r="X485" t="str">
        <f t="shared" si="76"/>
        <v>March</v>
      </c>
      <c r="Y485">
        <f>HLOOKUP("Q"&amp;W485,Bonus_HLookup!$A$1:$E$2,2,FALSE)</f>
        <v>0.02</v>
      </c>
      <c r="Z485">
        <f t="shared" si="77"/>
        <v>52099.68</v>
      </c>
      <c r="AA485" s="1">
        <f t="shared" si="78"/>
        <v>14727.046325837051</v>
      </c>
      <c r="AB485">
        <f t="shared" si="79"/>
        <v>812</v>
      </c>
    </row>
    <row r="486" spans="1:28" x14ac:dyDescent="0.3">
      <c r="A486">
        <v>1485</v>
      </c>
      <c r="B486" t="s">
        <v>357</v>
      </c>
      <c r="C486" t="s">
        <v>62</v>
      </c>
      <c r="D486" t="s">
        <v>33</v>
      </c>
      <c r="E486" t="s">
        <v>131</v>
      </c>
      <c r="F486" t="s">
        <v>69</v>
      </c>
      <c r="G486">
        <v>7</v>
      </c>
      <c r="H486">
        <v>2000</v>
      </c>
      <c r="I486">
        <v>0</v>
      </c>
      <c r="J486">
        <v>384279</v>
      </c>
      <c r="K486">
        <v>7</v>
      </c>
      <c r="L486">
        <v>2</v>
      </c>
      <c r="M486" t="str">
        <f>VLOOKUP(Sales_Data!F486,Product_Master!$A$2:$D$11,2)</f>
        <v>Headset</v>
      </c>
      <c r="N486" t="str">
        <f>VLOOKUP(F486,Product_Master!$A$2:$C$11,3)</f>
        <v>Accessories</v>
      </c>
      <c r="O486">
        <f>VLOOKUP(F486,Product_Master!$A$2:$D$11,4,FALSE)</f>
        <v>1500</v>
      </c>
      <c r="P486">
        <f t="shared" si="70"/>
        <v>14000</v>
      </c>
      <c r="Q486">
        <f t="shared" si="71"/>
        <v>0</v>
      </c>
      <c r="R486">
        <f t="shared" si="72"/>
        <v>14000</v>
      </c>
      <c r="S486">
        <f t="shared" si="73"/>
        <v>3500</v>
      </c>
      <c r="T486" t="str">
        <f>_xlfn.CONCAT(Sales_Data!C486,"-",Sales_Data!E486,"-",Sales_Data!A486)</f>
        <v>East-C1047-1485</v>
      </c>
      <c r="U486" t="str">
        <f t="shared" si="74"/>
        <v>Regular</v>
      </c>
      <c r="V486" t="str" cm="1">
        <f t="array" ref="V486">_xlfn.IFS(R486&gt;=100000,"Excellent",R486&gt;=50000,"Good",R486&gt;=20000,"Average",TRUE,"Poor")</f>
        <v>Poor</v>
      </c>
      <c r="W486">
        <f t="shared" si="75"/>
        <v>3</v>
      </c>
      <c r="X486" t="str">
        <f t="shared" si="76"/>
        <v>July</v>
      </c>
      <c r="Y486">
        <f>HLOOKUP("Q"&amp;W486,Bonus_HLookup!$A$1:$E$2,2,FALSE)</f>
        <v>0.06</v>
      </c>
      <c r="Z486">
        <f t="shared" si="77"/>
        <v>53799.06</v>
      </c>
      <c r="AA486" s="1">
        <f t="shared" si="78"/>
        <v>17205.161925177617</v>
      </c>
      <c r="AB486">
        <f t="shared" si="79"/>
        <v>539</v>
      </c>
    </row>
    <row r="487" spans="1:28" x14ac:dyDescent="0.3">
      <c r="A487">
        <v>1486</v>
      </c>
      <c r="B487" t="s">
        <v>95</v>
      </c>
      <c r="C487" t="s">
        <v>62</v>
      </c>
      <c r="D487" t="s">
        <v>59</v>
      </c>
      <c r="E487" t="s">
        <v>231</v>
      </c>
      <c r="F487" t="s">
        <v>69</v>
      </c>
      <c r="G487">
        <v>9</v>
      </c>
      <c r="H487">
        <v>2000</v>
      </c>
      <c r="I487">
        <v>2</v>
      </c>
      <c r="J487">
        <v>234166</v>
      </c>
      <c r="K487">
        <v>12</v>
      </c>
      <c r="L487">
        <v>4</v>
      </c>
      <c r="M487" t="str">
        <f>VLOOKUP(Sales_Data!F487,Product_Master!$A$2:$D$11,2)</f>
        <v>Headset</v>
      </c>
      <c r="N487" t="str">
        <f>VLOOKUP(F487,Product_Master!$A$2:$C$11,3)</f>
        <v>Accessories</v>
      </c>
      <c r="O487">
        <f>VLOOKUP(F487,Product_Master!$A$2:$D$11,4,FALSE)</f>
        <v>1500</v>
      </c>
      <c r="P487">
        <f t="shared" si="70"/>
        <v>18000</v>
      </c>
      <c r="Q487">
        <f t="shared" si="71"/>
        <v>360</v>
      </c>
      <c r="R487">
        <f t="shared" si="72"/>
        <v>17640</v>
      </c>
      <c r="S487">
        <f t="shared" si="73"/>
        <v>4140</v>
      </c>
      <c r="T487" t="str">
        <f>_xlfn.CONCAT(Sales_Data!C487,"-",Sales_Data!E487,"-",Sales_Data!A487)</f>
        <v>East-C1006-1486</v>
      </c>
      <c r="U487" t="str">
        <f t="shared" si="74"/>
        <v>Regular</v>
      </c>
      <c r="V487" t="str" cm="1">
        <f t="array" ref="V487">_xlfn.IFS(R487&gt;=100000,"Excellent",R487&gt;=50000,"Good",R487&gt;=20000,"Average",TRUE,"Poor")</f>
        <v>Poor</v>
      </c>
      <c r="W487">
        <f t="shared" si="75"/>
        <v>1</v>
      </c>
      <c r="X487" t="str">
        <f t="shared" si="76"/>
        <v>March</v>
      </c>
      <c r="Y487">
        <f>HLOOKUP("Q"&amp;W487,Bonus_HLookup!$A$1:$E$2,2,FALSE)</f>
        <v>0.02</v>
      </c>
      <c r="Z487">
        <f t="shared" si="77"/>
        <v>112399.67999999999</v>
      </c>
      <c r="AA487" s="1">
        <f t="shared" si="78"/>
        <v>6166.4889077527978</v>
      </c>
      <c r="AB487">
        <f t="shared" si="79"/>
        <v>487</v>
      </c>
    </row>
    <row r="488" spans="1:28" x14ac:dyDescent="0.3">
      <c r="A488">
        <v>1487</v>
      </c>
      <c r="B488" t="s">
        <v>110</v>
      </c>
      <c r="C488" t="s">
        <v>13</v>
      </c>
      <c r="D488" t="s">
        <v>50</v>
      </c>
      <c r="E488" t="s">
        <v>34</v>
      </c>
      <c r="F488" t="s">
        <v>39</v>
      </c>
      <c r="G488">
        <v>3</v>
      </c>
      <c r="H488">
        <v>7000</v>
      </c>
      <c r="I488">
        <v>5</v>
      </c>
      <c r="J488">
        <v>65004</v>
      </c>
      <c r="K488">
        <v>11</v>
      </c>
      <c r="L488">
        <v>2</v>
      </c>
      <c r="M488" t="str">
        <f>VLOOKUP(Sales_Data!F488,Product_Master!$A$2:$D$11,2)</f>
        <v>Router</v>
      </c>
      <c r="N488" t="str">
        <f>VLOOKUP(F488,Product_Master!$A$2:$C$11,3)</f>
        <v>Electronics</v>
      </c>
      <c r="O488">
        <f>VLOOKUP(F488,Product_Master!$A$2:$D$11,4,FALSE)</f>
        <v>5000</v>
      </c>
      <c r="P488">
        <f t="shared" si="70"/>
        <v>21000</v>
      </c>
      <c r="Q488">
        <f t="shared" si="71"/>
        <v>1050</v>
      </c>
      <c r="R488">
        <f t="shared" si="72"/>
        <v>19950</v>
      </c>
      <c r="S488">
        <f t="shared" si="73"/>
        <v>4950</v>
      </c>
      <c r="T488" t="str">
        <f>_xlfn.CONCAT(Sales_Data!C488,"-",Sales_Data!E488,"-",Sales_Data!A488)</f>
        <v>West-C1036-1487</v>
      </c>
      <c r="U488" t="str">
        <f t="shared" si="74"/>
        <v>Regular</v>
      </c>
      <c r="V488" t="str" cm="1">
        <f t="array" ref="V488">_xlfn.IFS(R488&gt;=100000,"Excellent",R488&gt;=50000,"Good",R488&gt;=20000,"Average",TRUE,"Poor")</f>
        <v>Poor</v>
      </c>
      <c r="W488">
        <f t="shared" si="75"/>
        <v>2</v>
      </c>
      <c r="X488" t="str">
        <f t="shared" si="76"/>
        <v>June</v>
      </c>
      <c r="Y488">
        <f>HLOOKUP("Q"&amp;W488,Bonus_HLookup!$A$1:$E$2,2,FALSE)</f>
        <v>0.04</v>
      </c>
      <c r="Z488">
        <f t="shared" si="77"/>
        <v>14300.88</v>
      </c>
      <c r="AA488" s="1">
        <f t="shared" si="78"/>
        <v>3029.6959141269153</v>
      </c>
      <c r="AB488">
        <f t="shared" si="79"/>
        <v>458</v>
      </c>
    </row>
    <row r="489" spans="1:28" x14ac:dyDescent="0.3">
      <c r="A489">
        <v>1488</v>
      </c>
      <c r="B489" t="s">
        <v>358</v>
      </c>
      <c r="C489" t="s">
        <v>62</v>
      </c>
      <c r="D489" t="s">
        <v>33</v>
      </c>
      <c r="E489" t="s">
        <v>115</v>
      </c>
      <c r="F489" t="s">
        <v>21</v>
      </c>
      <c r="G489">
        <v>2</v>
      </c>
      <c r="H489">
        <v>12000</v>
      </c>
      <c r="I489">
        <v>5</v>
      </c>
      <c r="J489">
        <v>493385</v>
      </c>
      <c r="K489">
        <v>12</v>
      </c>
      <c r="L489">
        <v>4</v>
      </c>
      <c r="M489" t="str">
        <f>VLOOKUP(Sales_Data!F489,Product_Master!$A$2:$D$11,2)</f>
        <v>Monitor</v>
      </c>
      <c r="N489" t="str">
        <f>VLOOKUP(F489,Product_Master!$A$2:$C$11,3)</f>
        <v>Electronics</v>
      </c>
      <c r="O489">
        <f>VLOOKUP(F489,Product_Master!$A$2:$D$11,4,FALSE)</f>
        <v>9000</v>
      </c>
      <c r="P489">
        <f t="shared" si="70"/>
        <v>24000</v>
      </c>
      <c r="Q489">
        <f t="shared" si="71"/>
        <v>1200</v>
      </c>
      <c r="R489">
        <f t="shared" si="72"/>
        <v>22800</v>
      </c>
      <c r="S489">
        <f t="shared" si="73"/>
        <v>4800</v>
      </c>
      <c r="T489" t="str">
        <f>_xlfn.CONCAT(Sales_Data!C489,"-",Sales_Data!E489,"-",Sales_Data!A489)</f>
        <v>East-C1026-1488</v>
      </c>
      <c r="U489" t="str">
        <f t="shared" si="74"/>
        <v>Regular</v>
      </c>
      <c r="V489" t="str" cm="1">
        <f t="array" ref="V489">_xlfn.IFS(R489&gt;=100000,"Excellent",R489&gt;=50000,"Good",R489&gt;=20000,"Average",TRUE,"Poor")</f>
        <v>Average</v>
      </c>
      <c r="W489">
        <f t="shared" si="75"/>
        <v>3</v>
      </c>
      <c r="X489" t="str">
        <f t="shared" si="76"/>
        <v>July</v>
      </c>
      <c r="Y489">
        <f>HLOOKUP("Q"&amp;W489,Bonus_HLookup!$A$1:$E$2,2,FALSE)</f>
        <v>0.06</v>
      </c>
      <c r="Z489">
        <f t="shared" si="77"/>
        <v>236824.8</v>
      </c>
      <c r="AA489" s="1">
        <f t="shared" si="78"/>
        <v>12992.719394581682</v>
      </c>
      <c r="AB489">
        <f t="shared" si="79"/>
        <v>410</v>
      </c>
    </row>
    <row r="490" spans="1:28" x14ac:dyDescent="0.3">
      <c r="A490">
        <v>1489</v>
      </c>
      <c r="B490" t="s">
        <v>154</v>
      </c>
      <c r="C490" t="s">
        <v>13</v>
      </c>
      <c r="D490" t="s">
        <v>50</v>
      </c>
      <c r="E490" t="s">
        <v>196</v>
      </c>
      <c r="F490" t="s">
        <v>36</v>
      </c>
      <c r="G490">
        <v>2</v>
      </c>
      <c r="H490">
        <v>55000</v>
      </c>
      <c r="I490">
        <v>8</v>
      </c>
      <c r="J490">
        <v>280437</v>
      </c>
      <c r="K490">
        <v>9</v>
      </c>
      <c r="L490">
        <v>2</v>
      </c>
      <c r="M490" t="str">
        <f>VLOOKUP(Sales_Data!F490,Product_Master!$A$2:$D$11,2)</f>
        <v>Laptop</v>
      </c>
      <c r="N490" t="str">
        <f>VLOOKUP(F490,Product_Master!$A$2:$C$11,3)</f>
        <v>Electronics</v>
      </c>
      <c r="O490">
        <f>VLOOKUP(F490,Product_Master!$A$2:$D$11,4,FALSE)</f>
        <v>45000</v>
      </c>
      <c r="P490">
        <f t="shared" si="70"/>
        <v>110000</v>
      </c>
      <c r="Q490">
        <f t="shared" si="71"/>
        <v>8800</v>
      </c>
      <c r="R490">
        <f t="shared" si="72"/>
        <v>101200</v>
      </c>
      <c r="S490">
        <f t="shared" si="73"/>
        <v>11200</v>
      </c>
      <c r="T490" t="str">
        <f>_xlfn.CONCAT(Sales_Data!C490,"-",Sales_Data!E490,"-",Sales_Data!A490)</f>
        <v>West-C1032-1489</v>
      </c>
      <c r="U490" t="str">
        <f t="shared" si="74"/>
        <v>High Value</v>
      </c>
      <c r="V490" t="str" cm="1">
        <f t="array" ref="V490">_xlfn.IFS(R490&gt;=100000,"Excellent",R490&gt;=50000,"Good",R490&gt;=20000,"Average",TRUE,"Poor")</f>
        <v>Excellent</v>
      </c>
      <c r="W490">
        <f t="shared" si="75"/>
        <v>1</v>
      </c>
      <c r="X490" t="str">
        <f t="shared" si="76"/>
        <v>March</v>
      </c>
      <c r="Y490">
        <f>HLOOKUP("Q"&amp;W490,Bonus_HLookup!$A$1:$E$2,2,FALSE)</f>
        <v>0.02</v>
      </c>
      <c r="Z490">
        <f t="shared" si="77"/>
        <v>50478.66</v>
      </c>
      <c r="AA490" s="1">
        <f t="shared" si="78"/>
        <v>12811.692070544465</v>
      </c>
      <c r="AB490">
        <f t="shared" si="79"/>
        <v>162</v>
      </c>
    </row>
    <row r="491" spans="1:28" x14ac:dyDescent="0.3">
      <c r="A491">
        <v>1490</v>
      </c>
      <c r="B491" t="s">
        <v>32</v>
      </c>
      <c r="C491" t="s">
        <v>13</v>
      </c>
      <c r="D491" t="s">
        <v>23</v>
      </c>
      <c r="E491" t="s">
        <v>187</v>
      </c>
      <c r="F491" t="s">
        <v>39</v>
      </c>
      <c r="G491">
        <v>7</v>
      </c>
      <c r="H491">
        <v>7000</v>
      </c>
      <c r="I491">
        <v>2</v>
      </c>
      <c r="J491">
        <v>432048</v>
      </c>
      <c r="K491">
        <v>11</v>
      </c>
      <c r="L491">
        <v>3</v>
      </c>
      <c r="M491" t="str">
        <f>VLOOKUP(Sales_Data!F491,Product_Master!$A$2:$D$11,2)</f>
        <v>Router</v>
      </c>
      <c r="N491" t="str">
        <f>VLOOKUP(F491,Product_Master!$A$2:$C$11,3)</f>
        <v>Electronics</v>
      </c>
      <c r="O491">
        <f>VLOOKUP(F491,Product_Master!$A$2:$D$11,4,FALSE)</f>
        <v>5000</v>
      </c>
      <c r="P491">
        <f t="shared" si="70"/>
        <v>49000</v>
      </c>
      <c r="Q491">
        <f t="shared" si="71"/>
        <v>980</v>
      </c>
      <c r="R491">
        <f t="shared" si="72"/>
        <v>48020</v>
      </c>
      <c r="S491">
        <f t="shared" si="73"/>
        <v>13020</v>
      </c>
      <c r="T491" t="str">
        <f>_xlfn.CONCAT(Sales_Data!C491,"-",Sales_Data!E491,"-",Sales_Data!A491)</f>
        <v>West-C1041-1490</v>
      </c>
      <c r="U491" t="str">
        <f t="shared" si="74"/>
        <v>Regular</v>
      </c>
      <c r="V491" t="str" cm="1">
        <f t="array" ref="V491">_xlfn.IFS(R491&gt;=100000,"Excellent",R491&gt;=50000,"Good",R491&gt;=20000,"Average",TRUE,"Poor")</f>
        <v>Average</v>
      </c>
      <c r="W491">
        <f t="shared" si="75"/>
        <v>4</v>
      </c>
      <c r="X491" t="str">
        <f t="shared" si="76"/>
        <v>November</v>
      </c>
      <c r="Y491">
        <f>HLOOKUP("Q"&amp;W491,Bonus_HLookup!$A$1:$E$2,2,FALSE)</f>
        <v>0.08</v>
      </c>
      <c r="Z491">
        <f t="shared" si="77"/>
        <v>142575.84</v>
      </c>
      <c r="AA491" s="1">
        <f t="shared" si="78"/>
        <v>14144.697252966496</v>
      </c>
      <c r="AB491">
        <f t="shared" si="79"/>
        <v>307</v>
      </c>
    </row>
    <row r="492" spans="1:28" x14ac:dyDescent="0.3">
      <c r="A492">
        <v>1491</v>
      </c>
      <c r="B492" t="s">
        <v>137</v>
      </c>
      <c r="C492" t="s">
        <v>13</v>
      </c>
      <c r="D492" t="s">
        <v>50</v>
      </c>
      <c r="E492" t="s">
        <v>31</v>
      </c>
      <c r="F492" t="s">
        <v>52</v>
      </c>
      <c r="G492">
        <v>2</v>
      </c>
      <c r="H492">
        <v>500</v>
      </c>
      <c r="I492">
        <v>5</v>
      </c>
      <c r="J492">
        <v>358241</v>
      </c>
      <c r="K492">
        <v>10</v>
      </c>
      <c r="L492">
        <v>1</v>
      </c>
      <c r="M492" t="str">
        <f>VLOOKUP(Sales_Data!F492,Product_Master!$A$2:$D$11,2)</f>
        <v>Mouse</v>
      </c>
      <c r="N492" t="str">
        <f>VLOOKUP(F492,Product_Master!$A$2:$C$11,3)</f>
        <v>Accessories</v>
      </c>
      <c r="O492">
        <f>VLOOKUP(F492,Product_Master!$A$2:$D$11,4,FALSE)</f>
        <v>350</v>
      </c>
      <c r="P492">
        <f t="shared" si="70"/>
        <v>1000</v>
      </c>
      <c r="Q492">
        <f t="shared" si="71"/>
        <v>50</v>
      </c>
      <c r="R492">
        <f t="shared" si="72"/>
        <v>950</v>
      </c>
      <c r="S492">
        <f t="shared" si="73"/>
        <v>250</v>
      </c>
      <c r="T492" t="str">
        <f>_xlfn.CONCAT(Sales_Data!C492,"-",Sales_Data!E492,"-",Sales_Data!A492)</f>
        <v>West-C1025-1491</v>
      </c>
      <c r="U492" t="str">
        <f t="shared" si="74"/>
        <v>Regular</v>
      </c>
      <c r="V492" t="str" cm="1">
        <f t="array" ref="V492">_xlfn.IFS(R492&gt;=100000,"Excellent",R492&gt;=50000,"Good",R492&gt;=20000,"Average",TRUE,"Poor")</f>
        <v>Poor</v>
      </c>
      <c r="W492">
        <f t="shared" si="75"/>
        <v>1</v>
      </c>
      <c r="X492" t="str">
        <f t="shared" si="76"/>
        <v>February</v>
      </c>
      <c r="Y492">
        <f>HLOOKUP("Q"&amp;W492,Bonus_HLookup!$A$1:$E$2,2,FALSE)</f>
        <v>0.02</v>
      </c>
      <c r="Z492">
        <f t="shared" si="77"/>
        <v>35824.1</v>
      </c>
      <c r="AA492" s="1">
        <f t="shared" si="78"/>
        <v>31495.075357165868</v>
      </c>
      <c r="AB492">
        <f t="shared" si="79"/>
        <v>967</v>
      </c>
    </row>
    <row r="493" spans="1:28" x14ac:dyDescent="0.3">
      <c r="A493">
        <v>1492</v>
      </c>
      <c r="B493" t="s">
        <v>107</v>
      </c>
      <c r="C493" t="s">
        <v>18</v>
      </c>
      <c r="D493" t="s">
        <v>19</v>
      </c>
      <c r="E493" t="s">
        <v>122</v>
      </c>
      <c r="F493" t="s">
        <v>16</v>
      </c>
      <c r="G493">
        <v>5</v>
      </c>
      <c r="H493">
        <v>2500</v>
      </c>
      <c r="I493">
        <v>12</v>
      </c>
      <c r="J493">
        <v>216715</v>
      </c>
      <c r="K493">
        <v>11</v>
      </c>
      <c r="L493">
        <v>5</v>
      </c>
      <c r="M493" t="str">
        <f>VLOOKUP(Sales_Data!F493,Product_Master!$A$2:$D$11,2)</f>
        <v>Speaker</v>
      </c>
      <c r="N493" t="str">
        <f>VLOOKUP(F493,Product_Master!$A$2:$C$11,3)</f>
        <v>Accessories</v>
      </c>
      <c r="O493">
        <f>VLOOKUP(F493,Product_Master!$A$2:$D$11,4,FALSE)</f>
        <v>1800</v>
      </c>
      <c r="P493">
        <f t="shared" si="70"/>
        <v>12500</v>
      </c>
      <c r="Q493">
        <f t="shared" si="71"/>
        <v>1500</v>
      </c>
      <c r="R493">
        <f t="shared" si="72"/>
        <v>11000</v>
      </c>
      <c r="S493">
        <f t="shared" si="73"/>
        <v>2000</v>
      </c>
      <c r="T493" t="str">
        <f>_xlfn.CONCAT(Sales_Data!C493,"-",Sales_Data!E493,"-",Sales_Data!A493)</f>
        <v>North-C1046-1492</v>
      </c>
      <c r="U493" t="str">
        <f t="shared" si="74"/>
        <v>Regular</v>
      </c>
      <c r="V493" t="str" cm="1">
        <f t="array" ref="V493">_xlfn.IFS(R493&gt;=100000,"Excellent",R493&gt;=50000,"Good",R493&gt;=20000,"Average",TRUE,"Poor")</f>
        <v>Poor</v>
      </c>
      <c r="W493">
        <f t="shared" si="75"/>
        <v>3</v>
      </c>
      <c r="X493" t="str">
        <f t="shared" si="76"/>
        <v>July</v>
      </c>
      <c r="Y493">
        <f>HLOOKUP("Q"&amp;W493,Bonus_HLookup!$A$1:$E$2,2,FALSE)</f>
        <v>0.06</v>
      </c>
      <c r="Z493">
        <f t="shared" si="77"/>
        <v>119193.25</v>
      </c>
      <c r="AA493" s="1">
        <f t="shared" si="78"/>
        <v>4711.9092161878953</v>
      </c>
      <c r="AB493">
        <f t="shared" si="79"/>
        <v>616</v>
      </c>
    </row>
    <row r="494" spans="1:28" x14ac:dyDescent="0.3">
      <c r="A494">
        <v>1493</v>
      </c>
      <c r="B494" t="s">
        <v>72</v>
      </c>
      <c r="C494" t="s">
        <v>18</v>
      </c>
      <c r="D494" t="s">
        <v>23</v>
      </c>
      <c r="E494" t="s">
        <v>157</v>
      </c>
      <c r="F494" t="s">
        <v>74</v>
      </c>
      <c r="G494">
        <v>5</v>
      </c>
      <c r="H494">
        <v>35000</v>
      </c>
      <c r="I494">
        <v>15</v>
      </c>
      <c r="J494">
        <v>246700</v>
      </c>
      <c r="K494">
        <v>11</v>
      </c>
      <c r="L494">
        <v>4</v>
      </c>
      <c r="M494" t="str">
        <f>VLOOKUP(Sales_Data!F494,Product_Master!$A$2:$D$11,2)</f>
        <v>Tablet</v>
      </c>
      <c r="N494" t="str">
        <f>VLOOKUP(F494,Product_Master!$A$2:$C$11,3)</f>
        <v>Electronics</v>
      </c>
      <c r="O494">
        <f>VLOOKUP(F494,Product_Master!$A$2:$D$11,4,FALSE)</f>
        <v>29000</v>
      </c>
      <c r="P494">
        <f t="shared" si="70"/>
        <v>175000</v>
      </c>
      <c r="Q494">
        <f t="shared" si="71"/>
        <v>26250</v>
      </c>
      <c r="R494">
        <f t="shared" si="72"/>
        <v>148750</v>
      </c>
      <c r="S494">
        <f t="shared" si="73"/>
        <v>3750</v>
      </c>
      <c r="T494" t="str">
        <f>_xlfn.CONCAT(Sales_Data!C494,"-",Sales_Data!E494,"-",Sales_Data!A494)</f>
        <v>North-C1024-1493</v>
      </c>
      <c r="U494" t="str">
        <f t="shared" si="74"/>
        <v>High Value</v>
      </c>
      <c r="V494" t="str" cm="1">
        <f t="array" ref="V494">_xlfn.IFS(R494&gt;=100000,"Excellent",R494&gt;=50000,"Good",R494&gt;=20000,"Average",TRUE,"Poor")</f>
        <v>Excellent</v>
      </c>
      <c r="W494">
        <f t="shared" si="75"/>
        <v>4</v>
      </c>
      <c r="X494" t="str">
        <f t="shared" si="76"/>
        <v>October</v>
      </c>
      <c r="Y494">
        <f>HLOOKUP("Q"&amp;W494,Bonus_HLookup!$A$1:$E$2,2,FALSE)</f>
        <v>0.08</v>
      </c>
      <c r="Z494">
        <f t="shared" si="77"/>
        <v>108548</v>
      </c>
      <c r="AA494" s="1">
        <f t="shared" si="78"/>
        <v>6376.0904282454094</v>
      </c>
      <c r="AB494">
        <f t="shared" si="79"/>
        <v>133</v>
      </c>
    </row>
    <row r="495" spans="1:28" x14ac:dyDescent="0.3">
      <c r="A495">
        <v>1494</v>
      </c>
      <c r="B495" t="s">
        <v>121</v>
      </c>
      <c r="C495" t="s">
        <v>62</v>
      </c>
      <c r="D495" t="s">
        <v>14</v>
      </c>
      <c r="E495" t="s">
        <v>112</v>
      </c>
      <c r="F495" t="s">
        <v>42</v>
      </c>
      <c r="G495">
        <v>4</v>
      </c>
      <c r="H495">
        <v>8000</v>
      </c>
      <c r="I495">
        <v>15</v>
      </c>
      <c r="J495">
        <v>186535</v>
      </c>
      <c r="K495">
        <v>10</v>
      </c>
      <c r="L495">
        <v>1</v>
      </c>
      <c r="M495" t="str">
        <f>VLOOKUP(Sales_Data!F495,Product_Master!$A$2:$D$11,2)</f>
        <v>Printer</v>
      </c>
      <c r="N495" t="str">
        <f>VLOOKUP(F495,Product_Master!$A$2:$C$11,3)</f>
        <v>Electronics</v>
      </c>
      <c r="O495">
        <f>VLOOKUP(F495,Product_Master!$A$2:$D$11,4,FALSE)</f>
        <v>6500</v>
      </c>
      <c r="P495">
        <f t="shared" si="70"/>
        <v>32000</v>
      </c>
      <c r="Q495">
        <f t="shared" si="71"/>
        <v>4800</v>
      </c>
      <c r="R495">
        <f t="shared" si="72"/>
        <v>27200</v>
      </c>
      <c r="S495">
        <f t="shared" si="73"/>
        <v>1200</v>
      </c>
      <c r="T495" t="str">
        <f>_xlfn.CONCAT(Sales_Data!C495,"-",Sales_Data!E495,"-",Sales_Data!A495)</f>
        <v>East-C1048-1494</v>
      </c>
      <c r="U495" t="str">
        <f t="shared" si="74"/>
        <v>Regular</v>
      </c>
      <c r="V495" t="str" cm="1">
        <f t="array" ref="V495">_xlfn.IFS(R495&gt;=100000,"Excellent",R495&gt;=50000,"Good",R495&gt;=20000,"Average",TRUE,"Poor")</f>
        <v>Average</v>
      </c>
      <c r="W495">
        <f t="shared" si="75"/>
        <v>4</v>
      </c>
      <c r="X495" t="str">
        <f t="shared" si="76"/>
        <v>December</v>
      </c>
      <c r="Y495">
        <f>HLOOKUP("Q"&amp;W495,Bonus_HLookup!$A$1:$E$2,2,FALSE)</f>
        <v>0.08</v>
      </c>
      <c r="Z495">
        <f t="shared" si="77"/>
        <v>18653.5</v>
      </c>
      <c r="AA495" s="1">
        <f t="shared" si="78"/>
        <v>16399.39002444984</v>
      </c>
      <c r="AB495">
        <f t="shared" si="79"/>
        <v>390</v>
      </c>
    </row>
    <row r="496" spans="1:28" x14ac:dyDescent="0.3">
      <c r="A496">
        <v>1495</v>
      </c>
      <c r="B496" t="s">
        <v>100</v>
      </c>
      <c r="C496" t="s">
        <v>18</v>
      </c>
      <c r="D496" t="s">
        <v>23</v>
      </c>
      <c r="E496" t="s">
        <v>47</v>
      </c>
      <c r="F496" t="s">
        <v>36</v>
      </c>
      <c r="G496">
        <v>2</v>
      </c>
      <c r="H496">
        <v>55000</v>
      </c>
      <c r="I496">
        <v>8</v>
      </c>
      <c r="J496">
        <v>449809</v>
      </c>
      <c r="K496">
        <v>8</v>
      </c>
      <c r="L496">
        <v>3</v>
      </c>
      <c r="M496" t="str">
        <f>VLOOKUP(Sales_Data!F496,Product_Master!$A$2:$D$11,2)</f>
        <v>Laptop</v>
      </c>
      <c r="N496" t="str">
        <f>VLOOKUP(F496,Product_Master!$A$2:$C$11,3)</f>
        <v>Electronics</v>
      </c>
      <c r="O496">
        <f>VLOOKUP(F496,Product_Master!$A$2:$D$11,4,FALSE)</f>
        <v>45000</v>
      </c>
      <c r="P496">
        <f t="shared" si="70"/>
        <v>110000</v>
      </c>
      <c r="Q496">
        <f t="shared" si="71"/>
        <v>8800</v>
      </c>
      <c r="R496">
        <f t="shared" si="72"/>
        <v>101200</v>
      </c>
      <c r="S496">
        <f t="shared" si="73"/>
        <v>11200</v>
      </c>
      <c r="T496" t="str">
        <f>_xlfn.CONCAT(Sales_Data!C496,"-",Sales_Data!E496,"-",Sales_Data!A496)</f>
        <v>North-C1030-1495</v>
      </c>
      <c r="U496" t="str">
        <f t="shared" si="74"/>
        <v>High Value</v>
      </c>
      <c r="V496" t="str" cm="1">
        <f t="array" ref="V496">_xlfn.IFS(R496&gt;=100000,"Excellent",R496&gt;=50000,"Good",R496&gt;=20000,"Average",TRUE,"Poor")</f>
        <v>Excellent</v>
      </c>
      <c r="W496">
        <f t="shared" si="75"/>
        <v>2</v>
      </c>
      <c r="X496" t="str">
        <f t="shared" si="76"/>
        <v>April</v>
      </c>
      <c r="Y496">
        <f>HLOOKUP("Q"&amp;W496,Bonus_HLookup!$A$1:$E$2,2,FALSE)</f>
        <v>0.04</v>
      </c>
      <c r="Z496">
        <f t="shared" si="77"/>
        <v>107954.16</v>
      </c>
      <c r="AA496" s="1">
        <f t="shared" si="78"/>
        <v>14095.379211840749</v>
      </c>
      <c r="AB496">
        <f t="shared" si="79"/>
        <v>162</v>
      </c>
    </row>
    <row r="497" spans="1:28" x14ac:dyDescent="0.3">
      <c r="A497">
        <v>1496</v>
      </c>
      <c r="B497" t="s">
        <v>332</v>
      </c>
      <c r="C497" t="s">
        <v>18</v>
      </c>
      <c r="D497" t="s">
        <v>50</v>
      </c>
      <c r="E497" t="s">
        <v>24</v>
      </c>
      <c r="F497" t="s">
        <v>25</v>
      </c>
      <c r="G497">
        <v>9</v>
      </c>
      <c r="H497">
        <v>1500</v>
      </c>
      <c r="I497">
        <v>0</v>
      </c>
      <c r="J497">
        <v>300473</v>
      </c>
      <c r="K497">
        <v>11</v>
      </c>
      <c r="L497">
        <v>3</v>
      </c>
      <c r="M497" t="str">
        <f>VLOOKUP(Sales_Data!F497,Product_Master!$A$2:$D$11,2)</f>
        <v>Keyboard</v>
      </c>
      <c r="N497" t="str">
        <f>VLOOKUP(F497,Product_Master!$A$2:$C$11,3)</f>
        <v>Accessories</v>
      </c>
      <c r="O497">
        <f>VLOOKUP(F497,Product_Master!$A$2:$D$11,4,FALSE)</f>
        <v>1200</v>
      </c>
      <c r="P497">
        <f t="shared" si="70"/>
        <v>13500</v>
      </c>
      <c r="Q497">
        <f t="shared" si="71"/>
        <v>0</v>
      </c>
      <c r="R497">
        <f t="shared" si="72"/>
        <v>13500</v>
      </c>
      <c r="S497">
        <f t="shared" si="73"/>
        <v>2700</v>
      </c>
      <c r="T497" t="str">
        <f>_xlfn.CONCAT(Sales_Data!C497,"-",Sales_Data!E497,"-",Sales_Data!A497)</f>
        <v>North-C1029-1496</v>
      </c>
      <c r="U497" t="str">
        <f t="shared" si="74"/>
        <v>Regular</v>
      </c>
      <c r="V497" t="str" cm="1">
        <f t="array" ref="V497">_xlfn.IFS(R497&gt;=100000,"Excellent",R497&gt;=50000,"Good",R497&gt;=20000,"Average",TRUE,"Poor")</f>
        <v>Poor</v>
      </c>
      <c r="W497">
        <f t="shared" si="75"/>
        <v>1</v>
      </c>
      <c r="X497" t="str">
        <f t="shared" si="76"/>
        <v>March</v>
      </c>
      <c r="Y497">
        <f>HLOOKUP("Q"&amp;W497,Bonus_HLookup!$A$1:$E$2,2,FALSE)</f>
        <v>0.02</v>
      </c>
      <c r="Z497">
        <f t="shared" si="77"/>
        <v>99156.09</v>
      </c>
      <c r="AA497" s="1">
        <f t="shared" si="78"/>
        <v>9837.100548296954</v>
      </c>
      <c r="AB497">
        <f t="shared" si="79"/>
        <v>553</v>
      </c>
    </row>
    <row r="498" spans="1:28" x14ac:dyDescent="0.3">
      <c r="A498">
        <v>1497</v>
      </c>
      <c r="B498" t="s">
        <v>141</v>
      </c>
      <c r="C498" t="s">
        <v>18</v>
      </c>
      <c r="D498" t="s">
        <v>59</v>
      </c>
      <c r="E498" t="s">
        <v>15</v>
      </c>
      <c r="F498" t="s">
        <v>74</v>
      </c>
      <c r="G498">
        <v>7</v>
      </c>
      <c r="H498">
        <v>35000</v>
      </c>
      <c r="I498">
        <v>8</v>
      </c>
      <c r="J498">
        <v>283592</v>
      </c>
      <c r="K498">
        <v>8</v>
      </c>
      <c r="L498">
        <v>4</v>
      </c>
      <c r="M498" t="str">
        <f>VLOOKUP(Sales_Data!F498,Product_Master!$A$2:$D$11,2)</f>
        <v>Tablet</v>
      </c>
      <c r="N498" t="str">
        <f>VLOOKUP(F498,Product_Master!$A$2:$C$11,3)</f>
        <v>Electronics</v>
      </c>
      <c r="O498">
        <f>VLOOKUP(F498,Product_Master!$A$2:$D$11,4,FALSE)</f>
        <v>29000</v>
      </c>
      <c r="P498">
        <f t="shared" si="70"/>
        <v>245000</v>
      </c>
      <c r="Q498">
        <f t="shared" si="71"/>
        <v>19600</v>
      </c>
      <c r="R498">
        <f t="shared" si="72"/>
        <v>225400</v>
      </c>
      <c r="S498">
        <f t="shared" si="73"/>
        <v>22400</v>
      </c>
      <c r="T498" t="str">
        <f>_xlfn.CONCAT(Sales_Data!C498,"-",Sales_Data!E498,"-",Sales_Data!A498)</f>
        <v>North-C1016-1497</v>
      </c>
      <c r="U498" t="str">
        <f t="shared" si="74"/>
        <v>High Value</v>
      </c>
      <c r="V498" t="str" cm="1">
        <f t="array" ref="V498">_xlfn.IFS(R498&gt;=100000,"Excellent",R498&gt;=50000,"Good",R498&gt;=20000,"Average",TRUE,"Poor")</f>
        <v>Excellent</v>
      </c>
      <c r="W498">
        <f t="shared" si="75"/>
        <v>4</v>
      </c>
      <c r="X498" t="str">
        <f t="shared" si="76"/>
        <v>November</v>
      </c>
      <c r="Y498">
        <f>HLOOKUP("Q"&amp;W498,Bonus_HLookup!$A$1:$E$2,2,FALSE)</f>
        <v>0.08</v>
      </c>
      <c r="Z498">
        <f t="shared" si="77"/>
        <v>90749.440000000002</v>
      </c>
      <c r="AA498" s="1">
        <f t="shared" si="78"/>
        <v>6923.3094726713716</v>
      </c>
      <c r="AB498">
        <f t="shared" si="79"/>
        <v>93</v>
      </c>
    </row>
    <row r="499" spans="1:28" x14ac:dyDescent="0.3">
      <c r="A499">
        <v>1498</v>
      </c>
      <c r="B499" t="s">
        <v>298</v>
      </c>
      <c r="C499" t="s">
        <v>18</v>
      </c>
      <c r="D499" t="s">
        <v>23</v>
      </c>
      <c r="E499" t="s">
        <v>63</v>
      </c>
      <c r="F499" t="s">
        <v>42</v>
      </c>
      <c r="G499">
        <v>4</v>
      </c>
      <c r="H499">
        <v>8000</v>
      </c>
      <c r="I499">
        <v>5</v>
      </c>
      <c r="J499">
        <v>401469</v>
      </c>
      <c r="K499">
        <v>12</v>
      </c>
      <c r="L499">
        <v>2</v>
      </c>
      <c r="M499" t="str">
        <f>VLOOKUP(Sales_Data!F499,Product_Master!$A$2:$D$11,2)</f>
        <v>Printer</v>
      </c>
      <c r="N499" t="str">
        <f>VLOOKUP(F499,Product_Master!$A$2:$C$11,3)</f>
        <v>Electronics</v>
      </c>
      <c r="O499">
        <f>VLOOKUP(F499,Product_Master!$A$2:$D$11,4,FALSE)</f>
        <v>6500</v>
      </c>
      <c r="P499">
        <f t="shared" si="70"/>
        <v>32000</v>
      </c>
      <c r="Q499">
        <f t="shared" si="71"/>
        <v>1600</v>
      </c>
      <c r="R499">
        <f t="shared" si="72"/>
        <v>30400</v>
      </c>
      <c r="S499">
        <f t="shared" si="73"/>
        <v>4400</v>
      </c>
      <c r="T499" t="str">
        <f>_xlfn.CONCAT(Sales_Data!C499,"-",Sales_Data!E499,"-",Sales_Data!A499)</f>
        <v>North-C1035-1498</v>
      </c>
      <c r="U499" t="str">
        <f t="shared" si="74"/>
        <v>Regular</v>
      </c>
      <c r="V499" t="str" cm="1">
        <f t="array" ref="V499">_xlfn.IFS(R499&gt;=100000,"Excellent",R499&gt;=50000,"Good",R499&gt;=20000,"Average",TRUE,"Poor")</f>
        <v>Average</v>
      </c>
      <c r="W499">
        <f t="shared" si="75"/>
        <v>1</v>
      </c>
      <c r="X499" t="str">
        <f t="shared" si="76"/>
        <v>February</v>
      </c>
      <c r="Y499">
        <f>HLOOKUP("Q"&amp;W499,Bonus_HLookup!$A$1:$E$2,2,FALSE)</f>
        <v>0.02</v>
      </c>
      <c r="Z499">
        <f t="shared" si="77"/>
        <v>96352.56</v>
      </c>
      <c r="AA499" s="1">
        <f t="shared" si="78"/>
        <v>18898.539820001857</v>
      </c>
      <c r="AB499">
        <f t="shared" si="79"/>
        <v>375</v>
      </c>
    </row>
    <row r="500" spans="1:28" x14ac:dyDescent="0.3">
      <c r="A500">
        <v>1499</v>
      </c>
      <c r="B500" t="s">
        <v>359</v>
      </c>
      <c r="C500" t="s">
        <v>18</v>
      </c>
      <c r="D500" t="s">
        <v>59</v>
      </c>
      <c r="E500" t="s">
        <v>187</v>
      </c>
      <c r="F500" t="s">
        <v>16</v>
      </c>
      <c r="G500">
        <v>8</v>
      </c>
      <c r="H500">
        <v>2500</v>
      </c>
      <c r="I500">
        <v>10</v>
      </c>
      <c r="J500">
        <v>340106</v>
      </c>
      <c r="K500">
        <v>11</v>
      </c>
      <c r="L500">
        <v>3</v>
      </c>
      <c r="M500" t="str">
        <f>VLOOKUP(Sales_Data!F500,Product_Master!$A$2:$D$11,2)</f>
        <v>Speaker</v>
      </c>
      <c r="N500" t="str">
        <f>VLOOKUP(F500,Product_Master!$A$2:$C$11,3)</f>
        <v>Accessories</v>
      </c>
      <c r="O500">
        <f>VLOOKUP(F500,Product_Master!$A$2:$D$11,4,FALSE)</f>
        <v>1800</v>
      </c>
      <c r="P500">
        <f t="shared" si="70"/>
        <v>20000</v>
      </c>
      <c r="Q500">
        <f t="shared" si="71"/>
        <v>2000</v>
      </c>
      <c r="R500">
        <f t="shared" si="72"/>
        <v>18000</v>
      </c>
      <c r="S500">
        <f t="shared" si="73"/>
        <v>3600</v>
      </c>
      <c r="T500" t="str">
        <f>_xlfn.CONCAT(Sales_Data!C500,"-",Sales_Data!E500,"-",Sales_Data!A500)</f>
        <v>North-C1041-1499</v>
      </c>
      <c r="U500" t="str">
        <f t="shared" si="74"/>
        <v>Regular</v>
      </c>
      <c r="V500" t="str" cm="1">
        <f t="array" ref="V500">_xlfn.IFS(R500&gt;=100000,"Excellent",R500&gt;=50000,"Good",R500&gt;=20000,"Average",TRUE,"Poor")</f>
        <v>Poor</v>
      </c>
      <c r="W500">
        <f t="shared" si="75"/>
        <v>2</v>
      </c>
      <c r="X500" t="str">
        <f t="shared" si="76"/>
        <v>May</v>
      </c>
      <c r="Y500">
        <f>HLOOKUP("Q"&amp;W500,Bonus_HLookup!$A$1:$E$2,2,FALSE)</f>
        <v>0.04</v>
      </c>
      <c r="Z500">
        <f t="shared" si="77"/>
        <v>112234.98</v>
      </c>
      <c r="AA500" s="1">
        <f t="shared" si="78"/>
        <v>11134.634123795096</v>
      </c>
      <c r="AB500">
        <f t="shared" si="79"/>
        <v>480</v>
      </c>
    </row>
    <row r="501" spans="1:28" x14ac:dyDescent="0.3">
      <c r="A501">
        <v>1500</v>
      </c>
      <c r="B501" t="s">
        <v>296</v>
      </c>
      <c r="C501" t="s">
        <v>13</v>
      </c>
      <c r="D501" t="s">
        <v>19</v>
      </c>
      <c r="E501" t="s">
        <v>133</v>
      </c>
      <c r="F501" t="s">
        <v>21</v>
      </c>
      <c r="G501">
        <v>6</v>
      </c>
      <c r="H501">
        <v>12000</v>
      </c>
      <c r="I501">
        <v>5</v>
      </c>
      <c r="J501">
        <v>238438</v>
      </c>
      <c r="K501">
        <v>10</v>
      </c>
      <c r="L501">
        <v>5</v>
      </c>
      <c r="M501" t="str">
        <f>VLOOKUP(Sales_Data!F501,Product_Master!$A$2:$D$11,2)</f>
        <v>Monitor</v>
      </c>
      <c r="N501" t="str">
        <f>VLOOKUP(F501,Product_Master!$A$2:$C$11,3)</f>
        <v>Electronics</v>
      </c>
      <c r="O501">
        <f>VLOOKUP(F501,Product_Master!$A$2:$D$11,4,FALSE)</f>
        <v>9000</v>
      </c>
      <c r="P501">
        <f t="shared" si="70"/>
        <v>72000</v>
      </c>
      <c r="Q501">
        <f t="shared" si="71"/>
        <v>3600</v>
      </c>
      <c r="R501">
        <f t="shared" si="72"/>
        <v>68400</v>
      </c>
      <c r="S501">
        <f t="shared" si="73"/>
        <v>14400</v>
      </c>
      <c r="T501" t="str">
        <f>_xlfn.CONCAT(Sales_Data!C501,"-",Sales_Data!E501,"-",Sales_Data!A501)</f>
        <v>West-C1021-1500</v>
      </c>
      <c r="U501" t="str">
        <f t="shared" si="74"/>
        <v>High Value</v>
      </c>
      <c r="V501" t="str" cm="1">
        <f t="array" ref="V501">_xlfn.IFS(R501&gt;=100000,"Excellent",R501&gt;=50000,"Good",R501&gt;=20000,"Average",TRUE,"Poor")</f>
        <v>Good</v>
      </c>
      <c r="W501">
        <f t="shared" si="75"/>
        <v>2</v>
      </c>
      <c r="X501" t="str">
        <f t="shared" si="76"/>
        <v>May</v>
      </c>
      <c r="Y501">
        <f>HLOOKUP("Q"&amp;W501,Bonus_HLookup!$A$1:$E$2,2,FALSE)</f>
        <v>0.04</v>
      </c>
      <c r="Z501">
        <f t="shared" si="77"/>
        <v>119219</v>
      </c>
      <c r="AA501" s="1">
        <f t="shared" si="78"/>
        <v>5066.1028468653849</v>
      </c>
      <c r="AB501">
        <f t="shared" si="79"/>
        <v>224</v>
      </c>
    </row>
    <row r="502" spans="1:28" x14ac:dyDescent="0.3">
      <c r="A502">
        <v>1501</v>
      </c>
      <c r="B502" t="s">
        <v>127</v>
      </c>
      <c r="C502" t="s">
        <v>13</v>
      </c>
      <c r="D502" t="s">
        <v>50</v>
      </c>
      <c r="E502" t="s">
        <v>89</v>
      </c>
      <c r="F502" t="s">
        <v>52</v>
      </c>
      <c r="G502">
        <v>1</v>
      </c>
      <c r="H502">
        <v>500</v>
      </c>
      <c r="I502">
        <v>0</v>
      </c>
      <c r="J502">
        <v>114457</v>
      </c>
      <c r="K502">
        <v>9</v>
      </c>
      <c r="L502">
        <v>2</v>
      </c>
      <c r="M502" t="str">
        <f>VLOOKUP(Sales_Data!F502,Product_Master!$A$2:$D$11,2)</f>
        <v>Mouse</v>
      </c>
      <c r="N502" t="str">
        <f>VLOOKUP(F502,Product_Master!$A$2:$C$11,3)</f>
        <v>Accessories</v>
      </c>
      <c r="O502">
        <f>VLOOKUP(F502,Product_Master!$A$2:$D$11,4,FALSE)</f>
        <v>350</v>
      </c>
      <c r="P502">
        <f t="shared" si="70"/>
        <v>500</v>
      </c>
      <c r="Q502">
        <f t="shared" si="71"/>
        <v>0</v>
      </c>
      <c r="R502">
        <f t="shared" si="72"/>
        <v>500</v>
      </c>
      <c r="S502">
        <f t="shared" si="73"/>
        <v>150</v>
      </c>
      <c r="T502" t="str">
        <f>_xlfn.CONCAT(Sales_Data!C502,"-",Sales_Data!E502,"-",Sales_Data!A502)</f>
        <v>West-C1022-1501</v>
      </c>
      <c r="U502" t="str">
        <f t="shared" si="74"/>
        <v>Regular</v>
      </c>
      <c r="V502" t="str" cm="1">
        <f t="array" ref="V502">_xlfn.IFS(R502&gt;=100000,"Excellent",R502&gt;=50000,"Good",R502&gt;=20000,"Average",TRUE,"Poor")</f>
        <v>Poor</v>
      </c>
      <c r="W502">
        <f t="shared" si="75"/>
        <v>3</v>
      </c>
      <c r="X502" t="str">
        <f t="shared" si="76"/>
        <v>July</v>
      </c>
      <c r="Y502">
        <f>HLOOKUP("Q"&amp;W502,Bonus_HLookup!$A$1:$E$2,2,FALSE)</f>
        <v>0.06</v>
      </c>
      <c r="Z502">
        <f t="shared" si="77"/>
        <v>20602.259999999998</v>
      </c>
      <c r="AA502" s="1">
        <f t="shared" si="78"/>
        <v>5228.9385470473144</v>
      </c>
      <c r="AB502">
        <f t="shared" si="79"/>
        <v>993</v>
      </c>
    </row>
    <row r="503" spans="1:28" x14ac:dyDescent="0.3">
      <c r="A503">
        <v>1502</v>
      </c>
      <c r="B503" t="s">
        <v>360</v>
      </c>
      <c r="C503" t="s">
        <v>18</v>
      </c>
      <c r="D503" t="s">
        <v>33</v>
      </c>
      <c r="E503" t="s">
        <v>189</v>
      </c>
      <c r="F503" t="s">
        <v>39</v>
      </c>
      <c r="G503">
        <v>10</v>
      </c>
      <c r="H503">
        <v>7000</v>
      </c>
      <c r="I503">
        <v>0</v>
      </c>
      <c r="J503">
        <v>405060</v>
      </c>
      <c r="K503">
        <v>8</v>
      </c>
      <c r="L503">
        <v>3</v>
      </c>
      <c r="M503" t="str">
        <f>VLOOKUP(Sales_Data!F503,Product_Master!$A$2:$D$11,2)</f>
        <v>Router</v>
      </c>
      <c r="N503" t="str">
        <f>VLOOKUP(F503,Product_Master!$A$2:$C$11,3)</f>
        <v>Electronics</v>
      </c>
      <c r="O503">
        <f>VLOOKUP(F503,Product_Master!$A$2:$D$11,4,FALSE)</f>
        <v>5000</v>
      </c>
      <c r="P503">
        <f t="shared" si="70"/>
        <v>70000</v>
      </c>
      <c r="Q503">
        <f t="shared" si="71"/>
        <v>0</v>
      </c>
      <c r="R503">
        <f t="shared" si="72"/>
        <v>70000</v>
      </c>
      <c r="S503">
        <f t="shared" si="73"/>
        <v>20000</v>
      </c>
      <c r="T503" t="str">
        <f>_xlfn.CONCAT(Sales_Data!C503,"-",Sales_Data!E503,"-",Sales_Data!A503)</f>
        <v>North-C1015-1502</v>
      </c>
      <c r="U503" t="str">
        <f t="shared" si="74"/>
        <v>High Value</v>
      </c>
      <c r="V503" t="str" cm="1">
        <f t="array" ref="V503">_xlfn.IFS(R503&gt;=100000,"Excellent",R503&gt;=50000,"Good",R503&gt;=20000,"Average",TRUE,"Poor")</f>
        <v>Good</v>
      </c>
      <c r="W503">
        <f t="shared" si="75"/>
        <v>4</v>
      </c>
      <c r="X503" t="str">
        <f t="shared" si="76"/>
        <v>December</v>
      </c>
      <c r="Y503">
        <f>HLOOKUP("Q"&amp;W503,Bonus_HLookup!$A$1:$E$2,2,FALSE)</f>
        <v>0.08</v>
      </c>
      <c r="Z503">
        <f t="shared" si="77"/>
        <v>97214.399999999994</v>
      </c>
      <c r="AA503" s="1">
        <f t="shared" si="78"/>
        <v>12693.10819380718</v>
      </c>
      <c r="AB503">
        <f t="shared" si="79"/>
        <v>220</v>
      </c>
    </row>
    <row r="504" spans="1:28" x14ac:dyDescent="0.3">
      <c r="A504">
        <v>1503</v>
      </c>
      <c r="B504" t="s">
        <v>76</v>
      </c>
      <c r="C504" t="s">
        <v>18</v>
      </c>
      <c r="D504" t="s">
        <v>50</v>
      </c>
      <c r="E504" t="s">
        <v>172</v>
      </c>
      <c r="F504" t="s">
        <v>16</v>
      </c>
      <c r="G504">
        <v>4</v>
      </c>
      <c r="H504">
        <v>2500</v>
      </c>
      <c r="I504">
        <v>15</v>
      </c>
      <c r="J504">
        <v>131882</v>
      </c>
      <c r="K504">
        <v>8</v>
      </c>
      <c r="L504">
        <v>4</v>
      </c>
      <c r="M504" t="str">
        <f>VLOOKUP(Sales_Data!F504,Product_Master!$A$2:$D$11,2)</f>
        <v>Speaker</v>
      </c>
      <c r="N504" t="str">
        <f>VLOOKUP(F504,Product_Master!$A$2:$C$11,3)</f>
        <v>Accessories</v>
      </c>
      <c r="O504">
        <f>VLOOKUP(F504,Product_Master!$A$2:$D$11,4,FALSE)</f>
        <v>1800</v>
      </c>
      <c r="P504">
        <f t="shared" si="70"/>
        <v>10000</v>
      </c>
      <c r="Q504">
        <f t="shared" si="71"/>
        <v>1500</v>
      </c>
      <c r="R504">
        <f t="shared" si="72"/>
        <v>8500</v>
      </c>
      <c r="S504">
        <f t="shared" si="73"/>
        <v>1300</v>
      </c>
      <c r="T504" t="str">
        <f>_xlfn.CONCAT(Sales_Data!C504,"-",Sales_Data!E504,"-",Sales_Data!A504)</f>
        <v>North-C1033-1503</v>
      </c>
      <c r="U504" t="str">
        <f t="shared" si="74"/>
        <v>Regular</v>
      </c>
      <c r="V504" t="str" cm="1">
        <f t="array" ref="V504">_xlfn.IFS(R504&gt;=100000,"Excellent",R504&gt;=50000,"Good",R504&gt;=20000,"Average",TRUE,"Poor")</f>
        <v>Poor</v>
      </c>
      <c r="W504">
        <f t="shared" si="75"/>
        <v>3</v>
      </c>
      <c r="X504" t="str">
        <f t="shared" si="76"/>
        <v>September</v>
      </c>
      <c r="Y504">
        <f>HLOOKUP("Q"&amp;W504,Bonus_HLookup!$A$1:$E$2,2,FALSE)</f>
        <v>0.06</v>
      </c>
      <c r="Z504">
        <f t="shared" si="77"/>
        <v>42202.239999999998</v>
      </c>
      <c r="AA504" s="1">
        <f t="shared" si="78"/>
        <v>3219.6250242420306</v>
      </c>
      <c r="AB504">
        <f t="shared" si="79"/>
        <v>680</v>
      </c>
    </row>
    <row r="505" spans="1:28" x14ac:dyDescent="0.3">
      <c r="A505">
        <v>1504</v>
      </c>
      <c r="B505" t="s">
        <v>331</v>
      </c>
      <c r="C505" t="s">
        <v>13</v>
      </c>
      <c r="D505" t="s">
        <v>23</v>
      </c>
      <c r="E505" t="s">
        <v>133</v>
      </c>
      <c r="F505" t="s">
        <v>74</v>
      </c>
      <c r="G505">
        <v>5</v>
      </c>
      <c r="H505">
        <v>35000</v>
      </c>
      <c r="I505">
        <v>2</v>
      </c>
      <c r="J505">
        <v>105429</v>
      </c>
      <c r="K505">
        <v>12</v>
      </c>
      <c r="L505">
        <v>3</v>
      </c>
      <c r="M505" t="str">
        <f>VLOOKUP(Sales_Data!F505,Product_Master!$A$2:$D$11,2)</f>
        <v>Tablet</v>
      </c>
      <c r="N505" t="str">
        <f>VLOOKUP(F505,Product_Master!$A$2:$C$11,3)</f>
        <v>Electronics</v>
      </c>
      <c r="O505">
        <f>VLOOKUP(F505,Product_Master!$A$2:$D$11,4,FALSE)</f>
        <v>29000</v>
      </c>
      <c r="P505">
        <f t="shared" si="70"/>
        <v>175000</v>
      </c>
      <c r="Q505">
        <f t="shared" si="71"/>
        <v>3500</v>
      </c>
      <c r="R505">
        <f t="shared" si="72"/>
        <v>171500</v>
      </c>
      <c r="S505">
        <f t="shared" si="73"/>
        <v>26500</v>
      </c>
      <c r="T505" t="str">
        <f>_xlfn.CONCAT(Sales_Data!C505,"-",Sales_Data!E505,"-",Sales_Data!A505)</f>
        <v>West-C1021-1504</v>
      </c>
      <c r="U505" t="str">
        <f t="shared" si="74"/>
        <v>High Value</v>
      </c>
      <c r="V505" t="str" cm="1">
        <f t="array" ref="V505">_xlfn.IFS(R505&gt;=100000,"Excellent",R505&gt;=50000,"Good",R505&gt;=20000,"Average",TRUE,"Poor")</f>
        <v>Excellent</v>
      </c>
      <c r="W505">
        <f t="shared" si="75"/>
        <v>2</v>
      </c>
      <c r="X505" t="str">
        <f t="shared" si="76"/>
        <v>April</v>
      </c>
      <c r="Y505">
        <f>HLOOKUP("Q"&amp;W505,Bonus_HLookup!$A$1:$E$2,2,FALSE)</f>
        <v>0.04</v>
      </c>
      <c r="Z505">
        <f t="shared" si="77"/>
        <v>37954.44</v>
      </c>
      <c r="AA505" s="1">
        <f t="shared" si="78"/>
        <v>3501.751469259088</v>
      </c>
      <c r="AB505">
        <f t="shared" si="79"/>
        <v>121</v>
      </c>
    </row>
    <row r="506" spans="1:28" x14ac:dyDescent="0.3">
      <c r="A506">
        <v>1505</v>
      </c>
      <c r="B506" t="s">
        <v>361</v>
      </c>
      <c r="C506" t="s">
        <v>18</v>
      </c>
      <c r="D506" t="s">
        <v>50</v>
      </c>
      <c r="E506" t="s">
        <v>34</v>
      </c>
      <c r="F506" t="s">
        <v>16</v>
      </c>
      <c r="G506">
        <v>6</v>
      </c>
      <c r="H506">
        <v>2500</v>
      </c>
      <c r="I506">
        <v>8</v>
      </c>
      <c r="J506">
        <v>419159</v>
      </c>
      <c r="K506">
        <v>10</v>
      </c>
      <c r="L506">
        <v>4</v>
      </c>
      <c r="M506" t="str">
        <f>VLOOKUP(Sales_Data!F506,Product_Master!$A$2:$D$11,2)</f>
        <v>Speaker</v>
      </c>
      <c r="N506" t="str">
        <f>VLOOKUP(F506,Product_Master!$A$2:$C$11,3)</f>
        <v>Accessories</v>
      </c>
      <c r="O506">
        <f>VLOOKUP(F506,Product_Master!$A$2:$D$11,4,FALSE)</f>
        <v>1800</v>
      </c>
      <c r="P506">
        <f t="shared" si="70"/>
        <v>15000</v>
      </c>
      <c r="Q506">
        <f t="shared" si="71"/>
        <v>1200</v>
      </c>
      <c r="R506">
        <f t="shared" si="72"/>
        <v>13800</v>
      </c>
      <c r="S506">
        <f t="shared" si="73"/>
        <v>3000</v>
      </c>
      <c r="T506" t="str">
        <f>_xlfn.CONCAT(Sales_Data!C506,"-",Sales_Data!E506,"-",Sales_Data!A506)</f>
        <v>North-C1036-1505</v>
      </c>
      <c r="U506" t="str">
        <f t="shared" si="74"/>
        <v>Regular</v>
      </c>
      <c r="V506" t="str" cm="1">
        <f t="array" ref="V506">_xlfn.IFS(R506&gt;=100000,"Excellent",R506&gt;=50000,"Good",R506&gt;=20000,"Average",TRUE,"Poor")</f>
        <v>Poor</v>
      </c>
      <c r="W506">
        <f t="shared" si="75"/>
        <v>3</v>
      </c>
      <c r="X506" t="str">
        <f t="shared" si="76"/>
        <v>August</v>
      </c>
      <c r="Y506">
        <f>HLOOKUP("Q"&amp;W506,Bonus_HLookup!$A$1:$E$2,2,FALSE)</f>
        <v>0.06</v>
      </c>
      <c r="Z506">
        <f t="shared" si="77"/>
        <v>167663.6</v>
      </c>
      <c r="AA506" s="1">
        <f t="shared" si="78"/>
        <v>10630.955109925197</v>
      </c>
      <c r="AB506">
        <f t="shared" si="79"/>
        <v>544</v>
      </c>
    </row>
    <row r="507" spans="1:28" x14ac:dyDescent="0.3">
      <c r="A507">
        <v>1506</v>
      </c>
      <c r="B507" t="s">
        <v>270</v>
      </c>
      <c r="C507" t="s">
        <v>30</v>
      </c>
      <c r="D507" t="s">
        <v>19</v>
      </c>
      <c r="E507" t="s">
        <v>68</v>
      </c>
      <c r="F507" t="s">
        <v>21</v>
      </c>
      <c r="G507">
        <v>2</v>
      </c>
      <c r="H507">
        <v>12000</v>
      </c>
      <c r="I507">
        <v>8</v>
      </c>
      <c r="J507">
        <v>396249</v>
      </c>
      <c r="K507">
        <v>10</v>
      </c>
      <c r="L507">
        <v>1</v>
      </c>
      <c r="M507" t="str">
        <f>VLOOKUP(Sales_Data!F507,Product_Master!$A$2:$D$11,2)</f>
        <v>Monitor</v>
      </c>
      <c r="N507" t="str">
        <f>VLOOKUP(F507,Product_Master!$A$2:$C$11,3)</f>
        <v>Electronics</v>
      </c>
      <c r="O507">
        <f>VLOOKUP(F507,Product_Master!$A$2:$D$11,4,FALSE)</f>
        <v>9000</v>
      </c>
      <c r="P507">
        <f t="shared" si="70"/>
        <v>24000</v>
      </c>
      <c r="Q507">
        <f t="shared" si="71"/>
        <v>1920</v>
      </c>
      <c r="R507">
        <f t="shared" si="72"/>
        <v>22080</v>
      </c>
      <c r="S507">
        <f t="shared" si="73"/>
        <v>4080</v>
      </c>
      <c r="T507" t="str">
        <f>_xlfn.CONCAT(Sales_Data!C507,"-",Sales_Data!E507,"-",Sales_Data!A507)</f>
        <v>South-C1043-1506</v>
      </c>
      <c r="U507" t="str">
        <f t="shared" si="74"/>
        <v>Regular</v>
      </c>
      <c r="V507" t="str" cm="1">
        <f t="array" ref="V507">_xlfn.IFS(R507&gt;=100000,"Excellent",R507&gt;=50000,"Good",R507&gt;=20000,"Average",TRUE,"Poor")</f>
        <v>Average</v>
      </c>
      <c r="W507">
        <f t="shared" si="75"/>
        <v>3</v>
      </c>
      <c r="X507" t="str">
        <f t="shared" si="76"/>
        <v>September</v>
      </c>
      <c r="Y507">
        <f>HLOOKUP("Q"&amp;W507,Bonus_HLookup!$A$1:$E$2,2,FALSE)</f>
        <v>0.06</v>
      </c>
      <c r="Z507">
        <f t="shared" si="77"/>
        <v>39624.9</v>
      </c>
      <c r="AA507" s="1">
        <f t="shared" si="78"/>
        <v>34836.582399004074</v>
      </c>
      <c r="AB507">
        <f t="shared" si="79"/>
        <v>418</v>
      </c>
    </row>
    <row r="508" spans="1:28" x14ac:dyDescent="0.3">
      <c r="A508">
        <v>1507</v>
      </c>
      <c r="B508" t="s">
        <v>132</v>
      </c>
      <c r="C508" t="s">
        <v>30</v>
      </c>
      <c r="D508" t="s">
        <v>91</v>
      </c>
      <c r="E508" t="s">
        <v>108</v>
      </c>
      <c r="F508" t="s">
        <v>21</v>
      </c>
      <c r="G508">
        <v>3</v>
      </c>
      <c r="H508">
        <v>12000</v>
      </c>
      <c r="I508">
        <v>2</v>
      </c>
      <c r="J508">
        <v>480089</v>
      </c>
      <c r="K508">
        <v>8</v>
      </c>
      <c r="L508">
        <v>3</v>
      </c>
      <c r="M508" t="str">
        <f>VLOOKUP(Sales_Data!F508,Product_Master!$A$2:$D$11,2)</f>
        <v>Monitor</v>
      </c>
      <c r="N508" t="str">
        <f>VLOOKUP(F508,Product_Master!$A$2:$C$11,3)</f>
        <v>Electronics</v>
      </c>
      <c r="O508">
        <f>VLOOKUP(F508,Product_Master!$A$2:$D$11,4,FALSE)</f>
        <v>9000</v>
      </c>
      <c r="P508">
        <f t="shared" si="70"/>
        <v>36000</v>
      </c>
      <c r="Q508">
        <f t="shared" si="71"/>
        <v>720</v>
      </c>
      <c r="R508">
        <f t="shared" si="72"/>
        <v>35280</v>
      </c>
      <c r="S508">
        <f t="shared" si="73"/>
        <v>8280</v>
      </c>
      <c r="T508" t="str">
        <f>_xlfn.CONCAT(Sales_Data!C508,"-",Sales_Data!E508,"-",Sales_Data!A508)</f>
        <v>South-C1031-1507</v>
      </c>
      <c r="U508" t="str">
        <f t="shared" si="74"/>
        <v>Regular</v>
      </c>
      <c r="V508" t="str" cm="1">
        <f t="array" ref="V508">_xlfn.IFS(R508&gt;=100000,"Excellent",R508&gt;=50000,"Good",R508&gt;=20000,"Average",TRUE,"Poor")</f>
        <v>Average</v>
      </c>
      <c r="W508">
        <f t="shared" si="75"/>
        <v>3</v>
      </c>
      <c r="X508" t="str">
        <f t="shared" si="76"/>
        <v>September</v>
      </c>
      <c r="Y508">
        <f>HLOOKUP("Q"&amp;W508,Bonus_HLookup!$A$1:$E$2,2,FALSE)</f>
        <v>0.06</v>
      </c>
      <c r="Z508">
        <f t="shared" si="77"/>
        <v>115221.36</v>
      </c>
      <c r="AA508" s="1">
        <f t="shared" si="78"/>
        <v>15044.244358012877</v>
      </c>
      <c r="AB508">
        <f t="shared" si="79"/>
        <v>349</v>
      </c>
    </row>
    <row r="509" spans="1:28" x14ac:dyDescent="0.3">
      <c r="A509">
        <v>1508</v>
      </c>
      <c r="B509" t="s">
        <v>295</v>
      </c>
      <c r="C509" t="s">
        <v>13</v>
      </c>
      <c r="D509" t="s">
        <v>14</v>
      </c>
      <c r="E509" t="s">
        <v>31</v>
      </c>
      <c r="F509" t="s">
        <v>39</v>
      </c>
      <c r="G509">
        <v>9</v>
      </c>
      <c r="H509">
        <v>7000</v>
      </c>
      <c r="I509">
        <v>15</v>
      </c>
      <c r="J509">
        <v>456639</v>
      </c>
      <c r="K509">
        <v>10</v>
      </c>
      <c r="L509">
        <v>2</v>
      </c>
      <c r="M509" t="str">
        <f>VLOOKUP(Sales_Data!F509,Product_Master!$A$2:$D$11,2)</f>
        <v>Router</v>
      </c>
      <c r="N509" t="str">
        <f>VLOOKUP(F509,Product_Master!$A$2:$C$11,3)</f>
        <v>Electronics</v>
      </c>
      <c r="O509">
        <f>VLOOKUP(F509,Product_Master!$A$2:$D$11,4,FALSE)</f>
        <v>5000</v>
      </c>
      <c r="P509">
        <f t="shared" si="70"/>
        <v>63000</v>
      </c>
      <c r="Q509">
        <f t="shared" si="71"/>
        <v>9450</v>
      </c>
      <c r="R509">
        <f t="shared" si="72"/>
        <v>53550</v>
      </c>
      <c r="S509">
        <f t="shared" si="73"/>
        <v>8550</v>
      </c>
      <c r="T509" t="str">
        <f>_xlfn.CONCAT(Sales_Data!C509,"-",Sales_Data!E509,"-",Sales_Data!A509)</f>
        <v>West-C1025-1508</v>
      </c>
      <c r="U509" t="str">
        <f t="shared" si="74"/>
        <v>High Value</v>
      </c>
      <c r="V509" t="str" cm="1">
        <f t="array" ref="V509">_xlfn.IFS(R509&gt;=100000,"Excellent",R509&gt;=50000,"Good",R509&gt;=20000,"Average",TRUE,"Poor")</f>
        <v>Good</v>
      </c>
      <c r="W509">
        <f t="shared" si="75"/>
        <v>4</v>
      </c>
      <c r="X509" t="str">
        <f t="shared" si="76"/>
        <v>October</v>
      </c>
      <c r="Y509">
        <f>HLOOKUP("Q"&amp;W509,Bonus_HLookup!$A$1:$E$2,2,FALSE)</f>
        <v>0.08</v>
      </c>
      <c r="Z509">
        <f t="shared" si="77"/>
        <v>91327.8</v>
      </c>
      <c r="AA509" s="1">
        <f t="shared" si="78"/>
        <v>21071.5730178372</v>
      </c>
      <c r="AB509">
        <f t="shared" si="79"/>
        <v>279</v>
      </c>
    </row>
    <row r="510" spans="1:28" x14ac:dyDescent="0.3">
      <c r="A510">
        <v>1509</v>
      </c>
      <c r="B510" t="s">
        <v>362</v>
      </c>
      <c r="C510" t="s">
        <v>30</v>
      </c>
      <c r="D510" t="s">
        <v>50</v>
      </c>
      <c r="E510" t="s">
        <v>160</v>
      </c>
      <c r="F510" t="s">
        <v>28</v>
      </c>
      <c r="G510">
        <v>4</v>
      </c>
      <c r="H510">
        <v>950</v>
      </c>
      <c r="I510">
        <v>15</v>
      </c>
      <c r="J510">
        <v>209728</v>
      </c>
      <c r="K510">
        <v>11</v>
      </c>
      <c r="L510">
        <v>3</v>
      </c>
      <c r="M510" t="str">
        <f>VLOOKUP(Sales_Data!F510,Product_Master!$A$2:$D$11,2)</f>
        <v>Webcam</v>
      </c>
      <c r="N510" t="str">
        <f>VLOOKUP(F510,Product_Master!$A$2:$C$11,3)</f>
        <v>Accessories</v>
      </c>
      <c r="O510">
        <f>VLOOKUP(F510,Product_Master!$A$2:$D$11,4,FALSE)</f>
        <v>700</v>
      </c>
      <c r="P510">
        <f t="shared" si="70"/>
        <v>3800</v>
      </c>
      <c r="Q510">
        <f t="shared" si="71"/>
        <v>570</v>
      </c>
      <c r="R510">
        <f t="shared" si="72"/>
        <v>3230</v>
      </c>
      <c r="S510">
        <f t="shared" si="73"/>
        <v>430</v>
      </c>
      <c r="T510" t="str">
        <f>_xlfn.CONCAT(Sales_Data!C510,"-",Sales_Data!E510,"-",Sales_Data!A510)</f>
        <v>South-C1040-1509</v>
      </c>
      <c r="U510" t="str">
        <f t="shared" si="74"/>
        <v>Regular</v>
      </c>
      <c r="V510" t="str" cm="1">
        <f t="array" ref="V510">_xlfn.IFS(R510&gt;=100000,"Excellent",R510&gt;=50000,"Good",R510&gt;=20000,"Average",TRUE,"Poor")</f>
        <v>Poor</v>
      </c>
      <c r="W510">
        <f t="shared" si="75"/>
        <v>1</v>
      </c>
      <c r="X510" t="str">
        <f t="shared" si="76"/>
        <v>February</v>
      </c>
      <c r="Y510">
        <f>HLOOKUP("Q"&amp;W510,Bonus_HLookup!$A$1:$E$2,2,FALSE)</f>
        <v>0.02</v>
      </c>
      <c r="Z510">
        <f t="shared" si="77"/>
        <v>69210.240000000005</v>
      </c>
      <c r="AA510" s="1">
        <f t="shared" si="78"/>
        <v>6866.2256635146041</v>
      </c>
      <c r="AB510">
        <f t="shared" si="79"/>
        <v>871</v>
      </c>
    </row>
    <row r="511" spans="1:28" x14ac:dyDescent="0.3">
      <c r="A511">
        <v>1510</v>
      </c>
      <c r="B511" t="s">
        <v>354</v>
      </c>
      <c r="C511" t="s">
        <v>30</v>
      </c>
      <c r="D511" t="s">
        <v>33</v>
      </c>
      <c r="E511" t="s">
        <v>54</v>
      </c>
      <c r="F511" t="s">
        <v>69</v>
      </c>
      <c r="G511">
        <v>6</v>
      </c>
      <c r="H511">
        <v>2000</v>
      </c>
      <c r="I511">
        <v>2</v>
      </c>
      <c r="J511">
        <v>342727</v>
      </c>
      <c r="K511">
        <v>12</v>
      </c>
      <c r="L511">
        <v>4</v>
      </c>
      <c r="M511" t="str">
        <f>VLOOKUP(Sales_Data!F511,Product_Master!$A$2:$D$11,2)</f>
        <v>Headset</v>
      </c>
      <c r="N511" t="str">
        <f>VLOOKUP(F511,Product_Master!$A$2:$C$11,3)</f>
        <v>Accessories</v>
      </c>
      <c r="O511">
        <f>VLOOKUP(F511,Product_Master!$A$2:$D$11,4,FALSE)</f>
        <v>1500</v>
      </c>
      <c r="P511">
        <f t="shared" si="70"/>
        <v>12000</v>
      </c>
      <c r="Q511">
        <f t="shared" si="71"/>
        <v>240</v>
      </c>
      <c r="R511">
        <f t="shared" si="72"/>
        <v>11760</v>
      </c>
      <c r="S511">
        <f t="shared" si="73"/>
        <v>2760</v>
      </c>
      <c r="T511" t="str">
        <f>_xlfn.CONCAT(Sales_Data!C511,"-",Sales_Data!E511,"-",Sales_Data!A511)</f>
        <v>South-C1034-1510</v>
      </c>
      <c r="U511" t="str">
        <f t="shared" si="74"/>
        <v>Regular</v>
      </c>
      <c r="V511" t="str" cm="1">
        <f t="array" ref="V511">_xlfn.IFS(R511&gt;=100000,"Excellent",R511&gt;=50000,"Good",R511&gt;=20000,"Average",TRUE,"Poor")</f>
        <v>Poor</v>
      </c>
      <c r="W511">
        <f t="shared" si="75"/>
        <v>2</v>
      </c>
      <c r="X511" t="str">
        <f t="shared" si="76"/>
        <v>June</v>
      </c>
      <c r="Y511">
        <f>HLOOKUP("Q"&amp;W511,Bonus_HLookup!$A$1:$E$2,2,FALSE)</f>
        <v>0.04</v>
      </c>
      <c r="Z511">
        <f t="shared" si="77"/>
        <v>164508.96</v>
      </c>
      <c r="AA511" s="1">
        <f t="shared" si="78"/>
        <v>9025.3164160783072</v>
      </c>
      <c r="AB511">
        <f t="shared" si="79"/>
        <v>599</v>
      </c>
    </row>
    <row r="512" spans="1:28" x14ac:dyDescent="0.3">
      <c r="A512">
        <v>1511</v>
      </c>
      <c r="B512" t="s">
        <v>342</v>
      </c>
      <c r="C512" t="s">
        <v>62</v>
      </c>
      <c r="D512" t="s">
        <v>14</v>
      </c>
      <c r="E512" t="s">
        <v>106</v>
      </c>
      <c r="F512" t="s">
        <v>39</v>
      </c>
      <c r="G512">
        <v>7</v>
      </c>
      <c r="H512">
        <v>7000</v>
      </c>
      <c r="I512">
        <v>0</v>
      </c>
      <c r="J512">
        <v>105054</v>
      </c>
      <c r="K512">
        <v>10</v>
      </c>
      <c r="L512">
        <v>3</v>
      </c>
      <c r="M512" t="str">
        <f>VLOOKUP(Sales_Data!F512,Product_Master!$A$2:$D$11,2)</f>
        <v>Router</v>
      </c>
      <c r="N512" t="str">
        <f>VLOOKUP(F512,Product_Master!$A$2:$C$11,3)</f>
        <v>Electronics</v>
      </c>
      <c r="O512">
        <f>VLOOKUP(F512,Product_Master!$A$2:$D$11,4,FALSE)</f>
        <v>5000</v>
      </c>
      <c r="P512">
        <f t="shared" si="70"/>
        <v>49000</v>
      </c>
      <c r="Q512">
        <f t="shared" si="71"/>
        <v>0</v>
      </c>
      <c r="R512">
        <f t="shared" si="72"/>
        <v>49000</v>
      </c>
      <c r="S512">
        <f t="shared" si="73"/>
        <v>14000</v>
      </c>
      <c r="T512" t="str">
        <f>_xlfn.CONCAT(Sales_Data!C512,"-",Sales_Data!E512,"-",Sales_Data!A512)</f>
        <v>East-C1004-1511</v>
      </c>
      <c r="U512" t="str">
        <f t="shared" si="74"/>
        <v>Regular</v>
      </c>
      <c r="V512" t="str" cm="1">
        <f t="array" ref="V512">_xlfn.IFS(R512&gt;=100000,"Excellent",R512&gt;=50000,"Good",R512&gt;=20000,"Average",TRUE,"Poor")</f>
        <v>Average</v>
      </c>
      <c r="W512">
        <f t="shared" si="75"/>
        <v>2</v>
      </c>
      <c r="X512" t="str">
        <f t="shared" si="76"/>
        <v>April</v>
      </c>
      <c r="Y512">
        <f>HLOOKUP("Q"&amp;W512,Bonus_HLookup!$A$1:$E$2,2,FALSE)</f>
        <v>0.04</v>
      </c>
      <c r="Z512">
        <f t="shared" si="77"/>
        <v>31516.2</v>
      </c>
      <c r="AA512" s="1">
        <f t="shared" si="78"/>
        <v>3389.797083461403</v>
      </c>
      <c r="AB512">
        <f t="shared" si="79"/>
        <v>302</v>
      </c>
    </row>
    <row r="513" spans="1:28" x14ac:dyDescent="0.3">
      <c r="A513">
        <v>1512</v>
      </c>
      <c r="B513" t="s">
        <v>227</v>
      </c>
      <c r="C513" t="s">
        <v>62</v>
      </c>
      <c r="D513" t="s">
        <v>59</v>
      </c>
      <c r="E513" t="s">
        <v>196</v>
      </c>
      <c r="F513" t="s">
        <v>69</v>
      </c>
      <c r="G513">
        <v>4</v>
      </c>
      <c r="H513">
        <v>2000</v>
      </c>
      <c r="I513">
        <v>2</v>
      </c>
      <c r="J513">
        <v>397893</v>
      </c>
      <c r="K513">
        <v>9</v>
      </c>
      <c r="L513">
        <v>3</v>
      </c>
      <c r="M513" t="str">
        <f>VLOOKUP(Sales_Data!F513,Product_Master!$A$2:$D$11,2)</f>
        <v>Headset</v>
      </c>
      <c r="N513" t="str">
        <f>VLOOKUP(F513,Product_Master!$A$2:$C$11,3)</f>
        <v>Accessories</v>
      </c>
      <c r="O513">
        <f>VLOOKUP(F513,Product_Master!$A$2:$D$11,4,FALSE)</f>
        <v>1500</v>
      </c>
      <c r="P513">
        <f t="shared" si="70"/>
        <v>8000</v>
      </c>
      <c r="Q513">
        <f t="shared" si="71"/>
        <v>160</v>
      </c>
      <c r="R513">
        <f t="shared" si="72"/>
        <v>7840</v>
      </c>
      <c r="S513">
        <f t="shared" si="73"/>
        <v>1840</v>
      </c>
      <c r="T513" t="str">
        <f>_xlfn.CONCAT(Sales_Data!C513,"-",Sales_Data!E513,"-",Sales_Data!A513)</f>
        <v>East-C1032-1512</v>
      </c>
      <c r="U513" t="str">
        <f t="shared" si="74"/>
        <v>Regular</v>
      </c>
      <c r="V513" t="str" cm="1">
        <f t="array" ref="V513">_xlfn.IFS(R513&gt;=100000,"Excellent",R513&gt;=50000,"Good",R513&gt;=20000,"Average",TRUE,"Poor")</f>
        <v>Poor</v>
      </c>
      <c r="W513">
        <f t="shared" si="75"/>
        <v>2</v>
      </c>
      <c r="X513" t="str">
        <f t="shared" si="76"/>
        <v>May</v>
      </c>
      <c r="Y513">
        <f>HLOOKUP("Q"&amp;W513,Bonus_HLookup!$A$1:$E$2,2,FALSE)</f>
        <v>0.04</v>
      </c>
      <c r="Z513">
        <f t="shared" si="77"/>
        <v>107431.11</v>
      </c>
      <c r="AA513" s="1">
        <f t="shared" si="78"/>
        <v>12652.89102726178</v>
      </c>
      <c r="AB513">
        <f t="shared" si="79"/>
        <v>692</v>
      </c>
    </row>
    <row r="514" spans="1:28" x14ac:dyDescent="0.3">
      <c r="A514">
        <v>1513</v>
      </c>
      <c r="B514" t="s">
        <v>84</v>
      </c>
      <c r="C514" t="s">
        <v>13</v>
      </c>
      <c r="D514" t="s">
        <v>23</v>
      </c>
      <c r="E514" t="s">
        <v>66</v>
      </c>
      <c r="F514" t="s">
        <v>28</v>
      </c>
      <c r="G514">
        <v>9</v>
      </c>
      <c r="H514">
        <v>950</v>
      </c>
      <c r="I514">
        <v>10</v>
      </c>
      <c r="J514">
        <v>330810</v>
      </c>
      <c r="K514">
        <v>8</v>
      </c>
      <c r="L514">
        <v>2</v>
      </c>
      <c r="M514" t="str">
        <f>VLOOKUP(Sales_Data!F514,Product_Master!$A$2:$D$11,2)</f>
        <v>Webcam</v>
      </c>
      <c r="N514" t="str">
        <f>VLOOKUP(F514,Product_Master!$A$2:$C$11,3)</f>
        <v>Accessories</v>
      </c>
      <c r="O514">
        <f>VLOOKUP(F514,Product_Master!$A$2:$D$11,4,FALSE)</f>
        <v>700</v>
      </c>
      <c r="P514">
        <f t="shared" si="70"/>
        <v>8550</v>
      </c>
      <c r="Q514">
        <f t="shared" si="71"/>
        <v>855</v>
      </c>
      <c r="R514">
        <f t="shared" si="72"/>
        <v>7695</v>
      </c>
      <c r="S514">
        <f t="shared" si="73"/>
        <v>1395</v>
      </c>
      <c r="T514" t="str">
        <f>_xlfn.CONCAT(Sales_Data!C514,"-",Sales_Data!E514,"-",Sales_Data!A514)</f>
        <v>West-C1010-1513</v>
      </c>
      <c r="U514" t="str">
        <f t="shared" si="74"/>
        <v>Regular</v>
      </c>
      <c r="V514" t="str" cm="1">
        <f t="array" ref="V514">_xlfn.IFS(R514&gt;=100000,"Excellent",R514&gt;=50000,"Good",R514&gt;=20000,"Average",TRUE,"Poor")</f>
        <v>Poor</v>
      </c>
      <c r="W514">
        <f t="shared" si="75"/>
        <v>3</v>
      </c>
      <c r="X514" t="str">
        <f t="shared" si="76"/>
        <v>August</v>
      </c>
      <c r="Y514">
        <f>HLOOKUP("Q"&amp;W514,Bonus_HLookup!$A$1:$E$2,2,FALSE)</f>
        <v>0.06</v>
      </c>
      <c r="Z514">
        <f t="shared" si="77"/>
        <v>52929.599999999999</v>
      </c>
      <c r="AA514" s="1">
        <f t="shared" si="78"/>
        <v>14961.640286620279</v>
      </c>
      <c r="AB514">
        <f t="shared" si="79"/>
        <v>699</v>
      </c>
    </row>
    <row r="515" spans="1:28" x14ac:dyDescent="0.3">
      <c r="A515">
        <v>1514</v>
      </c>
      <c r="B515" t="s">
        <v>310</v>
      </c>
      <c r="C515" t="s">
        <v>18</v>
      </c>
      <c r="D515" t="s">
        <v>59</v>
      </c>
      <c r="E515" t="s">
        <v>183</v>
      </c>
      <c r="F515" t="s">
        <v>42</v>
      </c>
      <c r="G515">
        <v>7</v>
      </c>
      <c r="H515">
        <v>8000</v>
      </c>
      <c r="I515">
        <v>10</v>
      </c>
      <c r="J515">
        <v>67220</v>
      </c>
      <c r="K515">
        <v>10</v>
      </c>
      <c r="L515">
        <v>2</v>
      </c>
      <c r="M515" t="str">
        <f>VLOOKUP(Sales_Data!F515,Product_Master!$A$2:$D$11,2)</f>
        <v>Printer</v>
      </c>
      <c r="N515" t="str">
        <f>VLOOKUP(F515,Product_Master!$A$2:$C$11,3)</f>
        <v>Electronics</v>
      </c>
      <c r="O515">
        <f>VLOOKUP(F515,Product_Master!$A$2:$D$11,4,FALSE)</f>
        <v>6500</v>
      </c>
      <c r="P515">
        <f t="shared" ref="P515:P578" si="80">H515*G515</f>
        <v>56000</v>
      </c>
      <c r="Q515">
        <f t="shared" ref="Q515:Q578" si="81">P515*(I515/100)</f>
        <v>5600</v>
      </c>
      <c r="R515">
        <f t="shared" ref="R515:R578" si="82">P515-Q515</f>
        <v>50400</v>
      </c>
      <c r="S515">
        <f t="shared" ref="S515:S578" si="83">R515-(G515*O515)</f>
        <v>4900</v>
      </c>
      <c r="T515" t="str">
        <f>_xlfn.CONCAT(Sales_Data!C515,"-",Sales_Data!E515,"-",Sales_Data!A515)</f>
        <v>North-C1008-1514</v>
      </c>
      <c r="U515" t="str">
        <f t="shared" ref="U515:U578" si="84">IF(R515&gt;=50000,"High Value","Regular")</f>
        <v>High Value</v>
      </c>
      <c r="V515" t="str" cm="1">
        <f t="array" ref="V515">_xlfn.IFS(R515&gt;=100000,"Excellent",R515&gt;=50000,"Good",R515&gt;=20000,"Average",TRUE,"Poor")</f>
        <v>Good</v>
      </c>
      <c r="W515">
        <f t="shared" ref="W515:W578" si="85">ROUNDUP(MONTH(B515)/3,0)</f>
        <v>1</v>
      </c>
      <c r="X515" t="str">
        <f t="shared" ref="X515:X578" si="86">TEXT(B515,"mmmm")</f>
        <v>February</v>
      </c>
      <c r="Y515">
        <f>HLOOKUP("Q"&amp;W515,Bonus_HLookup!$A$1:$E$2,2,FALSE)</f>
        <v>0.02</v>
      </c>
      <c r="Z515">
        <f t="shared" ref="Z515:Z578" si="87">(J515*K515*L515)/100</f>
        <v>13444</v>
      </c>
      <c r="AA515" s="1">
        <f t="shared" ref="AA515:AA578" si="88">PMT(K515/1200,L515*12,-J515)</f>
        <v>3101.8619484078595</v>
      </c>
      <c r="AB515">
        <f t="shared" ref="AB515:AB578" si="89">RANK(R515,$R$2:$R$1001)</f>
        <v>294</v>
      </c>
    </row>
    <row r="516" spans="1:28" x14ac:dyDescent="0.3">
      <c r="A516">
        <v>1515</v>
      </c>
      <c r="B516" t="s">
        <v>238</v>
      </c>
      <c r="C516" t="s">
        <v>62</v>
      </c>
      <c r="D516" t="s">
        <v>23</v>
      </c>
      <c r="E516" t="s">
        <v>34</v>
      </c>
      <c r="F516" t="s">
        <v>52</v>
      </c>
      <c r="G516">
        <v>4</v>
      </c>
      <c r="H516">
        <v>500</v>
      </c>
      <c r="I516">
        <v>10</v>
      </c>
      <c r="J516">
        <v>326936</v>
      </c>
      <c r="K516">
        <v>7</v>
      </c>
      <c r="L516">
        <v>4</v>
      </c>
      <c r="M516" t="str">
        <f>VLOOKUP(Sales_Data!F516,Product_Master!$A$2:$D$11,2)</f>
        <v>Mouse</v>
      </c>
      <c r="N516" t="str">
        <f>VLOOKUP(F516,Product_Master!$A$2:$C$11,3)</f>
        <v>Accessories</v>
      </c>
      <c r="O516">
        <f>VLOOKUP(F516,Product_Master!$A$2:$D$11,4,FALSE)</f>
        <v>350</v>
      </c>
      <c r="P516">
        <f t="shared" si="80"/>
        <v>2000</v>
      </c>
      <c r="Q516">
        <f t="shared" si="81"/>
        <v>200</v>
      </c>
      <c r="R516">
        <f t="shared" si="82"/>
        <v>1800</v>
      </c>
      <c r="S516">
        <f t="shared" si="83"/>
        <v>400</v>
      </c>
      <c r="T516" t="str">
        <f>_xlfn.CONCAT(Sales_Data!C516,"-",Sales_Data!E516,"-",Sales_Data!A516)</f>
        <v>East-C1036-1515</v>
      </c>
      <c r="U516" t="str">
        <f t="shared" si="84"/>
        <v>Regular</v>
      </c>
      <c r="V516" t="str" cm="1">
        <f t="array" ref="V516">_xlfn.IFS(R516&gt;=100000,"Excellent",R516&gt;=50000,"Good",R516&gt;=20000,"Average",TRUE,"Poor")</f>
        <v>Poor</v>
      </c>
      <c r="W516">
        <f t="shared" si="85"/>
        <v>1</v>
      </c>
      <c r="X516" t="str">
        <f t="shared" si="86"/>
        <v>February</v>
      </c>
      <c r="Y516">
        <f>HLOOKUP("Q"&amp;W516,Bonus_HLookup!$A$1:$E$2,2,FALSE)</f>
        <v>0.02</v>
      </c>
      <c r="Z516">
        <f t="shared" si="87"/>
        <v>91542.080000000002</v>
      </c>
      <c r="AA516" s="1">
        <f t="shared" si="88"/>
        <v>7828.889444960434</v>
      </c>
      <c r="AB516">
        <f t="shared" si="89"/>
        <v>940</v>
      </c>
    </row>
    <row r="517" spans="1:28" x14ac:dyDescent="0.3">
      <c r="A517">
        <v>1516</v>
      </c>
      <c r="B517" t="s">
        <v>363</v>
      </c>
      <c r="C517" t="s">
        <v>18</v>
      </c>
      <c r="D517" t="s">
        <v>91</v>
      </c>
      <c r="E517" t="s">
        <v>189</v>
      </c>
      <c r="F517" t="s">
        <v>74</v>
      </c>
      <c r="G517">
        <v>7</v>
      </c>
      <c r="H517">
        <v>35000</v>
      </c>
      <c r="I517">
        <v>2</v>
      </c>
      <c r="J517">
        <v>228212</v>
      </c>
      <c r="K517">
        <v>10</v>
      </c>
      <c r="L517">
        <v>1</v>
      </c>
      <c r="M517" t="str">
        <f>VLOOKUP(Sales_Data!F517,Product_Master!$A$2:$D$11,2)</f>
        <v>Tablet</v>
      </c>
      <c r="N517" t="str">
        <f>VLOOKUP(F517,Product_Master!$A$2:$C$11,3)</f>
        <v>Electronics</v>
      </c>
      <c r="O517">
        <f>VLOOKUP(F517,Product_Master!$A$2:$D$11,4,FALSE)</f>
        <v>29000</v>
      </c>
      <c r="P517">
        <f t="shared" si="80"/>
        <v>245000</v>
      </c>
      <c r="Q517">
        <f t="shared" si="81"/>
        <v>4900</v>
      </c>
      <c r="R517">
        <f t="shared" si="82"/>
        <v>240100</v>
      </c>
      <c r="S517">
        <f t="shared" si="83"/>
        <v>37100</v>
      </c>
      <c r="T517" t="str">
        <f>_xlfn.CONCAT(Sales_Data!C517,"-",Sales_Data!E517,"-",Sales_Data!A517)</f>
        <v>North-C1015-1516</v>
      </c>
      <c r="U517" t="str">
        <f t="shared" si="84"/>
        <v>High Value</v>
      </c>
      <c r="V517" t="str" cm="1">
        <f t="array" ref="V517">_xlfn.IFS(R517&gt;=100000,"Excellent",R517&gt;=50000,"Good",R517&gt;=20000,"Average",TRUE,"Poor")</f>
        <v>Excellent</v>
      </c>
      <c r="W517">
        <f t="shared" si="85"/>
        <v>4</v>
      </c>
      <c r="X517" t="str">
        <f t="shared" si="86"/>
        <v>October</v>
      </c>
      <c r="Y517">
        <f>HLOOKUP("Q"&amp;W517,Bonus_HLookup!$A$1:$E$2,2,FALSE)</f>
        <v>0.08</v>
      </c>
      <c r="Z517">
        <f t="shared" si="87"/>
        <v>22821.200000000001</v>
      </c>
      <c r="AA517" s="1">
        <f t="shared" si="88"/>
        <v>20063.460456534947</v>
      </c>
      <c r="AB517">
        <f t="shared" si="89"/>
        <v>85</v>
      </c>
    </row>
    <row r="518" spans="1:28" x14ac:dyDescent="0.3">
      <c r="A518">
        <v>1517</v>
      </c>
      <c r="B518" t="s">
        <v>32</v>
      </c>
      <c r="C518" t="s">
        <v>13</v>
      </c>
      <c r="D518" t="s">
        <v>59</v>
      </c>
      <c r="E518" t="s">
        <v>115</v>
      </c>
      <c r="F518" t="s">
        <v>16</v>
      </c>
      <c r="G518">
        <v>7</v>
      </c>
      <c r="H518">
        <v>2500</v>
      </c>
      <c r="I518">
        <v>0</v>
      </c>
      <c r="J518">
        <v>394156</v>
      </c>
      <c r="K518">
        <v>12</v>
      </c>
      <c r="L518">
        <v>3</v>
      </c>
      <c r="M518" t="str">
        <f>VLOOKUP(Sales_Data!F518,Product_Master!$A$2:$D$11,2)</f>
        <v>Speaker</v>
      </c>
      <c r="N518" t="str">
        <f>VLOOKUP(F518,Product_Master!$A$2:$C$11,3)</f>
        <v>Accessories</v>
      </c>
      <c r="O518">
        <f>VLOOKUP(F518,Product_Master!$A$2:$D$11,4,FALSE)</f>
        <v>1800</v>
      </c>
      <c r="P518">
        <f t="shared" si="80"/>
        <v>17500</v>
      </c>
      <c r="Q518">
        <f t="shared" si="81"/>
        <v>0</v>
      </c>
      <c r="R518">
        <f t="shared" si="82"/>
        <v>17500</v>
      </c>
      <c r="S518">
        <f t="shared" si="83"/>
        <v>4900</v>
      </c>
      <c r="T518" t="str">
        <f>_xlfn.CONCAT(Sales_Data!C518,"-",Sales_Data!E518,"-",Sales_Data!A518)</f>
        <v>West-C1026-1517</v>
      </c>
      <c r="U518" t="str">
        <f t="shared" si="84"/>
        <v>Regular</v>
      </c>
      <c r="V518" t="str" cm="1">
        <f t="array" ref="V518">_xlfn.IFS(R518&gt;=100000,"Excellent",R518&gt;=50000,"Good",R518&gt;=20000,"Average",TRUE,"Poor")</f>
        <v>Poor</v>
      </c>
      <c r="W518">
        <f t="shared" si="85"/>
        <v>4</v>
      </c>
      <c r="X518" t="str">
        <f t="shared" si="86"/>
        <v>November</v>
      </c>
      <c r="Y518">
        <f>HLOOKUP("Q"&amp;W518,Bonus_HLookup!$A$1:$E$2,2,FALSE)</f>
        <v>0.08</v>
      </c>
      <c r="Z518">
        <f t="shared" si="87"/>
        <v>141896.16</v>
      </c>
      <c r="AA518" s="1">
        <f t="shared" si="88"/>
        <v>13091.619498594173</v>
      </c>
      <c r="AB518">
        <f t="shared" si="89"/>
        <v>494</v>
      </c>
    </row>
    <row r="519" spans="1:28" x14ac:dyDescent="0.3">
      <c r="A519">
        <v>1518</v>
      </c>
      <c r="B519" t="s">
        <v>364</v>
      </c>
      <c r="C519" t="s">
        <v>13</v>
      </c>
      <c r="D519" t="s">
        <v>14</v>
      </c>
      <c r="E519" t="s">
        <v>47</v>
      </c>
      <c r="F519" t="s">
        <v>69</v>
      </c>
      <c r="G519">
        <v>5</v>
      </c>
      <c r="H519">
        <v>2000</v>
      </c>
      <c r="I519">
        <v>10</v>
      </c>
      <c r="J519">
        <v>55658</v>
      </c>
      <c r="K519">
        <v>9</v>
      </c>
      <c r="L519">
        <v>5</v>
      </c>
      <c r="M519" t="str">
        <f>VLOOKUP(Sales_Data!F519,Product_Master!$A$2:$D$11,2)</f>
        <v>Headset</v>
      </c>
      <c r="N519" t="str">
        <f>VLOOKUP(F519,Product_Master!$A$2:$C$11,3)</f>
        <v>Accessories</v>
      </c>
      <c r="O519">
        <f>VLOOKUP(F519,Product_Master!$A$2:$D$11,4,FALSE)</f>
        <v>1500</v>
      </c>
      <c r="P519">
        <f t="shared" si="80"/>
        <v>10000</v>
      </c>
      <c r="Q519">
        <f t="shared" si="81"/>
        <v>1000</v>
      </c>
      <c r="R519">
        <f t="shared" si="82"/>
        <v>9000</v>
      </c>
      <c r="S519">
        <f t="shared" si="83"/>
        <v>1500</v>
      </c>
      <c r="T519" t="str">
        <f>_xlfn.CONCAT(Sales_Data!C519,"-",Sales_Data!E519,"-",Sales_Data!A519)</f>
        <v>West-C1030-1518</v>
      </c>
      <c r="U519" t="str">
        <f t="shared" si="84"/>
        <v>Regular</v>
      </c>
      <c r="V519" t="str" cm="1">
        <f t="array" ref="V519">_xlfn.IFS(R519&gt;=100000,"Excellent",R519&gt;=50000,"Good",R519&gt;=20000,"Average",TRUE,"Poor")</f>
        <v>Poor</v>
      </c>
      <c r="W519">
        <f t="shared" si="85"/>
        <v>3</v>
      </c>
      <c r="X519" t="str">
        <f t="shared" si="86"/>
        <v>July</v>
      </c>
      <c r="Y519">
        <f>HLOOKUP("Q"&amp;W519,Bonus_HLookup!$A$1:$E$2,2,FALSE)</f>
        <v>0.06</v>
      </c>
      <c r="Z519">
        <f t="shared" si="87"/>
        <v>25046.1</v>
      </c>
      <c r="AA519" s="1">
        <f t="shared" si="88"/>
        <v>1155.3685351884114</v>
      </c>
      <c r="AB519">
        <f t="shared" si="89"/>
        <v>663</v>
      </c>
    </row>
    <row r="520" spans="1:28" x14ac:dyDescent="0.3">
      <c r="A520">
        <v>1519</v>
      </c>
      <c r="B520" t="s">
        <v>343</v>
      </c>
      <c r="C520" t="s">
        <v>62</v>
      </c>
      <c r="D520" t="s">
        <v>33</v>
      </c>
      <c r="E520" t="s">
        <v>20</v>
      </c>
      <c r="F520" t="s">
        <v>36</v>
      </c>
      <c r="G520">
        <v>2</v>
      </c>
      <c r="H520">
        <v>55000</v>
      </c>
      <c r="I520">
        <v>15</v>
      </c>
      <c r="J520">
        <v>439759</v>
      </c>
      <c r="K520">
        <v>8</v>
      </c>
      <c r="L520">
        <v>3</v>
      </c>
      <c r="M520" t="str">
        <f>VLOOKUP(Sales_Data!F520,Product_Master!$A$2:$D$11,2)</f>
        <v>Laptop</v>
      </c>
      <c r="N520" t="str">
        <f>VLOOKUP(F520,Product_Master!$A$2:$C$11,3)</f>
        <v>Electronics</v>
      </c>
      <c r="O520">
        <f>VLOOKUP(F520,Product_Master!$A$2:$D$11,4,FALSE)</f>
        <v>45000</v>
      </c>
      <c r="P520">
        <f t="shared" si="80"/>
        <v>110000</v>
      </c>
      <c r="Q520">
        <f t="shared" si="81"/>
        <v>16500</v>
      </c>
      <c r="R520">
        <f t="shared" si="82"/>
        <v>93500</v>
      </c>
      <c r="S520">
        <f t="shared" si="83"/>
        <v>3500</v>
      </c>
      <c r="T520" t="str">
        <f>_xlfn.CONCAT(Sales_Data!C520,"-",Sales_Data!E520,"-",Sales_Data!A520)</f>
        <v>East-C1003-1519</v>
      </c>
      <c r="U520" t="str">
        <f t="shared" si="84"/>
        <v>High Value</v>
      </c>
      <c r="V520" t="str" cm="1">
        <f t="array" ref="V520">_xlfn.IFS(R520&gt;=100000,"Excellent",R520&gt;=50000,"Good",R520&gt;=20000,"Average",TRUE,"Poor")</f>
        <v>Good</v>
      </c>
      <c r="W520">
        <f t="shared" si="85"/>
        <v>1</v>
      </c>
      <c r="X520" t="str">
        <f t="shared" si="86"/>
        <v>January</v>
      </c>
      <c r="Y520">
        <f>HLOOKUP("Q"&amp;W520,Bonus_HLookup!$A$1:$E$2,2,FALSE)</f>
        <v>0.02</v>
      </c>
      <c r="Z520">
        <f t="shared" si="87"/>
        <v>105542.16</v>
      </c>
      <c r="AA520" s="1">
        <f t="shared" si="88"/>
        <v>13780.44873895337</v>
      </c>
      <c r="AB520">
        <f t="shared" si="89"/>
        <v>179</v>
      </c>
    </row>
    <row r="521" spans="1:28" x14ac:dyDescent="0.3">
      <c r="A521">
        <v>1520</v>
      </c>
      <c r="B521" t="s">
        <v>240</v>
      </c>
      <c r="C521" t="s">
        <v>13</v>
      </c>
      <c r="D521" t="s">
        <v>23</v>
      </c>
      <c r="E521" t="s">
        <v>189</v>
      </c>
      <c r="F521" t="s">
        <v>21</v>
      </c>
      <c r="G521">
        <v>8</v>
      </c>
      <c r="H521">
        <v>12000</v>
      </c>
      <c r="I521">
        <v>5</v>
      </c>
      <c r="J521">
        <v>336120</v>
      </c>
      <c r="K521">
        <v>12</v>
      </c>
      <c r="L521">
        <v>2</v>
      </c>
      <c r="M521" t="str">
        <f>VLOOKUP(Sales_Data!F521,Product_Master!$A$2:$D$11,2)</f>
        <v>Monitor</v>
      </c>
      <c r="N521" t="str">
        <f>VLOOKUP(F521,Product_Master!$A$2:$C$11,3)</f>
        <v>Electronics</v>
      </c>
      <c r="O521">
        <f>VLOOKUP(F521,Product_Master!$A$2:$D$11,4,FALSE)</f>
        <v>9000</v>
      </c>
      <c r="P521">
        <f t="shared" si="80"/>
        <v>96000</v>
      </c>
      <c r="Q521">
        <f t="shared" si="81"/>
        <v>4800</v>
      </c>
      <c r="R521">
        <f t="shared" si="82"/>
        <v>91200</v>
      </c>
      <c r="S521">
        <f t="shared" si="83"/>
        <v>19200</v>
      </c>
      <c r="T521" t="str">
        <f>_xlfn.CONCAT(Sales_Data!C521,"-",Sales_Data!E521,"-",Sales_Data!A521)</f>
        <v>West-C1015-1520</v>
      </c>
      <c r="U521" t="str">
        <f t="shared" si="84"/>
        <v>High Value</v>
      </c>
      <c r="V521" t="str" cm="1">
        <f t="array" ref="V521">_xlfn.IFS(R521&gt;=100000,"Excellent",R521&gt;=50000,"Good",R521&gt;=20000,"Average",TRUE,"Poor")</f>
        <v>Good</v>
      </c>
      <c r="W521">
        <f t="shared" si="85"/>
        <v>3</v>
      </c>
      <c r="X521" t="str">
        <f t="shared" si="86"/>
        <v>July</v>
      </c>
      <c r="Y521">
        <f>HLOOKUP("Q"&amp;W521,Bonus_HLookup!$A$1:$E$2,2,FALSE)</f>
        <v>0.06</v>
      </c>
      <c r="Z521">
        <f t="shared" si="87"/>
        <v>80668.800000000003</v>
      </c>
      <c r="AA521" s="1">
        <f t="shared" si="88"/>
        <v>15822.335483683732</v>
      </c>
      <c r="AB521">
        <f t="shared" si="89"/>
        <v>184</v>
      </c>
    </row>
    <row r="522" spans="1:28" x14ac:dyDescent="0.3">
      <c r="A522">
        <v>1521</v>
      </c>
      <c r="B522" t="s">
        <v>358</v>
      </c>
      <c r="C522" t="s">
        <v>30</v>
      </c>
      <c r="D522" t="s">
        <v>23</v>
      </c>
      <c r="E522" t="s">
        <v>51</v>
      </c>
      <c r="F522" t="s">
        <v>25</v>
      </c>
      <c r="G522">
        <v>3</v>
      </c>
      <c r="H522">
        <v>1500</v>
      </c>
      <c r="I522">
        <v>12</v>
      </c>
      <c r="J522">
        <v>339145</v>
      </c>
      <c r="K522">
        <v>9</v>
      </c>
      <c r="L522">
        <v>2</v>
      </c>
      <c r="M522" t="str">
        <f>VLOOKUP(Sales_Data!F522,Product_Master!$A$2:$D$11,2)</f>
        <v>Keyboard</v>
      </c>
      <c r="N522" t="str">
        <f>VLOOKUP(F522,Product_Master!$A$2:$C$11,3)</f>
        <v>Accessories</v>
      </c>
      <c r="O522">
        <f>VLOOKUP(F522,Product_Master!$A$2:$D$11,4,FALSE)</f>
        <v>1200</v>
      </c>
      <c r="P522">
        <f t="shared" si="80"/>
        <v>4500</v>
      </c>
      <c r="Q522">
        <f t="shared" si="81"/>
        <v>540</v>
      </c>
      <c r="R522">
        <f t="shared" si="82"/>
        <v>3960</v>
      </c>
      <c r="S522">
        <f t="shared" si="83"/>
        <v>360</v>
      </c>
      <c r="T522" t="str">
        <f>_xlfn.CONCAT(Sales_Data!C522,"-",Sales_Data!E522,"-",Sales_Data!A522)</f>
        <v>South-C1002-1521</v>
      </c>
      <c r="U522" t="str">
        <f t="shared" si="84"/>
        <v>Regular</v>
      </c>
      <c r="V522" t="str" cm="1">
        <f t="array" ref="V522">_xlfn.IFS(R522&gt;=100000,"Excellent",R522&gt;=50000,"Good",R522&gt;=20000,"Average",TRUE,"Poor")</f>
        <v>Poor</v>
      </c>
      <c r="W522">
        <f t="shared" si="85"/>
        <v>3</v>
      </c>
      <c r="X522" t="str">
        <f t="shared" si="86"/>
        <v>July</v>
      </c>
      <c r="Y522">
        <f>HLOOKUP("Q"&amp;W522,Bonus_HLookup!$A$1:$E$2,2,FALSE)</f>
        <v>0.06</v>
      </c>
      <c r="Z522">
        <f t="shared" si="87"/>
        <v>61046.1</v>
      </c>
      <c r="AA522" s="1">
        <f t="shared" si="88"/>
        <v>15493.751920270159</v>
      </c>
      <c r="AB522">
        <f t="shared" si="89"/>
        <v>840</v>
      </c>
    </row>
    <row r="523" spans="1:28" x14ac:dyDescent="0.3">
      <c r="A523">
        <v>1522</v>
      </c>
      <c r="B523" t="s">
        <v>49</v>
      </c>
      <c r="C523" t="s">
        <v>30</v>
      </c>
      <c r="D523" t="s">
        <v>59</v>
      </c>
      <c r="E523" t="s">
        <v>41</v>
      </c>
      <c r="F523" t="s">
        <v>28</v>
      </c>
      <c r="G523">
        <v>1</v>
      </c>
      <c r="H523">
        <v>950</v>
      </c>
      <c r="I523">
        <v>5</v>
      </c>
      <c r="J523">
        <v>99298</v>
      </c>
      <c r="K523">
        <v>11</v>
      </c>
      <c r="L523">
        <v>2</v>
      </c>
      <c r="M523" t="str">
        <f>VLOOKUP(Sales_Data!F523,Product_Master!$A$2:$D$11,2)</f>
        <v>Webcam</v>
      </c>
      <c r="N523" t="str">
        <f>VLOOKUP(F523,Product_Master!$A$2:$C$11,3)</f>
        <v>Accessories</v>
      </c>
      <c r="O523">
        <f>VLOOKUP(F523,Product_Master!$A$2:$D$11,4,FALSE)</f>
        <v>700</v>
      </c>
      <c r="P523">
        <f t="shared" si="80"/>
        <v>950</v>
      </c>
      <c r="Q523">
        <f t="shared" si="81"/>
        <v>47.5</v>
      </c>
      <c r="R523">
        <f t="shared" si="82"/>
        <v>902.5</v>
      </c>
      <c r="S523">
        <f t="shared" si="83"/>
        <v>202.5</v>
      </c>
      <c r="T523" t="str">
        <f>_xlfn.CONCAT(Sales_Data!C523,"-",Sales_Data!E523,"-",Sales_Data!A523)</f>
        <v>South-C1023-1522</v>
      </c>
      <c r="U523" t="str">
        <f t="shared" si="84"/>
        <v>Regular</v>
      </c>
      <c r="V523" t="str" cm="1">
        <f t="array" ref="V523">_xlfn.IFS(R523&gt;=100000,"Excellent",R523&gt;=50000,"Good",R523&gt;=20000,"Average",TRUE,"Poor")</f>
        <v>Poor</v>
      </c>
      <c r="W523">
        <f t="shared" si="85"/>
        <v>4</v>
      </c>
      <c r="X523" t="str">
        <f t="shared" si="86"/>
        <v>November</v>
      </c>
      <c r="Y523">
        <f>HLOOKUP("Q"&amp;W523,Bonus_HLookup!$A$1:$E$2,2,FALSE)</f>
        <v>0.08</v>
      </c>
      <c r="Z523">
        <f t="shared" si="87"/>
        <v>21845.56</v>
      </c>
      <c r="AA523" s="1">
        <f t="shared" si="88"/>
        <v>4628.065117238546</v>
      </c>
      <c r="AB523">
        <f t="shared" si="89"/>
        <v>976</v>
      </c>
    </row>
    <row r="524" spans="1:28" x14ac:dyDescent="0.3">
      <c r="A524">
        <v>1523</v>
      </c>
      <c r="B524" t="s">
        <v>109</v>
      </c>
      <c r="C524" t="s">
        <v>30</v>
      </c>
      <c r="D524" t="s">
        <v>46</v>
      </c>
      <c r="E524" t="s">
        <v>15</v>
      </c>
      <c r="F524" t="s">
        <v>74</v>
      </c>
      <c r="G524">
        <v>7</v>
      </c>
      <c r="H524">
        <v>35000</v>
      </c>
      <c r="I524">
        <v>2</v>
      </c>
      <c r="J524">
        <v>67641</v>
      </c>
      <c r="K524">
        <v>11</v>
      </c>
      <c r="L524">
        <v>5</v>
      </c>
      <c r="M524" t="str">
        <f>VLOOKUP(Sales_Data!F524,Product_Master!$A$2:$D$11,2)</f>
        <v>Tablet</v>
      </c>
      <c r="N524" t="str">
        <f>VLOOKUP(F524,Product_Master!$A$2:$C$11,3)</f>
        <v>Electronics</v>
      </c>
      <c r="O524">
        <f>VLOOKUP(F524,Product_Master!$A$2:$D$11,4,FALSE)</f>
        <v>29000</v>
      </c>
      <c r="P524">
        <f t="shared" si="80"/>
        <v>245000</v>
      </c>
      <c r="Q524">
        <f t="shared" si="81"/>
        <v>4900</v>
      </c>
      <c r="R524">
        <f t="shared" si="82"/>
        <v>240100</v>
      </c>
      <c r="S524">
        <f t="shared" si="83"/>
        <v>37100</v>
      </c>
      <c r="T524" t="str">
        <f>_xlfn.CONCAT(Sales_Data!C524,"-",Sales_Data!E524,"-",Sales_Data!A524)</f>
        <v>South-C1016-1523</v>
      </c>
      <c r="U524" t="str">
        <f t="shared" si="84"/>
        <v>High Value</v>
      </c>
      <c r="V524" t="str" cm="1">
        <f t="array" ref="V524">_xlfn.IFS(R524&gt;=100000,"Excellent",R524&gt;=50000,"Good",R524&gt;=20000,"Average",TRUE,"Poor")</f>
        <v>Excellent</v>
      </c>
      <c r="W524">
        <f t="shared" si="85"/>
        <v>2</v>
      </c>
      <c r="X524" t="str">
        <f t="shared" si="86"/>
        <v>May</v>
      </c>
      <c r="Y524">
        <f>HLOOKUP("Q"&amp;W524,Bonus_HLookup!$A$1:$E$2,2,FALSE)</f>
        <v>0.04</v>
      </c>
      <c r="Z524">
        <f t="shared" si="87"/>
        <v>37202.550000000003</v>
      </c>
      <c r="AA524" s="1">
        <f t="shared" si="88"/>
        <v>1470.6792390566659</v>
      </c>
      <c r="AB524">
        <f t="shared" si="89"/>
        <v>85</v>
      </c>
    </row>
    <row r="525" spans="1:28" x14ac:dyDescent="0.3">
      <c r="A525">
        <v>1524</v>
      </c>
      <c r="B525" t="s">
        <v>300</v>
      </c>
      <c r="C525" t="s">
        <v>62</v>
      </c>
      <c r="D525" t="s">
        <v>23</v>
      </c>
      <c r="E525" t="s">
        <v>54</v>
      </c>
      <c r="F525" t="s">
        <v>69</v>
      </c>
      <c r="G525">
        <v>10</v>
      </c>
      <c r="H525">
        <v>2000</v>
      </c>
      <c r="I525">
        <v>0</v>
      </c>
      <c r="J525">
        <v>197520</v>
      </c>
      <c r="K525">
        <v>10</v>
      </c>
      <c r="L525">
        <v>5</v>
      </c>
      <c r="M525" t="str">
        <f>VLOOKUP(Sales_Data!F525,Product_Master!$A$2:$D$11,2)</f>
        <v>Headset</v>
      </c>
      <c r="N525" t="str">
        <f>VLOOKUP(F525,Product_Master!$A$2:$C$11,3)</f>
        <v>Accessories</v>
      </c>
      <c r="O525">
        <f>VLOOKUP(F525,Product_Master!$A$2:$D$11,4,FALSE)</f>
        <v>1500</v>
      </c>
      <c r="P525">
        <f t="shared" si="80"/>
        <v>20000</v>
      </c>
      <c r="Q525">
        <f t="shared" si="81"/>
        <v>0</v>
      </c>
      <c r="R525">
        <f t="shared" si="82"/>
        <v>20000</v>
      </c>
      <c r="S525">
        <f t="shared" si="83"/>
        <v>5000</v>
      </c>
      <c r="T525" t="str">
        <f>_xlfn.CONCAT(Sales_Data!C525,"-",Sales_Data!E525,"-",Sales_Data!A525)</f>
        <v>East-C1034-1524</v>
      </c>
      <c r="U525" t="str">
        <f t="shared" si="84"/>
        <v>Regular</v>
      </c>
      <c r="V525" t="str" cm="1">
        <f t="array" ref="V525">_xlfn.IFS(R525&gt;=100000,"Excellent",R525&gt;=50000,"Good",R525&gt;=20000,"Average",TRUE,"Poor")</f>
        <v>Average</v>
      </c>
      <c r="W525">
        <f t="shared" si="85"/>
        <v>2</v>
      </c>
      <c r="X525" t="str">
        <f t="shared" si="86"/>
        <v>June</v>
      </c>
      <c r="Y525">
        <f>HLOOKUP("Q"&amp;W525,Bonus_HLookup!$A$1:$E$2,2,FALSE)</f>
        <v>0.04</v>
      </c>
      <c r="Z525">
        <f t="shared" si="87"/>
        <v>98760</v>
      </c>
      <c r="AA525" s="1">
        <f t="shared" si="88"/>
        <v>4196.7162713697098</v>
      </c>
      <c r="AB525">
        <f t="shared" si="89"/>
        <v>453</v>
      </c>
    </row>
    <row r="526" spans="1:28" x14ac:dyDescent="0.3">
      <c r="A526">
        <v>1525</v>
      </c>
      <c r="B526" t="s">
        <v>22</v>
      </c>
      <c r="C526" t="s">
        <v>18</v>
      </c>
      <c r="D526" t="s">
        <v>46</v>
      </c>
      <c r="E526" t="s">
        <v>47</v>
      </c>
      <c r="F526" t="s">
        <v>39</v>
      </c>
      <c r="G526">
        <v>9</v>
      </c>
      <c r="H526">
        <v>7000</v>
      </c>
      <c r="I526">
        <v>8</v>
      </c>
      <c r="J526">
        <v>496509</v>
      </c>
      <c r="K526">
        <v>11</v>
      </c>
      <c r="L526">
        <v>3</v>
      </c>
      <c r="M526" t="str">
        <f>VLOOKUP(Sales_Data!F526,Product_Master!$A$2:$D$11,2)</f>
        <v>Router</v>
      </c>
      <c r="N526" t="str">
        <f>VLOOKUP(F526,Product_Master!$A$2:$C$11,3)</f>
        <v>Electronics</v>
      </c>
      <c r="O526">
        <f>VLOOKUP(F526,Product_Master!$A$2:$D$11,4,FALSE)</f>
        <v>5000</v>
      </c>
      <c r="P526">
        <f t="shared" si="80"/>
        <v>63000</v>
      </c>
      <c r="Q526">
        <f t="shared" si="81"/>
        <v>5040</v>
      </c>
      <c r="R526">
        <f t="shared" si="82"/>
        <v>57960</v>
      </c>
      <c r="S526">
        <f t="shared" si="83"/>
        <v>12960</v>
      </c>
      <c r="T526" t="str">
        <f>_xlfn.CONCAT(Sales_Data!C526,"-",Sales_Data!E526,"-",Sales_Data!A526)</f>
        <v>North-C1030-1525</v>
      </c>
      <c r="U526" t="str">
        <f t="shared" si="84"/>
        <v>High Value</v>
      </c>
      <c r="V526" t="str" cm="1">
        <f t="array" ref="V526">_xlfn.IFS(R526&gt;=100000,"Excellent",R526&gt;=50000,"Good",R526&gt;=20000,"Average",TRUE,"Poor")</f>
        <v>Good</v>
      </c>
      <c r="W526">
        <f t="shared" si="85"/>
        <v>1</v>
      </c>
      <c r="X526" t="str">
        <f t="shared" si="86"/>
        <v>January</v>
      </c>
      <c r="Y526">
        <f>HLOOKUP("Q"&amp;W526,Bonus_HLookup!$A$1:$E$2,2,FALSE)</f>
        <v>0.02</v>
      </c>
      <c r="Z526">
        <f t="shared" si="87"/>
        <v>163847.97</v>
      </c>
      <c r="AA526" s="1">
        <f t="shared" si="88"/>
        <v>16255.067697045566</v>
      </c>
      <c r="AB526">
        <f t="shared" si="89"/>
        <v>259</v>
      </c>
    </row>
    <row r="527" spans="1:28" x14ac:dyDescent="0.3">
      <c r="A527">
        <v>1526</v>
      </c>
      <c r="B527" t="s">
        <v>268</v>
      </c>
      <c r="C527" t="s">
        <v>18</v>
      </c>
      <c r="D527" t="s">
        <v>59</v>
      </c>
      <c r="E527" t="s">
        <v>174</v>
      </c>
      <c r="F527" t="s">
        <v>52</v>
      </c>
      <c r="G527">
        <v>4</v>
      </c>
      <c r="H527">
        <v>500</v>
      </c>
      <c r="I527">
        <v>15</v>
      </c>
      <c r="J527">
        <v>255261</v>
      </c>
      <c r="K527">
        <v>9</v>
      </c>
      <c r="L527">
        <v>5</v>
      </c>
      <c r="M527" t="str">
        <f>VLOOKUP(Sales_Data!F527,Product_Master!$A$2:$D$11,2)</f>
        <v>Mouse</v>
      </c>
      <c r="N527" t="str">
        <f>VLOOKUP(F527,Product_Master!$A$2:$C$11,3)</f>
        <v>Accessories</v>
      </c>
      <c r="O527">
        <f>VLOOKUP(F527,Product_Master!$A$2:$D$11,4,FALSE)</f>
        <v>350</v>
      </c>
      <c r="P527">
        <f t="shared" si="80"/>
        <v>2000</v>
      </c>
      <c r="Q527">
        <f t="shared" si="81"/>
        <v>300</v>
      </c>
      <c r="R527">
        <f t="shared" si="82"/>
        <v>1700</v>
      </c>
      <c r="S527">
        <f t="shared" si="83"/>
        <v>300</v>
      </c>
      <c r="T527" t="str">
        <f>_xlfn.CONCAT(Sales_Data!C527,"-",Sales_Data!E527,"-",Sales_Data!A527)</f>
        <v>North-C1044-1526</v>
      </c>
      <c r="U527" t="str">
        <f t="shared" si="84"/>
        <v>Regular</v>
      </c>
      <c r="V527" t="str" cm="1">
        <f t="array" ref="V527">_xlfn.IFS(R527&gt;=100000,"Excellent",R527&gt;=50000,"Good",R527&gt;=20000,"Average",TRUE,"Poor")</f>
        <v>Poor</v>
      </c>
      <c r="W527">
        <f t="shared" si="85"/>
        <v>3</v>
      </c>
      <c r="X527" t="str">
        <f t="shared" si="86"/>
        <v>September</v>
      </c>
      <c r="Y527">
        <f>HLOOKUP("Q"&amp;W527,Bonus_HLookup!$A$1:$E$2,2,FALSE)</f>
        <v>0.06</v>
      </c>
      <c r="Z527">
        <f t="shared" si="87"/>
        <v>114867.45</v>
      </c>
      <c r="AA527" s="1">
        <f t="shared" si="88"/>
        <v>5298.7985134343498</v>
      </c>
      <c r="AB527">
        <f t="shared" si="89"/>
        <v>947</v>
      </c>
    </row>
    <row r="528" spans="1:28" x14ac:dyDescent="0.3">
      <c r="A528">
        <v>1527</v>
      </c>
      <c r="B528" t="s">
        <v>315</v>
      </c>
      <c r="C528" t="s">
        <v>62</v>
      </c>
      <c r="D528" t="s">
        <v>91</v>
      </c>
      <c r="E528" t="s">
        <v>89</v>
      </c>
      <c r="F528" t="s">
        <v>42</v>
      </c>
      <c r="G528">
        <v>7</v>
      </c>
      <c r="H528">
        <v>8000</v>
      </c>
      <c r="I528">
        <v>12</v>
      </c>
      <c r="J528">
        <v>420975</v>
      </c>
      <c r="K528">
        <v>10</v>
      </c>
      <c r="L528">
        <v>5</v>
      </c>
      <c r="M528" t="str">
        <f>VLOOKUP(Sales_Data!F528,Product_Master!$A$2:$D$11,2)</f>
        <v>Printer</v>
      </c>
      <c r="N528" t="str">
        <f>VLOOKUP(F528,Product_Master!$A$2:$C$11,3)</f>
        <v>Electronics</v>
      </c>
      <c r="O528">
        <f>VLOOKUP(F528,Product_Master!$A$2:$D$11,4,FALSE)</f>
        <v>6500</v>
      </c>
      <c r="P528">
        <f t="shared" si="80"/>
        <v>56000</v>
      </c>
      <c r="Q528">
        <f t="shared" si="81"/>
        <v>6720</v>
      </c>
      <c r="R528">
        <f t="shared" si="82"/>
        <v>49280</v>
      </c>
      <c r="S528">
        <f t="shared" si="83"/>
        <v>3780</v>
      </c>
      <c r="T528" t="str">
        <f>_xlfn.CONCAT(Sales_Data!C528,"-",Sales_Data!E528,"-",Sales_Data!A528)</f>
        <v>East-C1022-1527</v>
      </c>
      <c r="U528" t="str">
        <f t="shared" si="84"/>
        <v>Regular</v>
      </c>
      <c r="V528" t="str" cm="1">
        <f t="array" ref="V528">_xlfn.IFS(R528&gt;=100000,"Excellent",R528&gt;=50000,"Good",R528&gt;=20000,"Average",TRUE,"Poor")</f>
        <v>Average</v>
      </c>
      <c r="W528">
        <f t="shared" si="85"/>
        <v>3</v>
      </c>
      <c r="X528" t="str">
        <f t="shared" si="86"/>
        <v>July</v>
      </c>
      <c r="Y528">
        <f>HLOOKUP("Q"&amp;W528,Bonus_HLookup!$A$1:$E$2,2,FALSE)</f>
        <v>0.06</v>
      </c>
      <c r="Z528">
        <f t="shared" si="87"/>
        <v>210487.5</v>
      </c>
      <c r="AA528" s="1">
        <f t="shared" si="88"/>
        <v>8944.4746473261621</v>
      </c>
      <c r="AB528">
        <f t="shared" si="89"/>
        <v>297</v>
      </c>
    </row>
    <row r="529" spans="1:28" x14ac:dyDescent="0.3">
      <c r="A529">
        <v>1528</v>
      </c>
      <c r="B529" t="s">
        <v>171</v>
      </c>
      <c r="C529" t="s">
        <v>18</v>
      </c>
      <c r="D529" t="s">
        <v>19</v>
      </c>
      <c r="E529" t="s">
        <v>31</v>
      </c>
      <c r="F529" t="s">
        <v>25</v>
      </c>
      <c r="G529">
        <v>10</v>
      </c>
      <c r="H529">
        <v>1500</v>
      </c>
      <c r="I529">
        <v>10</v>
      </c>
      <c r="J529">
        <v>423152</v>
      </c>
      <c r="K529">
        <v>9</v>
      </c>
      <c r="L529">
        <v>5</v>
      </c>
      <c r="M529" t="str">
        <f>VLOOKUP(Sales_Data!F529,Product_Master!$A$2:$D$11,2)</f>
        <v>Keyboard</v>
      </c>
      <c r="N529" t="str">
        <f>VLOOKUP(F529,Product_Master!$A$2:$C$11,3)</f>
        <v>Accessories</v>
      </c>
      <c r="O529">
        <f>VLOOKUP(F529,Product_Master!$A$2:$D$11,4,FALSE)</f>
        <v>1200</v>
      </c>
      <c r="P529">
        <f t="shared" si="80"/>
        <v>15000</v>
      </c>
      <c r="Q529">
        <f t="shared" si="81"/>
        <v>1500</v>
      </c>
      <c r="R529">
        <f t="shared" si="82"/>
        <v>13500</v>
      </c>
      <c r="S529">
        <f t="shared" si="83"/>
        <v>1500</v>
      </c>
      <c r="T529" t="str">
        <f>_xlfn.CONCAT(Sales_Data!C529,"-",Sales_Data!E529,"-",Sales_Data!A529)</f>
        <v>North-C1025-1528</v>
      </c>
      <c r="U529" t="str">
        <f t="shared" si="84"/>
        <v>Regular</v>
      </c>
      <c r="V529" t="str" cm="1">
        <f t="array" ref="V529">_xlfn.IFS(R529&gt;=100000,"Excellent",R529&gt;=50000,"Good",R529&gt;=20000,"Average",TRUE,"Poor")</f>
        <v>Poor</v>
      </c>
      <c r="W529">
        <f t="shared" si="85"/>
        <v>1</v>
      </c>
      <c r="X529" t="str">
        <f t="shared" si="86"/>
        <v>February</v>
      </c>
      <c r="Y529">
        <f>HLOOKUP("Q"&amp;W529,Bonus_HLookup!$A$1:$E$2,2,FALSE)</f>
        <v>0.02</v>
      </c>
      <c r="Z529">
        <f t="shared" si="87"/>
        <v>190418.4</v>
      </c>
      <c r="AA529" s="1">
        <f t="shared" si="88"/>
        <v>8783.939530742151</v>
      </c>
      <c r="AB529">
        <f t="shared" si="89"/>
        <v>553</v>
      </c>
    </row>
    <row r="530" spans="1:28" x14ac:dyDescent="0.3">
      <c r="A530">
        <v>1529</v>
      </c>
      <c r="B530" t="s">
        <v>365</v>
      </c>
      <c r="C530" t="s">
        <v>30</v>
      </c>
      <c r="D530" t="s">
        <v>46</v>
      </c>
      <c r="E530" t="s">
        <v>24</v>
      </c>
      <c r="F530" t="s">
        <v>36</v>
      </c>
      <c r="G530">
        <v>5</v>
      </c>
      <c r="H530">
        <v>55000</v>
      </c>
      <c r="I530">
        <v>5</v>
      </c>
      <c r="J530">
        <v>315403</v>
      </c>
      <c r="K530">
        <v>10</v>
      </c>
      <c r="L530">
        <v>5</v>
      </c>
      <c r="M530" t="str">
        <f>VLOOKUP(Sales_Data!F530,Product_Master!$A$2:$D$11,2)</f>
        <v>Laptop</v>
      </c>
      <c r="N530" t="str">
        <f>VLOOKUP(F530,Product_Master!$A$2:$C$11,3)</f>
        <v>Electronics</v>
      </c>
      <c r="O530">
        <f>VLOOKUP(F530,Product_Master!$A$2:$D$11,4,FALSE)</f>
        <v>45000</v>
      </c>
      <c r="P530">
        <f t="shared" si="80"/>
        <v>275000</v>
      </c>
      <c r="Q530">
        <f t="shared" si="81"/>
        <v>13750</v>
      </c>
      <c r="R530">
        <f t="shared" si="82"/>
        <v>261250</v>
      </c>
      <c r="S530">
        <f t="shared" si="83"/>
        <v>36250</v>
      </c>
      <c r="T530" t="str">
        <f>_xlfn.CONCAT(Sales_Data!C530,"-",Sales_Data!E530,"-",Sales_Data!A530)</f>
        <v>South-C1029-1529</v>
      </c>
      <c r="U530" t="str">
        <f t="shared" si="84"/>
        <v>High Value</v>
      </c>
      <c r="V530" t="str" cm="1">
        <f t="array" ref="V530">_xlfn.IFS(R530&gt;=100000,"Excellent",R530&gt;=50000,"Good",R530&gt;=20000,"Average",TRUE,"Poor")</f>
        <v>Excellent</v>
      </c>
      <c r="W530">
        <f t="shared" si="85"/>
        <v>1</v>
      </c>
      <c r="X530" t="str">
        <f t="shared" si="86"/>
        <v>March</v>
      </c>
      <c r="Y530">
        <f>HLOOKUP("Q"&amp;W530,Bonus_HLookup!$A$1:$E$2,2,FALSE)</f>
        <v>0.02</v>
      </c>
      <c r="Z530">
        <f t="shared" si="87"/>
        <v>157701.5</v>
      </c>
      <c r="AA530" s="1">
        <f t="shared" si="88"/>
        <v>6701.3816430681482</v>
      </c>
      <c r="AB530">
        <f t="shared" si="89"/>
        <v>70</v>
      </c>
    </row>
    <row r="531" spans="1:28" x14ac:dyDescent="0.3">
      <c r="A531">
        <v>1530</v>
      </c>
      <c r="B531" t="s">
        <v>93</v>
      </c>
      <c r="C531" t="s">
        <v>62</v>
      </c>
      <c r="D531" t="s">
        <v>59</v>
      </c>
      <c r="E531" t="s">
        <v>169</v>
      </c>
      <c r="F531" t="s">
        <v>36</v>
      </c>
      <c r="G531">
        <v>7</v>
      </c>
      <c r="H531">
        <v>55000</v>
      </c>
      <c r="I531">
        <v>15</v>
      </c>
      <c r="J531">
        <v>226466</v>
      </c>
      <c r="K531">
        <v>11</v>
      </c>
      <c r="L531">
        <v>4</v>
      </c>
      <c r="M531" t="str">
        <f>VLOOKUP(Sales_Data!F531,Product_Master!$A$2:$D$11,2)</f>
        <v>Laptop</v>
      </c>
      <c r="N531" t="str">
        <f>VLOOKUP(F531,Product_Master!$A$2:$C$11,3)</f>
        <v>Electronics</v>
      </c>
      <c r="O531">
        <f>VLOOKUP(F531,Product_Master!$A$2:$D$11,4,FALSE)</f>
        <v>45000</v>
      </c>
      <c r="P531">
        <f t="shared" si="80"/>
        <v>385000</v>
      </c>
      <c r="Q531">
        <f t="shared" si="81"/>
        <v>57750</v>
      </c>
      <c r="R531">
        <f t="shared" si="82"/>
        <v>327250</v>
      </c>
      <c r="S531">
        <f t="shared" si="83"/>
        <v>12250</v>
      </c>
      <c r="T531" t="str">
        <f>_xlfn.CONCAT(Sales_Data!C531,"-",Sales_Data!E531,"-",Sales_Data!A531)</f>
        <v>East-C1038-1530</v>
      </c>
      <c r="U531" t="str">
        <f t="shared" si="84"/>
        <v>High Value</v>
      </c>
      <c r="V531" t="str" cm="1">
        <f t="array" ref="V531">_xlfn.IFS(R531&gt;=100000,"Excellent",R531&gt;=50000,"Good",R531&gt;=20000,"Average",TRUE,"Poor")</f>
        <v>Excellent</v>
      </c>
      <c r="W531">
        <f t="shared" si="85"/>
        <v>4</v>
      </c>
      <c r="X531" t="str">
        <f t="shared" si="86"/>
        <v>November</v>
      </c>
      <c r="Y531">
        <f>HLOOKUP("Q"&amp;W531,Bonus_HLookup!$A$1:$E$2,2,FALSE)</f>
        <v>0.08</v>
      </c>
      <c r="Z531">
        <f t="shared" si="87"/>
        <v>99645.04</v>
      </c>
      <c r="AA531" s="1">
        <f t="shared" si="88"/>
        <v>5853.1321237252723</v>
      </c>
      <c r="AB531">
        <f t="shared" si="89"/>
        <v>41</v>
      </c>
    </row>
    <row r="532" spans="1:28" x14ac:dyDescent="0.3">
      <c r="A532">
        <v>1531</v>
      </c>
      <c r="B532" t="s">
        <v>241</v>
      </c>
      <c r="C532" t="s">
        <v>13</v>
      </c>
      <c r="D532" t="s">
        <v>23</v>
      </c>
      <c r="E532" t="s">
        <v>77</v>
      </c>
      <c r="F532" t="s">
        <v>16</v>
      </c>
      <c r="G532">
        <v>8</v>
      </c>
      <c r="H532">
        <v>2500</v>
      </c>
      <c r="I532">
        <v>8</v>
      </c>
      <c r="J532">
        <v>199952</v>
      </c>
      <c r="K532">
        <v>8</v>
      </c>
      <c r="L532">
        <v>1</v>
      </c>
      <c r="M532" t="str">
        <f>VLOOKUP(Sales_Data!F532,Product_Master!$A$2:$D$11,2)</f>
        <v>Speaker</v>
      </c>
      <c r="N532" t="str">
        <f>VLOOKUP(F532,Product_Master!$A$2:$C$11,3)</f>
        <v>Accessories</v>
      </c>
      <c r="O532">
        <f>VLOOKUP(F532,Product_Master!$A$2:$D$11,4,FALSE)</f>
        <v>1800</v>
      </c>
      <c r="P532">
        <f t="shared" si="80"/>
        <v>20000</v>
      </c>
      <c r="Q532">
        <f t="shared" si="81"/>
        <v>1600</v>
      </c>
      <c r="R532">
        <f t="shared" si="82"/>
        <v>18400</v>
      </c>
      <c r="S532">
        <f t="shared" si="83"/>
        <v>4000</v>
      </c>
      <c r="T532" t="str">
        <f>_xlfn.CONCAT(Sales_Data!C532,"-",Sales_Data!E532,"-",Sales_Data!A532)</f>
        <v>West-C1020-1531</v>
      </c>
      <c r="U532" t="str">
        <f t="shared" si="84"/>
        <v>Regular</v>
      </c>
      <c r="V532" t="str" cm="1">
        <f t="array" ref="V532">_xlfn.IFS(R532&gt;=100000,"Excellent",R532&gt;=50000,"Good",R532&gt;=20000,"Average",TRUE,"Poor")</f>
        <v>Poor</v>
      </c>
      <c r="W532">
        <f t="shared" si="85"/>
        <v>4</v>
      </c>
      <c r="X532" t="str">
        <f t="shared" si="86"/>
        <v>December</v>
      </c>
      <c r="Y532">
        <f>HLOOKUP("Q"&amp;W532,Bonus_HLookup!$A$1:$E$2,2,FALSE)</f>
        <v>0.08</v>
      </c>
      <c r="Z532">
        <f t="shared" si="87"/>
        <v>15996.16</v>
      </c>
      <c r="AA532" s="1">
        <f t="shared" si="88"/>
        <v>17393.510372488112</v>
      </c>
      <c r="AB532">
        <f t="shared" si="89"/>
        <v>473</v>
      </c>
    </row>
    <row r="533" spans="1:28" x14ac:dyDescent="0.3">
      <c r="A533">
        <v>1532</v>
      </c>
      <c r="B533" t="s">
        <v>281</v>
      </c>
      <c r="C533" t="s">
        <v>62</v>
      </c>
      <c r="D533" t="s">
        <v>33</v>
      </c>
      <c r="E533" t="s">
        <v>125</v>
      </c>
      <c r="F533" t="s">
        <v>74</v>
      </c>
      <c r="G533">
        <v>4</v>
      </c>
      <c r="H533">
        <v>35000</v>
      </c>
      <c r="I533">
        <v>5</v>
      </c>
      <c r="J533">
        <v>456223</v>
      </c>
      <c r="K533">
        <v>11</v>
      </c>
      <c r="L533">
        <v>5</v>
      </c>
      <c r="M533" t="str">
        <f>VLOOKUP(Sales_Data!F533,Product_Master!$A$2:$D$11,2)</f>
        <v>Tablet</v>
      </c>
      <c r="N533" t="str">
        <f>VLOOKUP(F533,Product_Master!$A$2:$C$11,3)</f>
        <v>Electronics</v>
      </c>
      <c r="O533">
        <f>VLOOKUP(F533,Product_Master!$A$2:$D$11,4,FALSE)</f>
        <v>29000</v>
      </c>
      <c r="P533">
        <f t="shared" si="80"/>
        <v>140000</v>
      </c>
      <c r="Q533">
        <f t="shared" si="81"/>
        <v>7000</v>
      </c>
      <c r="R533">
        <f t="shared" si="82"/>
        <v>133000</v>
      </c>
      <c r="S533">
        <f t="shared" si="83"/>
        <v>17000</v>
      </c>
      <c r="T533" t="str">
        <f>_xlfn.CONCAT(Sales_Data!C533,"-",Sales_Data!E533,"-",Sales_Data!A533)</f>
        <v>East-C1039-1532</v>
      </c>
      <c r="U533" t="str">
        <f t="shared" si="84"/>
        <v>High Value</v>
      </c>
      <c r="V533" t="str" cm="1">
        <f t="array" ref="V533">_xlfn.IFS(R533&gt;=100000,"Excellent",R533&gt;=50000,"Good",R533&gt;=20000,"Average",TRUE,"Poor")</f>
        <v>Excellent</v>
      </c>
      <c r="W533">
        <f t="shared" si="85"/>
        <v>4</v>
      </c>
      <c r="X533" t="str">
        <f t="shared" si="86"/>
        <v>October</v>
      </c>
      <c r="Y533">
        <f>HLOOKUP("Q"&amp;W533,Bonus_HLookup!$A$1:$E$2,2,FALSE)</f>
        <v>0.08</v>
      </c>
      <c r="Z533">
        <f t="shared" si="87"/>
        <v>250922.65</v>
      </c>
      <c r="AA533" s="1">
        <f t="shared" si="88"/>
        <v>9919.3934814705481</v>
      </c>
      <c r="AB533">
        <f t="shared" si="89"/>
        <v>140</v>
      </c>
    </row>
    <row r="534" spans="1:28" x14ac:dyDescent="0.3">
      <c r="A534">
        <v>1533</v>
      </c>
      <c r="B534" t="s">
        <v>366</v>
      </c>
      <c r="C534" t="s">
        <v>30</v>
      </c>
      <c r="D534" t="s">
        <v>46</v>
      </c>
      <c r="E534" t="s">
        <v>31</v>
      </c>
      <c r="F534" t="s">
        <v>16</v>
      </c>
      <c r="G534">
        <v>1</v>
      </c>
      <c r="H534">
        <v>2500</v>
      </c>
      <c r="I534">
        <v>12</v>
      </c>
      <c r="J534">
        <v>373629</v>
      </c>
      <c r="K534">
        <v>11</v>
      </c>
      <c r="L534">
        <v>2</v>
      </c>
      <c r="M534" t="str">
        <f>VLOOKUP(Sales_Data!F534,Product_Master!$A$2:$D$11,2)</f>
        <v>Speaker</v>
      </c>
      <c r="N534" t="str">
        <f>VLOOKUP(F534,Product_Master!$A$2:$C$11,3)</f>
        <v>Accessories</v>
      </c>
      <c r="O534">
        <f>VLOOKUP(F534,Product_Master!$A$2:$D$11,4,FALSE)</f>
        <v>1800</v>
      </c>
      <c r="P534">
        <f t="shared" si="80"/>
        <v>2500</v>
      </c>
      <c r="Q534">
        <f t="shared" si="81"/>
        <v>300</v>
      </c>
      <c r="R534">
        <f t="shared" si="82"/>
        <v>2200</v>
      </c>
      <c r="S534">
        <f t="shared" si="83"/>
        <v>400</v>
      </c>
      <c r="T534" t="str">
        <f>_xlfn.CONCAT(Sales_Data!C534,"-",Sales_Data!E534,"-",Sales_Data!A534)</f>
        <v>South-C1025-1533</v>
      </c>
      <c r="U534" t="str">
        <f t="shared" si="84"/>
        <v>Regular</v>
      </c>
      <c r="V534" t="str" cm="1">
        <f t="array" ref="V534">_xlfn.IFS(R534&gt;=100000,"Excellent",R534&gt;=50000,"Good",R534&gt;=20000,"Average",TRUE,"Poor")</f>
        <v>Poor</v>
      </c>
      <c r="W534">
        <f t="shared" si="85"/>
        <v>2</v>
      </c>
      <c r="X534" t="str">
        <f t="shared" si="86"/>
        <v>June</v>
      </c>
      <c r="Y534">
        <f>HLOOKUP("Q"&amp;W534,Bonus_HLookup!$A$1:$E$2,2,FALSE)</f>
        <v>0.04</v>
      </c>
      <c r="Z534">
        <f t="shared" si="87"/>
        <v>82198.38</v>
      </c>
      <c r="AA534" s="1">
        <f t="shared" si="88"/>
        <v>17414.039977529465</v>
      </c>
      <c r="AB534">
        <f t="shared" si="89"/>
        <v>922</v>
      </c>
    </row>
    <row r="535" spans="1:28" x14ac:dyDescent="0.3">
      <c r="A535">
        <v>1534</v>
      </c>
      <c r="B535" t="s">
        <v>246</v>
      </c>
      <c r="C535" t="s">
        <v>13</v>
      </c>
      <c r="D535" t="s">
        <v>14</v>
      </c>
      <c r="E535" t="s">
        <v>89</v>
      </c>
      <c r="F535" t="s">
        <v>39</v>
      </c>
      <c r="G535">
        <v>8</v>
      </c>
      <c r="H535">
        <v>7000</v>
      </c>
      <c r="I535">
        <v>5</v>
      </c>
      <c r="J535">
        <v>149158</v>
      </c>
      <c r="K535">
        <v>9</v>
      </c>
      <c r="L535">
        <v>4</v>
      </c>
      <c r="M535" t="str">
        <f>VLOOKUP(Sales_Data!F535,Product_Master!$A$2:$D$11,2)</f>
        <v>Router</v>
      </c>
      <c r="N535" t="str">
        <f>VLOOKUP(F535,Product_Master!$A$2:$C$11,3)</f>
        <v>Electronics</v>
      </c>
      <c r="O535">
        <f>VLOOKUP(F535,Product_Master!$A$2:$D$11,4,FALSE)</f>
        <v>5000</v>
      </c>
      <c r="P535">
        <f t="shared" si="80"/>
        <v>56000</v>
      </c>
      <c r="Q535">
        <f t="shared" si="81"/>
        <v>2800</v>
      </c>
      <c r="R535">
        <f t="shared" si="82"/>
        <v>53200</v>
      </c>
      <c r="S535">
        <f t="shared" si="83"/>
        <v>13200</v>
      </c>
      <c r="T535" t="str">
        <f>_xlfn.CONCAT(Sales_Data!C535,"-",Sales_Data!E535,"-",Sales_Data!A535)</f>
        <v>West-C1022-1534</v>
      </c>
      <c r="U535" t="str">
        <f t="shared" si="84"/>
        <v>High Value</v>
      </c>
      <c r="V535" t="str" cm="1">
        <f t="array" ref="V535">_xlfn.IFS(R535&gt;=100000,"Excellent",R535&gt;=50000,"Good",R535&gt;=20000,"Average",TRUE,"Poor")</f>
        <v>Good</v>
      </c>
      <c r="W535">
        <f t="shared" si="85"/>
        <v>3</v>
      </c>
      <c r="X535" t="str">
        <f t="shared" si="86"/>
        <v>September</v>
      </c>
      <c r="Y535">
        <f>HLOOKUP("Q"&amp;W535,Bonus_HLookup!$A$1:$E$2,2,FALSE)</f>
        <v>0.06</v>
      </c>
      <c r="Z535">
        <f t="shared" si="87"/>
        <v>53696.88</v>
      </c>
      <c r="AA535" s="1">
        <f t="shared" si="88"/>
        <v>3711.8031504112787</v>
      </c>
      <c r="AB535">
        <f t="shared" si="89"/>
        <v>283</v>
      </c>
    </row>
    <row r="536" spans="1:28" x14ac:dyDescent="0.3">
      <c r="A536">
        <v>1535</v>
      </c>
      <c r="B536" t="s">
        <v>294</v>
      </c>
      <c r="C536" t="s">
        <v>62</v>
      </c>
      <c r="D536" t="s">
        <v>50</v>
      </c>
      <c r="E536" t="s">
        <v>24</v>
      </c>
      <c r="F536" t="s">
        <v>28</v>
      </c>
      <c r="G536">
        <v>3</v>
      </c>
      <c r="H536">
        <v>950</v>
      </c>
      <c r="I536">
        <v>0</v>
      </c>
      <c r="J536">
        <v>302246</v>
      </c>
      <c r="K536">
        <v>11</v>
      </c>
      <c r="L536">
        <v>5</v>
      </c>
      <c r="M536" t="str">
        <f>VLOOKUP(Sales_Data!F536,Product_Master!$A$2:$D$11,2)</f>
        <v>Webcam</v>
      </c>
      <c r="N536" t="str">
        <f>VLOOKUP(F536,Product_Master!$A$2:$C$11,3)</f>
        <v>Accessories</v>
      </c>
      <c r="O536">
        <f>VLOOKUP(F536,Product_Master!$A$2:$D$11,4,FALSE)</f>
        <v>700</v>
      </c>
      <c r="P536">
        <f t="shared" si="80"/>
        <v>2850</v>
      </c>
      <c r="Q536">
        <f t="shared" si="81"/>
        <v>0</v>
      </c>
      <c r="R536">
        <f t="shared" si="82"/>
        <v>2850</v>
      </c>
      <c r="S536">
        <f t="shared" si="83"/>
        <v>750</v>
      </c>
      <c r="T536" t="str">
        <f>_xlfn.CONCAT(Sales_Data!C536,"-",Sales_Data!E536,"-",Sales_Data!A536)</f>
        <v>East-C1029-1535</v>
      </c>
      <c r="U536" t="str">
        <f t="shared" si="84"/>
        <v>Regular</v>
      </c>
      <c r="V536" t="str" cm="1">
        <f t="array" ref="V536">_xlfn.IFS(R536&gt;=100000,"Excellent",R536&gt;=50000,"Good",R536&gt;=20000,"Average",TRUE,"Poor")</f>
        <v>Poor</v>
      </c>
      <c r="W536">
        <f t="shared" si="85"/>
        <v>3</v>
      </c>
      <c r="X536" t="str">
        <f t="shared" si="86"/>
        <v>July</v>
      </c>
      <c r="Y536">
        <f>HLOOKUP("Q"&amp;W536,Bonus_HLookup!$A$1:$E$2,2,FALSE)</f>
        <v>0.06</v>
      </c>
      <c r="Z536">
        <f t="shared" si="87"/>
        <v>166235.29999999999</v>
      </c>
      <c r="AA536" s="1">
        <f t="shared" si="88"/>
        <v>6571.5604040141488</v>
      </c>
      <c r="AB536">
        <f t="shared" si="89"/>
        <v>887</v>
      </c>
    </row>
    <row r="537" spans="1:28" x14ac:dyDescent="0.3">
      <c r="A537">
        <v>1536</v>
      </c>
      <c r="B537" t="s">
        <v>70</v>
      </c>
      <c r="C537" t="s">
        <v>13</v>
      </c>
      <c r="D537" t="s">
        <v>23</v>
      </c>
      <c r="E537" t="s">
        <v>71</v>
      </c>
      <c r="F537" t="s">
        <v>74</v>
      </c>
      <c r="G537">
        <v>3</v>
      </c>
      <c r="H537">
        <v>35000</v>
      </c>
      <c r="I537">
        <v>10</v>
      </c>
      <c r="J537">
        <v>171080</v>
      </c>
      <c r="K537">
        <v>11</v>
      </c>
      <c r="L537">
        <v>2</v>
      </c>
      <c r="M537" t="str">
        <f>VLOOKUP(Sales_Data!F537,Product_Master!$A$2:$D$11,2)</f>
        <v>Tablet</v>
      </c>
      <c r="N537" t="str">
        <f>VLOOKUP(F537,Product_Master!$A$2:$C$11,3)</f>
        <v>Electronics</v>
      </c>
      <c r="O537">
        <f>VLOOKUP(F537,Product_Master!$A$2:$D$11,4,FALSE)</f>
        <v>29000</v>
      </c>
      <c r="P537">
        <f t="shared" si="80"/>
        <v>105000</v>
      </c>
      <c r="Q537">
        <f t="shared" si="81"/>
        <v>10500</v>
      </c>
      <c r="R537">
        <f t="shared" si="82"/>
        <v>94500</v>
      </c>
      <c r="S537">
        <f t="shared" si="83"/>
        <v>7500</v>
      </c>
      <c r="T537" t="str">
        <f>_xlfn.CONCAT(Sales_Data!C537,"-",Sales_Data!E537,"-",Sales_Data!A537)</f>
        <v>West-C1019-1536</v>
      </c>
      <c r="U537" t="str">
        <f t="shared" si="84"/>
        <v>High Value</v>
      </c>
      <c r="V537" t="str" cm="1">
        <f t="array" ref="V537">_xlfn.IFS(R537&gt;=100000,"Excellent",R537&gt;=50000,"Good",R537&gt;=20000,"Average",TRUE,"Poor")</f>
        <v>Good</v>
      </c>
      <c r="W537">
        <f t="shared" si="85"/>
        <v>1</v>
      </c>
      <c r="X537" t="str">
        <f t="shared" si="86"/>
        <v>March</v>
      </c>
      <c r="Y537">
        <f>HLOOKUP("Q"&amp;W537,Bonus_HLookup!$A$1:$E$2,2,FALSE)</f>
        <v>0.02</v>
      </c>
      <c r="Z537">
        <f t="shared" si="87"/>
        <v>37637.599999999999</v>
      </c>
      <c r="AA537" s="1">
        <f t="shared" si="88"/>
        <v>7973.6689586615075</v>
      </c>
      <c r="AB537">
        <f t="shared" si="89"/>
        <v>175</v>
      </c>
    </row>
    <row r="538" spans="1:28" x14ac:dyDescent="0.3">
      <c r="A538">
        <v>1537</v>
      </c>
      <c r="B538" t="s">
        <v>198</v>
      </c>
      <c r="C538" t="s">
        <v>18</v>
      </c>
      <c r="D538" t="s">
        <v>50</v>
      </c>
      <c r="E538" t="s">
        <v>85</v>
      </c>
      <c r="F538" t="s">
        <v>39</v>
      </c>
      <c r="G538">
        <v>2</v>
      </c>
      <c r="H538">
        <v>7000</v>
      </c>
      <c r="I538">
        <v>8</v>
      </c>
      <c r="J538">
        <v>383026</v>
      </c>
      <c r="K538">
        <v>11</v>
      </c>
      <c r="L538">
        <v>4</v>
      </c>
      <c r="M538" t="str">
        <f>VLOOKUP(Sales_Data!F538,Product_Master!$A$2:$D$11,2)</f>
        <v>Router</v>
      </c>
      <c r="N538" t="str">
        <f>VLOOKUP(F538,Product_Master!$A$2:$C$11,3)</f>
        <v>Electronics</v>
      </c>
      <c r="O538">
        <f>VLOOKUP(F538,Product_Master!$A$2:$D$11,4,FALSE)</f>
        <v>5000</v>
      </c>
      <c r="P538">
        <f t="shared" si="80"/>
        <v>14000</v>
      </c>
      <c r="Q538">
        <f t="shared" si="81"/>
        <v>1120</v>
      </c>
      <c r="R538">
        <f t="shared" si="82"/>
        <v>12880</v>
      </c>
      <c r="S538">
        <f t="shared" si="83"/>
        <v>2880</v>
      </c>
      <c r="T538" t="str">
        <f>_xlfn.CONCAT(Sales_Data!C538,"-",Sales_Data!E538,"-",Sales_Data!A538)</f>
        <v>North-C1005-1537</v>
      </c>
      <c r="U538" t="str">
        <f t="shared" si="84"/>
        <v>Regular</v>
      </c>
      <c r="V538" t="str" cm="1">
        <f t="array" ref="V538">_xlfn.IFS(R538&gt;=100000,"Excellent",R538&gt;=50000,"Good",R538&gt;=20000,"Average",TRUE,"Poor")</f>
        <v>Poor</v>
      </c>
      <c r="W538">
        <f t="shared" si="85"/>
        <v>2</v>
      </c>
      <c r="X538" t="str">
        <f t="shared" si="86"/>
        <v>May</v>
      </c>
      <c r="Y538">
        <f>HLOOKUP("Q"&amp;W538,Bonus_HLookup!$A$1:$E$2,2,FALSE)</f>
        <v>0.04</v>
      </c>
      <c r="Z538">
        <f t="shared" si="87"/>
        <v>168531.44</v>
      </c>
      <c r="AA538" s="1">
        <f t="shared" si="88"/>
        <v>9899.5071437743245</v>
      </c>
      <c r="AB538">
        <f t="shared" si="89"/>
        <v>568</v>
      </c>
    </row>
    <row r="539" spans="1:28" x14ac:dyDescent="0.3">
      <c r="A539">
        <v>1538</v>
      </c>
      <c r="B539" t="s">
        <v>247</v>
      </c>
      <c r="C539" t="s">
        <v>18</v>
      </c>
      <c r="D539" t="s">
        <v>50</v>
      </c>
      <c r="E539" t="s">
        <v>85</v>
      </c>
      <c r="F539" t="s">
        <v>52</v>
      </c>
      <c r="G539">
        <v>8</v>
      </c>
      <c r="H539">
        <v>500</v>
      </c>
      <c r="I539">
        <v>12</v>
      </c>
      <c r="J539">
        <v>315363</v>
      </c>
      <c r="K539">
        <v>12</v>
      </c>
      <c r="L539">
        <v>4</v>
      </c>
      <c r="M539" t="str">
        <f>VLOOKUP(Sales_Data!F539,Product_Master!$A$2:$D$11,2)</f>
        <v>Mouse</v>
      </c>
      <c r="N539" t="str">
        <f>VLOOKUP(F539,Product_Master!$A$2:$C$11,3)</f>
        <v>Accessories</v>
      </c>
      <c r="O539">
        <f>VLOOKUP(F539,Product_Master!$A$2:$D$11,4,FALSE)</f>
        <v>350</v>
      </c>
      <c r="P539">
        <f t="shared" si="80"/>
        <v>4000</v>
      </c>
      <c r="Q539">
        <f t="shared" si="81"/>
        <v>480</v>
      </c>
      <c r="R539">
        <f t="shared" si="82"/>
        <v>3520</v>
      </c>
      <c r="S539">
        <f t="shared" si="83"/>
        <v>720</v>
      </c>
      <c r="T539" t="str">
        <f>_xlfn.CONCAT(Sales_Data!C539,"-",Sales_Data!E539,"-",Sales_Data!A539)</f>
        <v>North-C1005-1538</v>
      </c>
      <c r="U539" t="str">
        <f t="shared" si="84"/>
        <v>Regular</v>
      </c>
      <c r="V539" t="str" cm="1">
        <f t="array" ref="V539">_xlfn.IFS(R539&gt;=100000,"Excellent",R539&gt;=50000,"Good",R539&gt;=20000,"Average",TRUE,"Poor")</f>
        <v>Poor</v>
      </c>
      <c r="W539">
        <f t="shared" si="85"/>
        <v>1</v>
      </c>
      <c r="X539" t="str">
        <f t="shared" si="86"/>
        <v>March</v>
      </c>
      <c r="Y539">
        <f>HLOOKUP("Q"&amp;W539,Bonus_HLookup!$A$1:$E$2,2,FALSE)</f>
        <v>0.02</v>
      </c>
      <c r="Z539">
        <f t="shared" si="87"/>
        <v>151374.24</v>
      </c>
      <c r="AA539" s="1">
        <f t="shared" si="88"/>
        <v>8304.7173433190364</v>
      </c>
      <c r="AB539">
        <f t="shared" si="89"/>
        <v>862</v>
      </c>
    </row>
    <row r="540" spans="1:28" x14ac:dyDescent="0.3">
      <c r="A540">
        <v>1539</v>
      </c>
      <c r="B540" t="s">
        <v>367</v>
      </c>
      <c r="C540" t="s">
        <v>13</v>
      </c>
      <c r="D540" t="s">
        <v>14</v>
      </c>
      <c r="E540" t="s">
        <v>160</v>
      </c>
      <c r="F540" t="s">
        <v>36</v>
      </c>
      <c r="G540">
        <v>4</v>
      </c>
      <c r="H540">
        <v>55000</v>
      </c>
      <c r="I540">
        <v>5</v>
      </c>
      <c r="J540">
        <v>185246</v>
      </c>
      <c r="K540">
        <v>8</v>
      </c>
      <c r="L540">
        <v>4</v>
      </c>
      <c r="M540" t="str">
        <f>VLOOKUP(Sales_Data!F540,Product_Master!$A$2:$D$11,2)</f>
        <v>Laptop</v>
      </c>
      <c r="N540" t="str">
        <f>VLOOKUP(F540,Product_Master!$A$2:$C$11,3)</f>
        <v>Electronics</v>
      </c>
      <c r="O540">
        <f>VLOOKUP(F540,Product_Master!$A$2:$D$11,4,FALSE)</f>
        <v>45000</v>
      </c>
      <c r="P540">
        <f t="shared" si="80"/>
        <v>220000</v>
      </c>
      <c r="Q540">
        <f t="shared" si="81"/>
        <v>11000</v>
      </c>
      <c r="R540">
        <f t="shared" si="82"/>
        <v>209000</v>
      </c>
      <c r="S540">
        <f t="shared" si="83"/>
        <v>29000</v>
      </c>
      <c r="T540" t="str">
        <f>_xlfn.CONCAT(Sales_Data!C540,"-",Sales_Data!E540,"-",Sales_Data!A540)</f>
        <v>West-C1040-1539</v>
      </c>
      <c r="U540" t="str">
        <f t="shared" si="84"/>
        <v>High Value</v>
      </c>
      <c r="V540" t="str" cm="1">
        <f t="array" ref="V540">_xlfn.IFS(R540&gt;=100000,"Excellent",R540&gt;=50000,"Good",R540&gt;=20000,"Average",TRUE,"Poor")</f>
        <v>Excellent</v>
      </c>
      <c r="W540">
        <f t="shared" si="85"/>
        <v>1</v>
      </c>
      <c r="X540" t="str">
        <f t="shared" si="86"/>
        <v>February</v>
      </c>
      <c r="Y540">
        <f>HLOOKUP("Q"&amp;W540,Bonus_HLookup!$A$1:$E$2,2,FALSE)</f>
        <v>0.02</v>
      </c>
      <c r="Z540">
        <f t="shared" si="87"/>
        <v>59278.720000000001</v>
      </c>
      <c r="AA540" s="1">
        <f t="shared" si="88"/>
        <v>4522.3962120739689</v>
      </c>
      <c r="AB540">
        <f t="shared" si="89"/>
        <v>102</v>
      </c>
    </row>
    <row r="541" spans="1:28" x14ac:dyDescent="0.3">
      <c r="A541">
        <v>1540</v>
      </c>
      <c r="B541" t="s">
        <v>274</v>
      </c>
      <c r="C541" t="s">
        <v>18</v>
      </c>
      <c r="D541" t="s">
        <v>33</v>
      </c>
      <c r="E541" t="s">
        <v>131</v>
      </c>
      <c r="F541" t="s">
        <v>42</v>
      </c>
      <c r="G541">
        <v>4</v>
      </c>
      <c r="H541">
        <v>8000</v>
      </c>
      <c r="I541">
        <v>10</v>
      </c>
      <c r="J541">
        <v>76562</v>
      </c>
      <c r="K541">
        <v>10</v>
      </c>
      <c r="L541">
        <v>2</v>
      </c>
      <c r="M541" t="str">
        <f>VLOOKUP(Sales_Data!F541,Product_Master!$A$2:$D$11,2)</f>
        <v>Printer</v>
      </c>
      <c r="N541" t="str">
        <f>VLOOKUP(F541,Product_Master!$A$2:$C$11,3)</f>
        <v>Electronics</v>
      </c>
      <c r="O541">
        <f>VLOOKUP(F541,Product_Master!$A$2:$D$11,4,FALSE)</f>
        <v>6500</v>
      </c>
      <c r="P541">
        <f t="shared" si="80"/>
        <v>32000</v>
      </c>
      <c r="Q541">
        <f t="shared" si="81"/>
        <v>3200</v>
      </c>
      <c r="R541">
        <f t="shared" si="82"/>
        <v>28800</v>
      </c>
      <c r="S541">
        <f t="shared" si="83"/>
        <v>2800</v>
      </c>
      <c r="T541" t="str">
        <f>_xlfn.CONCAT(Sales_Data!C541,"-",Sales_Data!E541,"-",Sales_Data!A541)</f>
        <v>North-C1047-1540</v>
      </c>
      <c r="U541" t="str">
        <f t="shared" si="84"/>
        <v>Regular</v>
      </c>
      <c r="V541" t="str" cm="1">
        <f t="array" ref="V541">_xlfn.IFS(R541&gt;=100000,"Excellent",R541&gt;=50000,"Good",R541&gt;=20000,"Average",TRUE,"Poor")</f>
        <v>Average</v>
      </c>
      <c r="W541">
        <f t="shared" si="85"/>
        <v>2</v>
      </c>
      <c r="X541" t="str">
        <f t="shared" si="86"/>
        <v>April</v>
      </c>
      <c r="Y541">
        <f>HLOOKUP("Q"&amp;W541,Bonus_HLookup!$A$1:$E$2,2,FALSE)</f>
        <v>0.04</v>
      </c>
      <c r="Z541">
        <f t="shared" si="87"/>
        <v>15312.4</v>
      </c>
      <c r="AA541" s="1">
        <f t="shared" si="88"/>
        <v>3532.9478502529387</v>
      </c>
      <c r="AB541">
        <f t="shared" si="89"/>
        <v>384</v>
      </c>
    </row>
    <row r="542" spans="1:28" x14ac:dyDescent="0.3">
      <c r="A542">
        <v>1541</v>
      </c>
      <c r="B542" t="s">
        <v>368</v>
      </c>
      <c r="C542" t="s">
        <v>13</v>
      </c>
      <c r="D542" t="s">
        <v>50</v>
      </c>
      <c r="E542" t="s">
        <v>94</v>
      </c>
      <c r="F542" t="s">
        <v>16</v>
      </c>
      <c r="G542">
        <v>10</v>
      </c>
      <c r="H542">
        <v>2500</v>
      </c>
      <c r="I542">
        <v>8</v>
      </c>
      <c r="J542">
        <v>51930</v>
      </c>
      <c r="K542">
        <v>11</v>
      </c>
      <c r="L542">
        <v>1</v>
      </c>
      <c r="M542" t="str">
        <f>VLOOKUP(Sales_Data!F542,Product_Master!$A$2:$D$11,2)</f>
        <v>Speaker</v>
      </c>
      <c r="N542" t="str">
        <f>VLOOKUP(F542,Product_Master!$A$2:$C$11,3)</f>
        <v>Accessories</v>
      </c>
      <c r="O542">
        <f>VLOOKUP(F542,Product_Master!$A$2:$D$11,4,FALSE)</f>
        <v>1800</v>
      </c>
      <c r="P542">
        <f t="shared" si="80"/>
        <v>25000</v>
      </c>
      <c r="Q542">
        <f t="shared" si="81"/>
        <v>2000</v>
      </c>
      <c r="R542">
        <f t="shared" si="82"/>
        <v>23000</v>
      </c>
      <c r="S542">
        <f t="shared" si="83"/>
        <v>5000</v>
      </c>
      <c r="T542" t="str">
        <f>_xlfn.CONCAT(Sales_Data!C542,"-",Sales_Data!E542,"-",Sales_Data!A542)</f>
        <v>West-C1027-1541</v>
      </c>
      <c r="U542" t="str">
        <f t="shared" si="84"/>
        <v>Regular</v>
      </c>
      <c r="V542" t="str" cm="1">
        <f t="array" ref="V542">_xlfn.IFS(R542&gt;=100000,"Excellent",R542&gt;=50000,"Good",R542&gt;=20000,"Average",TRUE,"Poor")</f>
        <v>Average</v>
      </c>
      <c r="W542">
        <f t="shared" si="85"/>
        <v>4</v>
      </c>
      <c r="X542" t="str">
        <f t="shared" si="86"/>
        <v>November</v>
      </c>
      <c r="Y542">
        <f>HLOOKUP("Q"&amp;W542,Bonus_HLookup!$A$1:$E$2,2,FALSE)</f>
        <v>0.08</v>
      </c>
      <c r="Z542">
        <f t="shared" si="87"/>
        <v>5712.3</v>
      </c>
      <c r="AA542" s="1">
        <f t="shared" si="88"/>
        <v>4589.6595270268972</v>
      </c>
      <c r="AB542">
        <f t="shared" si="89"/>
        <v>407</v>
      </c>
    </row>
    <row r="543" spans="1:28" x14ac:dyDescent="0.3">
      <c r="A543">
        <v>1542</v>
      </c>
      <c r="B543" t="s">
        <v>369</v>
      </c>
      <c r="C543" t="s">
        <v>62</v>
      </c>
      <c r="D543" t="s">
        <v>50</v>
      </c>
      <c r="E543" t="s">
        <v>196</v>
      </c>
      <c r="F543" t="s">
        <v>39</v>
      </c>
      <c r="G543">
        <v>6</v>
      </c>
      <c r="H543">
        <v>7000</v>
      </c>
      <c r="I543">
        <v>0</v>
      </c>
      <c r="J543">
        <v>285248</v>
      </c>
      <c r="K543">
        <v>8</v>
      </c>
      <c r="L543">
        <v>5</v>
      </c>
      <c r="M543" t="str">
        <f>VLOOKUP(Sales_Data!F543,Product_Master!$A$2:$D$11,2)</f>
        <v>Router</v>
      </c>
      <c r="N543" t="str">
        <f>VLOOKUP(F543,Product_Master!$A$2:$C$11,3)</f>
        <v>Electronics</v>
      </c>
      <c r="O543">
        <f>VLOOKUP(F543,Product_Master!$A$2:$D$11,4,FALSE)</f>
        <v>5000</v>
      </c>
      <c r="P543">
        <f t="shared" si="80"/>
        <v>42000</v>
      </c>
      <c r="Q543">
        <f t="shared" si="81"/>
        <v>0</v>
      </c>
      <c r="R543">
        <f t="shared" si="82"/>
        <v>42000</v>
      </c>
      <c r="S543">
        <f t="shared" si="83"/>
        <v>12000</v>
      </c>
      <c r="T543" t="str">
        <f>_xlfn.CONCAT(Sales_Data!C543,"-",Sales_Data!E543,"-",Sales_Data!A543)</f>
        <v>East-C1032-1542</v>
      </c>
      <c r="U543" t="str">
        <f t="shared" si="84"/>
        <v>Regular</v>
      </c>
      <c r="V543" t="str" cm="1">
        <f t="array" ref="V543">_xlfn.IFS(R543&gt;=100000,"Excellent",R543&gt;=50000,"Good",R543&gt;=20000,"Average",TRUE,"Poor")</f>
        <v>Average</v>
      </c>
      <c r="W543">
        <f t="shared" si="85"/>
        <v>4</v>
      </c>
      <c r="X543" t="str">
        <f t="shared" si="86"/>
        <v>November</v>
      </c>
      <c r="Y543">
        <f>HLOOKUP("Q"&amp;W543,Bonus_HLookup!$A$1:$E$2,2,FALSE)</f>
        <v>0.08</v>
      </c>
      <c r="Z543">
        <f t="shared" si="87"/>
        <v>114099.2</v>
      </c>
      <c r="AA543" s="1">
        <f t="shared" si="88"/>
        <v>5783.8009179814253</v>
      </c>
      <c r="AB543">
        <f t="shared" si="89"/>
        <v>329</v>
      </c>
    </row>
    <row r="544" spans="1:28" x14ac:dyDescent="0.3">
      <c r="A544">
        <v>1543</v>
      </c>
      <c r="B544" t="s">
        <v>245</v>
      </c>
      <c r="C544" t="s">
        <v>62</v>
      </c>
      <c r="D544" t="s">
        <v>46</v>
      </c>
      <c r="E544" t="s">
        <v>77</v>
      </c>
      <c r="F544" t="s">
        <v>42</v>
      </c>
      <c r="G544">
        <v>10</v>
      </c>
      <c r="H544">
        <v>8000</v>
      </c>
      <c r="I544">
        <v>8</v>
      </c>
      <c r="J544">
        <v>473544</v>
      </c>
      <c r="K544">
        <v>9</v>
      </c>
      <c r="L544">
        <v>4</v>
      </c>
      <c r="M544" t="str">
        <f>VLOOKUP(Sales_Data!F544,Product_Master!$A$2:$D$11,2)</f>
        <v>Printer</v>
      </c>
      <c r="N544" t="str">
        <f>VLOOKUP(F544,Product_Master!$A$2:$C$11,3)</f>
        <v>Electronics</v>
      </c>
      <c r="O544">
        <f>VLOOKUP(F544,Product_Master!$A$2:$D$11,4,FALSE)</f>
        <v>6500</v>
      </c>
      <c r="P544">
        <f t="shared" si="80"/>
        <v>80000</v>
      </c>
      <c r="Q544">
        <f t="shared" si="81"/>
        <v>6400</v>
      </c>
      <c r="R544">
        <f t="shared" si="82"/>
        <v>73600</v>
      </c>
      <c r="S544">
        <f t="shared" si="83"/>
        <v>8600</v>
      </c>
      <c r="T544" t="str">
        <f>_xlfn.CONCAT(Sales_Data!C544,"-",Sales_Data!E544,"-",Sales_Data!A544)</f>
        <v>East-C1020-1543</v>
      </c>
      <c r="U544" t="str">
        <f t="shared" si="84"/>
        <v>High Value</v>
      </c>
      <c r="V544" t="str" cm="1">
        <f t="array" ref="V544">_xlfn.IFS(R544&gt;=100000,"Excellent",R544&gt;=50000,"Good",R544&gt;=20000,"Average",TRUE,"Poor")</f>
        <v>Good</v>
      </c>
      <c r="W544">
        <f t="shared" si="85"/>
        <v>1</v>
      </c>
      <c r="X544" t="str">
        <f t="shared" si="86"/>
        <v>February</v>
      </c>
      <c r="Y544">
        <f>HLOOKUP("Q"&amp;W544,Bonus_HLookup!$A$1:$E$2,2,FALSE)</f>
        <v>0.02</v>
      </c>
      <c r="Z544">
        <f t="shared" si="87"/>
        <v>170475.84</v>
      </c>
      <c r="AA544" s="1">
        <f t="shared" si="88"/>
        <v>11784.162505922301</v>
      </c>
      <c r="AB544">
        <f t="shared" si="89"/>
        <v>207</v>
      </c>
    </row>
    <row r="545" spans="1:28" x14ac:dyDescent="0.3">
      <c r="A545">
        <v>1544</v>
      </c>
      <c r="B545" t="s">
        <v>216</v>
      </c>
      <c r="C545" t="s">
        <v>18</v>
      </c>
      <c r="D545" t="s">
        <v>50</v>
      </c>
      <c r="E545" t="s">
        <v>60</v>
      </c>
      <c r="F545" t="s">
        <v>74</v>
      </c>
      <c r="G545">
        <v>8</v>
      </c>
      <c r="H545">
        <v>35000</v>
      </c>
      <c r="I545">
        <v>5</v>
      </c>
      <c r="J545">
        <v>254716</v>
      </c>
      <c r="K545">
        <v>7</v>
      </c>
      <c r="L545">
        <v>1</v>
      </c>
      <c r="M545" t="str">
        <f>VLOOKUP(Sales_Data!F545,Product_Master!$A$2:$D$11,2)</f>
        <v>Tablet</v>
      </c>
      <c r="N545" t="str">
        <f>VLOOKUP(F545,Product_Master!$A$2:$C$11,3)</f>
        <v>Electronics</v>
      </c>
      <c r="O545">
        <f>VLOOKUP(F545,Product_Master!$A$2:$D$11,4,FALSE)</f>
        <v>29000</v>
      </c>
      <c r="P545">
        <f t="shared" si="80"/>
        <v>280000</v>
      </c>
      <c r="Q545">
        <f t="shared" si="81"/>
        <v>14000</v>
      </c>
      <c r="R545">
        <f t="shared" si="82"/>
        <v>266000</v>
      </c>
      <c r="S545">
        <f t="shared" si="83"/>
        <v>34000</v>
      </c>
      <c r="T545" t="str">
        <f>_xlfn.CONCAT(Sales_Data!C545,"-",Sales_Data!E545,"-",Sales_Data!A545)</f>
        <v>North-C1018-1544</v>
      </c>
      <c r="U545" t="str">
        <f t="shared" si="84"/>
        <v>High Value</v>
      </c>
      <c r="V545" t="str" cm="1">
        <f t="array" ref="V545">_xlfn.IFS(R545&gt;=100000,"Excellent",R545&gt;=50000,"Good",R545&gt;=20000,"Average",TRUE,"Poor")</f>
        <v>Excellent</v>
      </c>
      <c r="W545">
        <f t="shared" si="85"/>
        <v>1</v>
      </c>
      <c r="X545" t="str">
        <f t="shared" si="86"/>
        <v>February</v>
      </c>
      <c r="Y545">
        <f>HLOOKUP("Q"&amp;W545,Bonus_HLookup!$A$1:$E$2,2,FALSE)</f>
        <v>0.02</v>
      </c>
      <c r="Z545">
        <f t="shared" si="87"/>
        <v>17830.12</v>
      </c>
      <c r="AA545" s="1">
        <f t="shared" si="88"/>
        <v>22039.746659133332</v>
      </c>
      <c r="AB545">
        <f t="shared" si="89"/>
        <v>67</v>
      </c>
    </row>
    <row r="546" spans="1:28" x14ac:dyDescent="0.3">
      <c r="A546">
        <v>1545</v>
      </c>
      <c r="B546" t="s">
        <v>370</v>
      </c>
      <c r="C546" t="s">
        <v>13</v>
      </c>
      <c r="D546" t="s">
        <v>59</v>
      </c>
      <c r="E546" t="s">
        <v>20</v>
      </c>
      <c r="F546" t="s">
        <v>42</v>
      </c>
      <c r="G546">
        <v>4</v>
      </c>
      <c r="H546">
        <v>8000</v>
      </c>
      <c r="I546">
        <v>5</v>
      </c>
      <c r="J546">
        <v>58541</v>
      </c>
      <c r="K546">
        <v>12</v>
      </c>
      <c r="L546">
        <v>1</v>
      </c>
      <c r="M546" t="str">
        <f>VLOOKUP(Sales_Data!F546,Product_Master!$A$2:$D$11,2)</f>
        <v>Printer</v>
      </c>
      <c r="N546" t="str">
        <f>VLOOKUP(F546,Product_Master!$A$2:$C$11,3)</f>
        <v>Electronics</v>
      </c>
      <c r="O546">
        <f>VLOOKUP(F546,Product_Master!$A$2:$D$11,4,FALSE)</f>
        <v>6500</v>
      </c>
      <c r="P546">
        <f t="shared" si="80"/>
        <v>32000</v>
      </c>
      <c r="Q546">
        <f t="shared" si="81"/>
        <v>1600</v>
      </c>
      <c r="R546">
        <f t="shared" si="82"/>
        <v>30400</v>
      </c>
      <c r="S546">
        <f t="shared" si="83"/>
        <v>4400</v>
      </c>
      <c r="T546" t="str">
        <f>_xlfn.CONCAT(Sales_Data!C546,"-",Sales_Data!E546,"-",Sales_Data!A546)</f>
        <v>West-C1003-1545</v>
      </c>
      <c r="U546" t="str">
        <f t="shared" si="84"/>
        <v>Regular</v>
      </c>
      <c r="V546" t="str" cm="1">
        <f t="array" ref="V546">_xlfn.IFS(R546&gt;=100000,"Excellent",R546&gt;=50000,"Good",R546&gt;=20000,"Average",TRUE,"Poor")</f>
        <v>Average</v>
      </c>
      <c r="W546">
        <f t="shared" si="85"/>
        <v>1</v>
      </c>
      <c r="X546" t="str">
        <f t="shared" si="86"/>
        <v>January</v>
      </c>
      <c r="Y546">
        <f>HLOOKUP("Q"&amp;W546,Bonus_HLookup!$A$1:$E$2,2,FALSE)</f>
        <v>0.02</v>
      </c>
      <c r="Z546">
        <f t="shared" si="87"/>
        <v>7024.92</v>
      </c>
      <c r="AA546" s="1">
        <f t="shared" si="88"/>
        <v>5201.2969380188006</v>
      </c>
      <c r="AB546">
        <f t="shared" si="89"/>
        <v>375</v>
      </c>
    </row>
    <row r="547" spans="1:28" x14ac:dyDescent="0.3">
      <c r="A547">
        <v>1546</v>
      </c>
      <c r="B547" t="s">
        <v>101</v>
      </c>
      <c r="C547" t="s">
        <v>18</v>
      </c>
      <c r="D547" t="s">
        <v>23</v>
      </c>
      <c r="E547" t="s">
        <v>115</v>
      </c>
      <c r="F547" t="s">
        <v>74</v>
      </c>
      <c r="G547">
        <v>8</v>
      </c>
      <c r="H547">
        <v>35000</v>
      </c>
      <c r="I547">
        <v>10</v>
      </c>
      <c r="J547">
        <v>370065</v>
      </c>
      <c r="K547">
        <v>7</v>
      </c>
      <c r="L547">
        <v>2</v>
      </c>
      <c r="M547" t="str">
        <f>VLOOKUP(Sales_Data!F547,Product_Master!$A$2:$D$11,2)</f>
        <v>Tablet</v>
      </c>
      <c r="N547" t="str">
        <f>VLOOKUP(F547,Product_Master!$A$2:$C$11,3)</f>
        <v>Electronics</v>
      </c>
      <c r="O547">
        <f>VLOOKUP(F547,Product_Master!$A$2:$D$11,4,FALSE)</f>
        <v>29000</v>
      </c>
      <c r="P547">
        <f t="shared" si="80"/>
        <v>280000</v>
      </c>
      <c r="Q547">
        <f t="shared" si="81"/>
        <v>28000</v>
      </c>
      <c r="R547">
        <f t="shared" si="82"/>
        <v>252000</v>
      </c>
      <c r="S547">
        <f t="shared" si="83"/>
        <v>20000</v>
      </c>
      <c r="T547" t="str">
        <f>_xlfn.CONCAT(Sales_Data!C547,"-",Sales_Data!E547,"-",Sales_Data!A547)</f>
        <v>North-C1026-1546</v>
      </c>
      <c r="U547" t="str">
        <f t="shared" si="84"/>
        <v>High Value</v>
      </c>
      <c r="V547" t="str" cm="1">
        <f t="array" ref="V547">_xlfn.IFS(R547&gt;=100000,"Excellent",R547&gt;=50000,"Good",R547&gt;=20000,"Average",TRUE,"Poor")</f>
        <v>Excellent</v>
      </c>
      <c r="W547">
        <f t="shared" si="85"/>
        <v>4</v>
      </c>
      <c r="X547" t="str">
        <f t="shared" si="86"/>
        <v>October</v>
      </c>
      <c r="Y547">
        <f>HLOOKUP("Q"&amp;W547,Bonus_HLookup!$A$1:$E$2,2,FALSE)</f>
        <v>0.08</v>
      </c>
      <c r="Z547">
        <f t="shared" si="87"/>
        <v>51809.1</v>
      </c>
      <c r="AA547" s="1">
        <f t="shared" si="88"/>
        <v>16568.764485805506</v>
      </c>
      <c r="AB547">
        <f t="shared" si="89"/>
        <v>76</v>
      </c>
    </row>
    <row r="548" spans="1:28" x14ac:dyDescent="0.3">
      <c r="A548">
        <v>1547</v>
      </c>
      <c r="B548" t="s">
        <v>124</v>
      </c>
      <c r="C548" t="s">
        <v>30</v>
      </c>
      <c r="D548" t="s">
        <v>19</v>
      </c>
      <c r="E548" t="s">
        <v>146</v>
      </c>
      <c r="F548" t="s">
        <v>69</v>
      </c>
      <c r="G548">
        <v>8</v>
      </c>
      <c r="H548">
        <v>2000</v>
      </c>
      <c r="I548">
        <v>5</v>
      </c>
      <c r="J548">
        <v>222666</v>
      </c>
      <c r="K548">
        <v>7</v>
      </c>
      <c r="L548">
        <v>4</v>
      </c>
      <c r="M548" t="str">
        <f>VLOOKUP(Sales_Data!F548,Product_Master!$A$2:$D$11,2)</f>
        <v>Headset</v>
      </c>
      <c r="N548" t="str">
        <f>VLOOKUP(F548,Product_Master!$A$2:$C$11,3)</f>
        <v>Accessories</v>
      </c>
      <c r="O548">
        <f>VLOOKUP(F548,Product_Master!$A$2:$D$11,4,FALSE)</f>
        <v>1500</v>
      </c>
      <c r="P548">
        <f t="shared" si="80"/>
        <v>16000</v>
      </c>
      <c r="Q548">
        <f t="shared" si="81"/>
        <v>800</v>
      </c>
      <c r="R548">
        <f t="shared" si="82"/>
        <v>15200</v>
      </c>
      <c r="S548">
        <f t="shared" si="83"/>
        <v>3200</v>
      </c>
      <c r="T548" t="str">
        <f>_xlfn.CONCAT(Sales_Data!C548,"-",Sales_Data!E548,"-",Sales_Data!A548)</f>
        <v>South-C1017-1547</v>
      </c>
      <c r="U548" t="str">
        <f t="shared" si="84"/>
        <v>Regular</v>
      </c>
      <c r="V548" t="str" cm="1">
        <f t="array" ref="V548">_xlfn.IFS(R548&gt;=100000,"Excellent",R548&gt;=50000,"Good",R548&gt;=20000,"Average",TRUE,"Poor")</f>
        <v>Poor</v>
      </c>
      <c r="W548">
        <f t="shared" si="85"/>
        <v>4</v>
      </c>
      <c r="X548" t="str">
        <f t="shared" si="86"/>
        <v>October</v>
      </c>
      <c r="Y548">
        <f>HLOOKUP("Q"&amp;W548,Bonus_HLookup!$A$1:$E$2,2,FALSE)</f>
        <v>0.08</v>
      </c>
      <c r="Z548">
        <f t="shared" si="87"/>
        <v>62346.48</v>
      </c>
      <c r="AA548" s="1">
        <f t="shared" si="88"/>
        <v>5332.0145140075128</v>
      </c>
      <c r="AB548">
        <f t="shared" si="89"/>
        <v>521</v>
      </c>
    </row>
    <row r="549" spans="1:28" x14ac:dyDescent="0.3">
      <c r="A549">
        <v>1548</v>
      </c>
      <c r="B549" t="s">
        <v>328</v>
      </c>
      <c r="C549" t="s">
        <v>18</v>
      </c>
      <c r="D549" t="s">
        <v>33</v>
      </c>
      <c r="E549" t="s">
        <v>38</v>
      </c>
      <c r="F549" t="s">
        <v>39</v>
      </c>
      <c r="G549">
        <v>2</v>
      </c>
      <c r="H549">
        <v>7000</v>
      </c>
      <c r="I549">
        <v>0</v>
      </c>
      <c r="J549">
        <v>86778</v>
      </c>
      <c r="K549">
        <v>8</v>
      </c>
      <c r="L549">
        <v>1</v>
      </c>
      <c r="M549" t="str">
        <f>VLOOKUP(Sales_Data!F549,Product_Master!$A$2:$D$11,2)</f>
        <v>Router</v>
      </c>
      <c r="N549" t="str">
        <f>VLOOKUP(F549,Product_Master!$A$2:$C$11,3)</f>
        <v>Electronics</v>
      </c>
      <c r="O549">
        <f>VLOOKUP(F549,Product_Master!$A$2:$D$11,4,FALSE)</f>
        <v>5000</v>
      </c>
      <c r="P549">
        <f t="shared" si="80"/>
        <v>14000</v>
      </c>
      <c r="Q549">
        <f t="shared" si="81"/>
        <v>0</v>
      </c>
      <c r="R549">
        <f t="shared" si="82"/>
        <v>14000</v>
      </c>
      <c r="S549">
        <f t="shared" si="83"/>
        <v>4000</v>
      </c>
      <c r="T549" t="str">
        <f>_xlfn.CONCAT(Sales_Data!C549,"-",Sales_Data!E549,"-",Sales_Data!A549)</f>
        <v>North-C1009-1548</v>
      </c>
      <c r="U549" t="str">
        <f t="shared" si="84"/>
        <v>Regular</v>
      </c>
      <c r="V549" t="str" cm="1">
        <f t="array" ref="V549">_xlfn.IFS(R549&gt;=100000,"Excellent",R549&gt;=50000,"Good",R549&gt;=20000,"Average",TRUE,"Poor")</f>
        <v>Poor</v>
      </c>
      <c r="W549">
        <f t="shared" si="85"/>
        <v>3</v>
      </c>
      <c r="X549" t="str">
        <f t="shared" si="86"/>
        <v>September</v>
      </c>
      <c r="Y549">
        <f>HLOOKUP("Q"&amp;W549,Bonus_HLookup!$A$1:$E$2,2,FALSE)</f>
        <v>0.06</v>
      </c>
      <c r="Z549">
        <f t="shared" si="87"/>
        <v>6942.24</v>
      </c>
      <c r="AA549" s="1">
        <f t="shared" si="88"/>
        <v>7548.6818991746695</v>
      </c>
      <c r="AB549">
        <f t="shared" si="89"/>
        <v>539</v>
      </c>
    </row>
    <row r="550" spans="1:28" x14ac:dyDescent="0.3">
      <c r="A550">
        <v>1549</v>
      </c>
      <c r="B550" t="s">
        <v>371</v>
      </c>
      <c r="C550" t="s">
        <v>13</v>
      </c>
      <c r="D550" t="s">
        <v>50</v>
      </c>
      <c r="E550" t="s">
        <v>73</v>
      </c>
      <c r="F550" t="s">
        <v>52</v>
      </c>
      <c r="G550">
        <v>3</v>
      </c>
      <c r="H550">
        <v>500</v>
      </c>
      <c r="I550">
        <v>10</v>
      </c>
      <c r="J550">
        <v>168012</v>
      </c>
      <c r="K550">
        <v>8</v>
      </c>
      <c r="L550">
        <v>4</v>
      </c>
      <c r="M550" t="str">
        <f>VLOOKUP(Sales_Data!F550,Product_Master!$A$2:$D$11,2)</f>
        <v>Mouse</v>
      </c>
      <c r="N550" t="str">
        <f>VLOOKUP(F550,Product_Master!$A$2:$C$11,3)</f>
        <v>Accessories</v>
      </c>
      <c r="O550">
        <f>VLOOKUP(F550,Product_Master!$A$2:$D$11,4,FALSE)</f>
        <v>350</v>
      </c>
      <c r="P550">
        <f t="shared" si="80"/>
        <v>1500</v>
      </c>
      <c r="Q550">
        <f t="shared" si="81"/>
        <v>150</v>
      </c>
      <c r="R550">
        <f t="shared" si="82"/>
        <v>1350</v>
      </c>
      <c r="S550">
        <f t="shared" si="83"/>
        <v>300</v>
      </c>
      <c r="T550" t="str">
        <f>_xlfn.CONCAT(Sales_Data!C550,"-",Sales_Data!E550,"-",Sales_Data!A550)</f>
        <v>West-C1014-1549</v>
      </c>
      <c r="U550" t="str">
        <f t="shared" si="84"/>
        <v>Regular</v>
      </c>
      <c r="V550" t="str" cm="1">
        <f t="array" ref="V550">_xlfn.IFS(R550&gt;=100000,"Excellent",R550&gt;=50000,"Good",R550&gt;=20000,"Average",TRUE,"Poor")</f>
        <v>Poor</v>
      </c>
      <c r="W550">
        <f t="shared" si="85"/>
        <v>4</v>
      </c>
      <c r="X550" t="str">
        <f t="shared" si="86"/>
        <v>December</v>
      </c>
      <c r="Y550">
        <f>HLOOKUP("Q"&amp;W550,Bonus_HLookup!$A$1:$E$2,2,FALSE)</f>
        <v>0.08</v>
      </c>
      <c r="Z550">
        <f t="shared" si="87"/>
        <v>53763.839999999997</v>
      </c>
      <c r="AA550" s="1">
        <f t="shared" si="88"/>
        <v>4101.6639084405151</v>
      </c>
      <c r="AB550">
        <f t="shared" si="89"/>
        <v>959</v>
      </c>
    </row>
    <row r="551" spans="1:28" x14ac:dyDescent="0.3">
      <c r="A551">
        <v>1550</v>
      </c>
      <c r="B551" t="s">
        <v>372</v>
      </c>
      <c r="C551" t="s">
        <v>62</v>
      </c>
      <c r="D551" t="s">
        <v>50</v>
      </c>
      <c r="E551" t="s">
        <v>41</v>
      </c>
      <c r="F551" t="s">
        <v>36</v>
      </c>
      <c r="G551">
        <v>9</v>
      </c>
      <c r="H551">
        <v>55000</v>
      </c>
      <c r="I551">
        <v>10</v>
      </c>
      <c r="J551">
        <v>369846</v>
      </c>
      <c r="K551">
        <v>8</v>
      </c>
      <c r="L551">
        <v>3</v>
      </c>
      <c r="M551" t="str">
        <f>VLOOKUP(Sales_Data!F551,Product_Master!$A$2:$D$11,2)</f>
        <v>Laptop</v>
      </c>
      <c r="N551" t="str">
        <f>VLOOKUP(F551,Product_Master!$A$2:$C$11,3)</f>
        <v>Electronics</v>
      </c>
      <c r="O551">
        <f>VLOOKUP(F551,Product_Master!$A$2:$D$11,4,FALSE)</f>
        <v>45000</v>
      </c>
      <c r="P551">
        <f t="shared" si="80"/>
        <v>495000</v>
      </c>
      <c r="Q551">
        <f t="shared" si="81"/>
        <v>49500</v>
      </c>
      <c r="R551">
        <f t="shared" si="82"/>
        <v>445500</v>
      </c>
      <c r="S551">
        <f t="shared" si="83"/>
        <v>40500</v>
      </c>
      <c r="T551" t="str">
        <f>_xlfn.CONCAT(Sales_Data!C551,"-",Sales_Data!E551,"-",Sales_Data!A551)</f>
        <v>East-C1023-1550</v>
      </c>
      <c r="U551" t="str">
        <f t="shared" si="84"/>
        <v>High Value</v>
      </c>
      <c r="V551" t="str" cm="1">
        <f t="array" ref="V551">_xlfn.IFS(R551&gt;=100000,"Excellent",R551&gt;=50000,"Good",R551&gt;=20000,"Average",TRUE,"Poor")</f>
        <v>Excellent</v>
      </c>
      <c r="W551">
        <f t="shared" si="85"/>
        <v>3</v>
      </c>
      <c r="X551" t="str">
        <f t="shared" si="86"/>
        <v>August</v>
      </c>
      <c r="Y551">
        <f>HLOOKUP("Q"&amp;W551,Bonus_HLookup!$A$1:$E$2,2,FALSE)</f>
        <v>0.06</v>
      </c>
      <c r="Z551">
        <f t="shared" si="87"/>
        <v>88763.04</v>
      </c>
      <c r="AA551" s="1">
        <f t="shared" si="88"/>
        <v>11589.629420448355</v>
      </c>
      <c r="AB551">
        <f t="shared" si="89"/>
        <v>16</v>
      </c>
    </row>
    <row r="552" spans="1:28" x14ac:dyDescent="0.3">
      <c r="A552">
        <v>1551</v>
      </c>
      <c r="B552" t="s">
        <v>149</v>
      </c>
      <c r="C552" t="s">
        <v>13</v>
      </c>
      <c r="D552" t="s">
        <v>91</v>
      </c>
      <c r="E552" t="s">
        <v>106</v>
      </c>
      <c r="F552" t="s">
        <v>52</v>
      </c>
      <c r="G552">
        <v>4</v>
      </c>
      <c r="H552">
        <v>500</v>
      </c>
      <c r="I552">
        <v>5</v>
      </c>
      <c r="J552">
        <v>346602</v>
      </c>
      <c r="K552">
        <v>11</v>
      </c>
      <c r="L552">
        <v>1</v>
      </c>
      <c r="M552" t="str">
        <f>VLOOKUP(Sales_Data!F552,Product_Master!$A$2:$D$11,2)</f>
        <v>Mouse</v>
      </c>
      <c r="N552" t="str">
        <f>VLOOKUP(F552,Product_Master!$A$2:$C$11,3)</f>
        <v>Accessories</v>
      </c>
      <c r="O552">
        <f>VLOOKUP(F552,Product_Master!$A$2:$D$11,4,FALSE)</f>
        <v>350</v>
      </c>
      <c r="P552">
        <f t="shared" si="80"/>
        <v>2000</v>
      </c>
      <c r="Q552">
        <f t="shared" si="81"/>
        <v>100</v>
      </c>
      <c r="R552">
        <f t="shared" si="82"/>
        <v>1900</v>
      </c>
      <c r="S552">
        <f t="shared" si="83"/>
        <v>500</v>
      </c>
      <c r="T552" t="str">
        <f>_xlfn.CONCAT(Sales_Data!C552,"-",Sales_Data!E552,"-",Sales_Data!A552)</f>
        <v>West-C1004-1551</v>
      </c>
      <c r="U552" t="str">
        <f t="shared" si="84"/>
        <v>Regular</v>
      </c>
      <c r="V552" t="str" cm="1">
        <f t="array" ref="V552">_xlfn.IFS(R552&gt;=100000,"Excellent",R552&gt;=50000,"Good",R552&gt;=20000,"Average",TRUE,"Poor")</f>
        <v>Poor</v>
      </c>
      <c r="W552">
        <f t="shared" si="85"/>
        <v>2</v>
      </c>
      <c r="X552" t="str">
        <f t="shared" si="86"/>
        <v>June</v>
      </c>
      <c r="Y552">
        <f>HLOOKUP("Q"&amp;W552,Bonus_HLookup!$A$1:$E$2,2,FALSE)</f>
        <v>0.04</v>
      </c>
      <c r="Z552">
        <f t="shared" si="87"/>
        <v>38126.22</v>
      </c>
      <c r="AA552" s="1">
        <f t="shared" si="88"/>
        <v>30633.259606905001</v>
      </c>
      <c r="AB552">
        <f t="shared" si="89"/>
        <v>934</v>
      </c>
    </row>
    <row r="553" spans="1:28" x14ac:dyDescent="0.3">
      <c r="A553">
        <v>1552</v>
      </c>
      <c r="B553" t="s">
        <v>281</v>
      </c>
      <c r="C553" t="s">
        <v>30</v>
      </c>
      <c r="D553" t="s">
        <v>14</v>
      </c>
      <c r="E553" t="s">
        <v>73</v>
      </c>
      <c r="F553" t="s">
        <v>36</v>
      </c>
      <c r="G553">
        <v>9</v>
      </c>
      <c r="H553">
        <v>55000</v>
      </c>
      <c r="I553">
        <v>0</v>
      </c>
      <c r="J553">
        <v>59597</v>
      </c>
      <c r="K553">
        <v>10</v>
      </c>
      <c r="L553">
        <v>2</v>
      </c>
      <c r="M553" t="str">
        <f>VLOOKUP(Sales_Data!F553,Product_Master!$A$2:$D$11,2)</f>
        <v>Laptop</v>
      </c>
      <c r="N553" t="str">
        <f>VLOOKUP(F553,Product_Master!$A$2:$C$11,3)</f>
        <v>Electronics</v>
      </c>
      <c r="O553">
        <f>VLOOKUP(F553,Product_Master!$A$2:$D$11,4,FALSE)</f>
        <v>45000</v>
      </c>
      <c r="P553">
        <f t="shared" si="80"/>
        <v>495000</v>
      </c>
      <c r="Q553">
        <f t="shared" si="81"/>
        <v>0</v>
      </c>
      <c r="R553">
        <f t="shared" si="82"/>
        <v>495000</v>
      </c>
      <c r="S553">
        <f t="shared" si="83"/>
        <v>90000</v>
      </c>
      <c r="T553" t="str">
        <f>_xlfn.CONCAT(Sales_Data!C553,"-",Sales_Data!E553,"-",Sales_Data!A553)</f>
        <v>South-C1014-1552</v>
      </c>
      <c r="U553" t="str">
        <f t="shared" si="84"/>
        <v>High Value</v>
      </c>
      <c r="V553" t="str" cm="1">
        <f t="array" ref="V553">_xlfn.IFS(R553&gt;=100000,"Excellent",R553&gt;=50000,"Good",R553&gt;=20000,"Average",TRUE,"Poor")</f>
        <v>Excellent</v>
      </c>
      <c r="W553">
        <f t="shared" si="85"/>
        <v>4</v>
      </c>
      <c r="X553" t="str">
        <f t="shared" si="86"/>
        <v>October</v>
      </c>
      <c r="Y553">
        <f>HLOOKUP("Q"&amp;W553,Bonus_HLookup!$A$1:$E$2,2,FALSE)</f>
        <v>0.08</v>
      </c>
      <c r="Z553">
        <f t="shared" si="87"/>
        <v>11919.4</v>
      </c>
      <c r="AA553" s="1">
        <f t="shared" si="88"/>
        <v>2750.0991749369714</v>
      </c>
      <c r="AB553">
        <f t="shared" si="89"/>
        <v>4</v>
      </c>
    </row>
    <row r="554" spans="1:28" x14ac:dyDescent="0.3">
      <c r="A554">
        <v>1553</v>
      </c>
      <c r="B554" t="s">
        <v>215</v>
      </c>
      <c r="C554" t="s">
        <v>13</v>
      </c>
      <c r="D554" t="s">
        <v>91</v>
      </c>
      <c r="E554" t="s">
        <v>115</v>
      </c>
      <c r="F554" t="s">
        <v>39</v>
      </c>
      <c r="G554">
        <v>2</v>
      </c>
      <c r="H554">
        <v>7000</v>
      </c>
      <c r="I554">
        <v>8</v>
      </c>
      <c r="J554">
        <v>463877</v>
      </c>
      <c r="K554">
        <v>8</v>
      </c>
      <c r="L554">
        <v>2</v>
      </c>
      <c r="M554" t="str">
        <f>VLOOKUP(Sales_Data!F554,Product_Master!$A$2:$D$11,2)</f>
        <v>Router</v>
      </c>
      <c r="N554" t="str">
        <f>VLOOKUP(F554,Product_Master!$A$2:$C$11,3)</f>
        <v>Electronics</v>
      </c>
      <c r="O554">
        <f>VLOOKUP(F554,Product_Master!$A$2:$D$11,4,FALSE)</f>
        <v>5000</v>
      </c>
      <c r="P554">
        <f t="shared" si="80"/>
        <v>14000</v>
      </c>
      <c r="Q554">
        <f t="shared" si="81"/>
        <v>1120</v>
      </c>
      <c r="R554">
        <f t="shared" si="82"/>
        <v>12880</v>
      </c>
      <c r="S554">
        <f t="shared" si="83"/>
        <v>2880</v>
      </c>
      <c r="T554" t="str">
        <f>_xlfn.CONCAT(Sales_Data!C554,"-",Sales_Data!E554,"-",Sales_Data!A554)</f>
        <v>West-C1026-1553</v>
      </c>
      <c r="U554" t="str">
        <f t="shared" si="84"/>
        <v>Regular</v>
      </c>
      <c r="V554" t="str" cm="1">
        <f t="array" ref="V554">_xlfn.IFS(R554&gt;=100000,"Excellent",R554&gt;=50000,"Good",R554&gt;=20000,"Average",TRUE,"Poor")</f>
        <v>Poor</v>
      </c>
      <c r="W554">
        <f t="shared" si="85"/>
        <v>1</v>
      </c>
      <c r="X554" t="str">
        <f t="shared" si="86"/>
        <v>March</v>
      </c>
      <c r="Y554">
        <f>HLOOKUP("Q"&amp;W554,Bonus_HLookup!$A$1:$E$2,2,FALSE)</f>
        <v>0.02</v>
      </c>
      <c r="Z554">
        <f t="shared" si="87"/>
        <v>74220.320000000007</v>
      </c>
      <c r="AA554" s="1">
        <f t="shared" si="88"/>
        <v>20979.900278820336</v>
      </c>
      <c r="AB554">
        <f t="shared" si="89"/>
        <v>568</v>
      </c>
    </row>
    <row r="555" spans="1:28" x14ac:dyDescent="0.3">
      <c r="A555">
        <v>1554</v>
      </c>
      <c r="B555" t="s">
        <v>373</v>
      </c>
      <c r="C555" t="s">
        <v>62</v>
      </c>
      <c r="D555" t="s">
        <v>46</v>
      </c>
      <c r="E555" t="s">
        <v>160</v>
      </c>
      <c r="F555" t="s">
        <v>16</v>
      </c>
      <c r="G555">
        <v>5</v>
      </c>
      <c r="H555">
        <v>2500</v>
      </c>
      <c r="I555">
        <v>15</v>
      </c>
      <c r="J555">
        <v>357013</v>
      </c>
      <c r="K555">
        <v>9</v>
      </c>
      <c r="L555">
        <v>2</v>
      </c>
      <c r="M555" t="str">
        <f>VLOOKUP(Sales_Data!F555,Product_Master!$A$2:$D$11,2)</f>
        <v>Speaker</v>
      </c>
      <c r="N555" t="str">
        <f>VLOOKUP(F555,Product_Master!$A$2:$C$11,3)</f>
        <v>Accessories</v>
      </c>
      <c r="O555">
        <f>VLOOKUP(F555,Product_Master!$A$2:$D$11,4,FALSE)</f>
        <v>1800</v>
      </c>
      <c r="P555">
        <f t="shared" si="80"/>
        <v>12500</v>
      </c>
      <c r="Q555">
        <f t="shared" si="81"/>
        <v>1875</v>
      </c>
      <c r="R555">
        <f t="shared" si="82"/>
        <v>10625</v>
      </c>
      <c r="S555">
        <f t="shared" si="83"/>
        <v>1625</v>
      </c>
      <c r="T555" t="str">
        <f>_xlfn.CONCAT(Sales_Data!C555,"-",Sales_Data!E555,"-",Sales_Data!A555)</f>
        <v>East-C1040-1554</v>
      </c>
      <c r="U555" t="str">
        <f t="shared" si="84"/>
        <v>Regular</v>
      </c>
      <c r="V555" t="str" cm="1">
        <f t="array" ref="V555">_xlfn.IFS(R555&gt;=100000,"Excellent",R555&gt;=50000,"Good",R555&gt;=20000,"Average",TRUE,"Poor")</f>
        <v>Poor</v>
      </c>
      <c r="W555">
        <f t="shared" si="85"/>
        <v>3</v>
      </c>
      <c r="X555" t="str">
        <f t="shared" si="86"/>
        <v>July</v>
      </c>
      <c r="Y555">
        <f>HLOOKUP("Q"&amp;W555,Bonus_HLookup!$A$1:$E$2,2,FALSE)</f>
        <v>0.06</v>
      </c>
      <c r="Z555">
        <f t="shared" si="87"/>
        <v>64262.34</v>
      </c>
      <c r="AA555" s="1">
        <f t="shared" si="88"/>
        <v>16310.046895314425</v>
      </c>
      <c r="AB555">
        <f t="shared" si="89"/>
        <v>626</v>
      </c>
    </row>
    <row r="556" spans="1:28" x14ac:dyDescent="0.3">
      <c r="A556">
        <v>1555</v>
      </c>
      <c r="B556" t="s">
        <v>118</v>
      </c>
      <c r="C556" t="s">
        <v>13</v>
      </c>
      <c r="D556" t="s">
        <v>19</v>
      </c>
      <c r="E556" t="s">
        <v>172</v>
      </c>
      <c r="F556" t="s">
        <v>21</v>
      </c>
      <c r="G556">
        <v>4</v>
      </c>
      <c r="H556">
        <v>12000</v>
      </c>
      <c r="I556">
        <v>15</v>
      </c>
      <c r="J556">
        <v>378337</v>
      </c>
      <c r="K556">
        <v>12</v>
      </c>
      <c r="L556">
        <v>5</v>
      </c>
      <c r="M556" t="str">
        <f>VLOOKUP(Sales_Data!F556,Product_Master!$A$2:$D$11,2)</f>
        <v>Monitor</v>
      </c>
      <c r="N556" t="str">
        <f>VLOOKUP(F556,Product_Master!$A$2:$C$11,3)</f>
        <v>Electronics</v>
      </c>
      <c r="O556">
        <f>VLOOKUP(F556,Product_Master!$A$2:$D$11,4,FALSE)</f>
        <v>9000</v>
      </c>
      <c r="P556">
        <f t="shared" si="80"/>
        <v>48000</v>
      </c>
      <c r="Q556">
        <f t="shared" si="81"/>
        <v>7200</v>
      </c>
      <c r="R556">
        <f t="shared" si="82"/>
        <v>40800</v>
      </c>
      <c r="S556">
        <f t="shared" si="83"/>
        <v>4800</v>
      </c>
      <c r="T556" t="str">
        <f>_xlfn.CONCAT(Sales_Data!C556,"-",Sales_Data!E556,"-",Sales_Data!A556)</f>
        <v>West-C1033-1555</v>
      </c>
      <c r="U556" t="str">
        <f t="shared" si="84"/>
        <v>Regular</v>
      </c>
      <c r="V556" t="str" cm="1">
        <f t="array" ref="V556">_xlfn.IFS(R556&gt;=100000,"Excellent",R556&gt;=50000,"Good",R556&gt;=20000,"Average",TRUE,"Poor")</f>
        <v>Average</v>
      </c>
      <c r="W556">
        <f t="shared" si="85"/>
        <v>1</v>
      </c>
      <c r="X556" t="str">
        <f t="shared" si="86"/>
        <v>March</v>
      </c>
      <c r="Y556">
        <f>HLOOKUP("Q"&amp;W556,Bonus_HLookup!$A$1:$E$2,2,FALSE)</f>
        <v>0.02</v>
      </c>
      <c r="Z556">
        <f t="shared" si="87"/>
        <v>227002.2</v>
      </c>
      <c r="AA556" s="1">
        <f t="shared" si="88"/>
        <v>8415.8976037626817</v>
      </c>
      <c r="AB556">
        <f t="shared" si="89"/>
        <v>334</v>
      </c>
    </row>
    <row r="557" spans="1:28" x14ac:dyDescent="0.3">
      <c r="A557">
        <v>1556</v>
      </c>
      <c r="B557" t="s">
        <v>180</v>
      </c>
      <c r="C557" t="s">
        <v>13</v>
      </c>
      <c r="D557" t="s">
        <v>59</v>
      </c>
      <c r="E557" t="s">
        <v>15</v>
      </c>
      <c r="F557" t="s">
        <v>25</v>
      </c>
      <c r="G557">
        <v>4</v>
      </c>
      <c r="H557">
        <v>1500</v>
      </c>
      <c r="I557">
        <v>12</v>
      </c>
      <c r="J557">
        <v>107398</v>
      </c>
      <c r="K557">
        <v>11</v>
      </c>
      <c r="L557">
        <v>1</v>
      </c>
      <c r="M557" t="str">
        <f>VLOOKUP(Sales_Data!F557,Product_Master!$A$2:$D$11,2)</f>
        <v>Keyboard</v>
      </c>
      <c r="N557" t="str">
        <f>VLOOKUP(F557,Product_Master!$A$2:$C$11,3)</f>
        <v>Accessories</v>
      </c>
      <c r="O557">
        <f>VLOOKUP(F557,Product_Master!$A$2:$D$11,4,FALSE)</f>
        <v>1200</v>
      </c>
      <c r="P557">
        <f t="shared" si="80"/>
        <v>6000</v>
      </c>
      <c r="Q557">
        <f t="shared" si="81"/>
        <v>720</v>
      </c>
      <c r="R557">
        <f t="shared" si="82"/>
        <v>5280</v>
      </c>
      <c r="S557">
        <f t="shared" si="83"/>
        <v>480</v>
      </c>
      <c r="T557" t="str">
        <f>_xlfn.CONCAT(Sales_Data!C557,"-",Sales_Data!E557,"-",Sales_Data!A557)</f>
        <v>West-C1016-1556</v>
      </c>
      <c r="U557" t="str">
        <f t="shared" si="84"/>
        <v>Regular</v>
      </c>
      <c r="V557" t="str" cm="1">
        <f t="array" ref="V557">_xlfn.IFS(R557&gt;=100000,"Excellent",R557&gt;=50000,"Good",R557&gt;=20000,"Average",TRUE,"Poor")</f>
        <v>Poor</v>
      </c>
      <c r="W557">
        <f t="shared" si="85"/>
        <v>2</v>
      </c>
      <c r="X557" t="str">
        <f t="shared" si="86"/>
        <v>June</v>
      </c>
      <c r="Y557">
        <f>HLOOKUP("Q"&amp;W557,Bonus_HLookup!$A$1:$E$2,2,FALSE)</f>
        <v>0.04</v>
      </c>
      <c r="Z557">
        <f t="shared" si="87"/>
        <v>11813.78</v>
      </c>
      <c r="AA557" s="1">
        <f t="shared" si="88"/>
        <v>9492.0133619032295</v>
      </c>
      <c r="AB557">
        <f t="shared" si="89"/>
        <v>779</v>
      </c>
    </row>
    <row r="558" spans="1:28" x14ac:dyDescent="0.3">
      <c r="A558">
        <v>1557</v>
      </c>
      <c r="B558" t="s">
        <v>138</v>
      </c>
      <c r="C558" t="s">
        <v>13</v>
      </c>
      <c r="D558" t="s">
        <v>14</v>
      </c>
      <c r="E558" t="s">
        <v>71</v>
      </c>
      <c r="F558" t="s">
        <v>74</v>
      </c>
      <c r="G558">
        <v>7</v>
      </c>
      <c r="H558">
        <v>35000</v>
      </c>
      <c r="I558">
        <v>5</v>
      </c>
      <c r="J558">
        <v>468514</v>
      </c>
      <c r="K558">
        <v>11</v>
      </c>
      <c r="L558">
        <v>4</v>
      </c>
      <c r="M558" t="str">
        <f>VLOOKUP(Sales_Data!F558,Product_Master!$A$2:$D$11,2)</f>
        <v>Tablet</v>
      </c>
      <c r="N558" t="str">
        <f>VLOOKUP(F558,Product_Master!$A$2:$C$11,3)</f>
        <v>Electronics</v>
      </c>
      <c r="O558">
        <f>VLOOKUP(F558,Product_Master!$A$2:$D$11,4,FALSE)</f>
        <v>29000</v>
      </c>
      <c r="P558">
        <f t="shared" si="80"/>
        <v>245000</v>
      </c>
      <c r="Q558">
        <f t="shared" si="81"/>
        <v>12250</v>
      </c>
      <c r="R558">
        <f t="shared" si="82"/>
        <v>232750</v>
      </c>
      <c r="S558">
        <f t="shared" si="83"/>
        <v>29750</v>
      </c>
      <c r="T558" t="str">
        <f>_xlfn.CONCAT(Sales_Data!C558,"-",Sales_Data!E558,"-",Sales_Data!A558)</f>
        <v>West-C1019-1557</v>
      </c>
      <c r="U558" t="str">
        <f t="shared" si="84"/>
        <v>High Value</v>
      </c>
      <c r="V558" t="str" cm="1">
        <f t="array" ref="V558">_xlfn.IFS(R558&gt;=100000,"Excellent",R558&gt;=50000,"Good",R558&gt;=20000,"Average",TRUE,"Poor")</f>
        <v>Excellent</v>
      </c>
      <c r="W558">
        <f t="shared" si="85"/>
        <v>2</v>
      </c>
      <c r="X558" t="str">
        <f t="shared" si="86"/>
        <v>May</v>
      </c>
      <c r="Y558">
        <f>HLOOKUP("Q"&amp;W558,Bonus_HLookup!$A$1:$E$2,2,FALSE)</f>
        <v>0.04</v>
      </c>
      <c r="Z558">
        <f t="shared" si="87"/>
        <v>206146.16</v>
      </c>
      <c r="AA558" s="1">
        <f t="shared" si="88"/>
        <v>12108.989180782204</v>
      </c>
      <c r="AB558">
        <f t="shared" si="89"/>
        <v>91</v>
      </c>
    </row>
    <row r="559" spans="1:28" x14ac:dyDescent="0.3">
      <c r="A559">
        <v>1558</v>
      </c>
      <c r="B559" t="s">
        <v>374</v>
      </c>
      <c r="C559" t="s">
        <v>18</v>
      </c>
      <c r="D559" t="s">
        <v>14</v>
      </c>
      <c r="E559" t="s">
        <v>133</v>
      </c>
      <c r="F559" t="s">
        <v>74</v>
      </c>
      <c r="G559">
        <v>7</v>
      </c>
      <c r="H559">
        <v>35000</v>
      </c>
      <c r="I559">
        <v>15</v>
      </c>
      <c r="J559">
        <v>307581</v>
      </c>
      <c r="K559">
        <v>12</v>
      </c>
      <c r="L559">
        <v>3</v>
      </c>
      <c r="M559" t="str">
        <f>VLOOKUP(Sales_Data!F559,Product_Master!$A$2:$D$11,2)</f>
        <v>Tablet</v>
      </c>
      <c r="N559" t="str">
        <f>VLOOKUP(F559,Product_Master!$A$2:$C$11,3)</f>
        <v>Electronics</v>
      </c>
      <c r="O559">
        <f>VLOOKUP(F559,Product_Master!$A$2:$D$11,4,FALSE)</f>
        <v>29000</v>
      </c>
      <c r="P559">
        <f t="shared" si="80"/>
        <v>245000</v>
      </c>
      <c r="Q559">
        <f t="shared" si="81"/>
        <v>36750</v>
      </c>
      <c r="R559">
        <f t="shared" si="82"/>
        <v>208250</v>
      </c>
      <c r="S559">
        <f t="shared" si="83"/>
        <v>5250</v>
      </c>
      <c r="T559" t="str">
        <f>_xlfn.CONCAT(Sales_Data!C559,"-",Sales_Data!E559,"-",Sales_Data!A559)</f>
        <v>North-C1021-1558</v>
      </c>
      <c r="U559" t="str">
        <f t="shared" si="84"/>
        <v>High Value</v>
      </c>
      <c r="V559" t="str" cm="1">
        <f t="array" ref="V559">_xlfn.IFS(R559&gt;=100000,"Excellent",R559&gt;=50000,"Good",R559&gt;=20000,"Average",TRUE,"Poor")</f>
        <v>Excellent</v>
      </c>
      <c r="W559">
        <f t="shared" si="85"/>
        <v>1</v>
      </c>
      <c r="X559" t="str">
        <f t="shared" si="86"/>
        <v>January</v>
      </c>
      <c r="Y559">
        <f>HLOOKUP("Q"&amp;W559,Bonus_HLookup!$A$1:$E$2,2,FALSE)</f>
        <v>0.02</v>
      </c>
      <c r="Z559">
        <f t="shared" si="87"/>
        <v>110729.16</v>
      </c>
      <c r="AA559" s="1">
        <f t="shared" si="88"/>
        <v>10216.090626546582</v>
      </c>
      <c r="AB559">
        <f t="shared" si="89"/>
        <v>105</v>
      </c>
    </row>
    <row r="560" spans="1:28" x14ac:dyDescent="0.3">
      <c r="A560">
        <v>1559</v>
      </c>
      <c r="B560" t="s">
        <v>375</v>
      </c>
      <c r="C560" t="s">
        <v>62</v>
      </c>
      <c r="D560" t="s">
        <v>46</v>
      </c>
      <c r="E560" t="s">
        <v>174</v>
      </c>
      <c r="F560" t="s">
        <v>74</v>
      </c>
      <c r="G560">
        <v>1</v>
      </c>
      <c r="H560">
        <v>35000</v>
      </c>
      <c r="I560">
        <v>12</v>
      </c>
      <c r="J560">
        <v>245807</v>
      </c>
      <c r="K560">
        <v>8</v>
      </c>
      <c r="L560">
        <v>1</v>
      </c>
      <c r="M560" t="str">
        <f>VLOOKUP(Sales_Data!F560,Product_Master!$A$2:$D$11,2)</f>
        <v>Tablet</v>
      </c>
      <c r="N560" t="str">
        <f>VLOOKUP(F560,Product_Master!$A$2:$C$11,3)</f>
        <v>Electronics</v>
      </c>
      <c r="O560">
        <f>VLOOKUP(F560,Product_Master!$A$2:$D$11,4,FALSE)</f>
        <v>29000</v>
      </c>
      <c r="P560">
        <f t="shared" si="80"/>
        <v>35000</v>
      </c>
      <c r="Q560">
        <f t="shared" si="81"/>
        <v>4200</v>
      </c>
      <c r="R560">
        <f t="shared" si="82"/>
        <v>30800</v>
      </c>
      <c r="S560">
        <f t="shared" si="83"/>
        <v>1800</v>
      </c>
      <c r="T560" t="str">
        <f>_xlfn.CONCAT(Sales_Data!C560,"-",Sales_Data!E560,"-",Sales_Data!A560)</f>
        <v>East-C1044-1559</v>
      </c>
      <c r="U560" t="str">
        <f t="shared" si="84"/>
        <v>Regular</v>
      </c>
      <c r="V560" t="str" cm="1">
        <f t="array" ref="V560">_xlfn.IFS(R560&gt;=100000,"Excellent",R560&gt;=50000,"Good",R560&gt;=20000,"Average",TRUE,"Poor")</f>
        <v>Average</v>
      </c>
      <c r="W560">
        <f t="shared" si="85"/>
        <v>4</v>
      </c>
      <c r="X560" t="str">
        <f t="shared" si="86"/>
        <v>October</v>
      </c>
      <c r="Y560">
        <f>HLOOKUP("Q"&amp;W560,Bonus_HLookup!$A$1:$E$2,2,FALSE)</f>
        <v>0.08</v>
      </c>
      <c r="Z560">
        <f t="shared" si="87"/>
        <v>19664.560000000001</v>
      </c>
      <c r="AA560" s="1">
        <f t="shared" si="88"/>
        <v>21382.364788200095</v>
      </c>
      <c r="AB560">
        <f t="shared" si="89"/>
        <v>372</v>
      </c>
    </row>
    <row r="561" spans="1:28" x14ac:dyDescent="0.3">
      <c r="A561">
        <v>1560</v>
      </c>
      <c r="B561" t="s">
        <v>376</v>
      </c>
      <c r="C561" t="s">
        <v>62</v>
      </c>
      <c r="D561" t="s">
        <v>50</v>
      </c>
      <c r="E561" t="s">
        <v>77</v>
      </c>
      <c r="F561" t="s">
        <v>69</v>
      </c>
      <c r="G561">
        <v>3</v>
      </c>
      <c r="H561">
        <v>2000</v>
      </c>
      <c r="I561">
        <v>10</v>
      </c>
      <c r="J561">
        <v>127229</v>
      </c>
      <c r="K561">
        <v>8</v>
      </c>
      <c r="L561">
        <v>1</v>
      </c>
      <c r="M561" t="str">
        <f>VLOOKUP(Sales_Data!F561,Product_Master!$A$2:$D$11,2)</f>
        <v>Headset</v>
      </c>
      <c r="N561" t="str">
        <f>VLOOKUP(F561,Product_Master!$A$2:$C$11,3)</f>
        <v>Accessories</v>
      </c>
      <c r="O561">
        <f>VLOOKUP(F561,Product_Master!$A$2:$D$11,4,FALSE)</f>
        <v>1500</v>
      </c>
      <c r="P561">
        <f t="shared" si="80"/>
        <v>6000</v>
      </c>
      <c r="Q561">
        <f t="shared" si="81"/>
        <v>600</v>
      </c>
      <c r="R561">
        <f t="shared" si="82"/>
        <v>5400</v>
      </c>
      <c r="S561">
        <f t="shared" si="83"/>
        <v>900</v>
      </c>
      <c r="T561" t="str">
        <f>_xlfn.CONCAT(Sales_Data!C561,"-",Sales_Data!E561,"-",Sales_Data!A561)</f>
        <v>East-C1020-1560</v>
      </c>
      <c r="U561" t="str">
        <f t="shared" si="84"/>
        <v>Regular</v>
      </c>
      <c r="V561" t="str" cm="1">
        <f t="array" ref="V561">_xlfn.IFS(R561&gt;=100000,"Excellent",R561&gt;=50000,"Good",R561&gt;=20000,"Average",TRUE,"Poor")</f>
        <v>Poor</v>
      </c>
      <c r="W561">
        <f t="shared" si="85"/>
        <v>1</v>
      </c>
      <c r="X561" t="str">
        <f t="shared" si="86"/>
        <v>January</v>
      </c>
      <c r="Y561">
        <f>HLOOKUP("Q"&amp;W561,Bonus_HLookup!$A$1:$E$2,2,FALSE)</f>
        <v>0.02</v>
      </c>
      <c r="Z561">
        <f t="shared" si="87"/>
        <v>10178.32</v>
      </c>
      <c r="AA561" s="1">
        <f t="shared" si="88"/>
        <v>11067.450844109037</v>
      </c>
      <c r="AB561">
        <f t="shared" si="89"/>
        <v>777</v>
      </c>
    </row>
    <row r="562" spans="1:28" x14ac:dyDescent="0.3">
      <c r="A562">
        <v>1561</v>
      </c>
      <c r="B562" t="s">
        <v>208</v>
      </c>
      <c r="C562" t="s">
        <v>62</v>
      </c>
      <c r="D562" t="s">
        <v>46</v>
      </c>
      <c r="E562" t="s">
        <v>151</v>
      </c>
      <c r="F562" t="s">
        <v>69</v>
      </c>
      <c r="G562">
        <v>5</v>
      </c>
      <c r="H562">
        <v>2000</v>
      </c>
      <c r="I562">
        <v>0</v>
      </c>
      <c r="J562">
        <v>177874</v>
      </c>
      <c r="K562">
        <v>12</v>
      </c>
      <c r="L562">
        <v>2</v>
      </c>
      <c r="M562" t="str">
        <f>VLOOKUP(Sales_Data!F562,Product_Master!$A$2:$D$11,2)</f>
        <v>Headset</v>
      </c>
      <c r="N562" t="str">
        <f>VLOOKUP(F562,Product_Master!$A$2:$C$11,3)</f>
        <v>Accessories</v>
      </c>
      <c r="O562">
        <f>VLOOKUP(F562,Product_Master!$A$2:$D$11,4,FALSE)</f>
        <v>1500</v>
      </c>
      <c r="P562">
        <f t="shared" si="80"/>
        <v>10000</v>
      </c>
      <c r="Q562">
        <f t="shared" si="81"/>
        <v>0</v>
      </c>
      <c r="R562">
        <f t="shared" si="82"/>
        <v>10000</v>
      </c>
      <c r="S562">
        <f t="shared" si="83"/>
        <v>2500</v>
      </c>
      <c r="T562" t="str">
        <f>_xlfn.CONCAT(Sales_Data!C562,"-",Sales_Data!E562,"-",Sales_Data!A562)</f>
        <v>East-C1001-1561</v>
      </c>
      <c r="U562" t="str">
        <f t="shared" si="84"/>
        <v>Regular</v>
      </c>
      <c r="V562" t="str" cm="1">
        <f t="array" ref="V562">_xlfn.IFS(R562&gt;=100000,"Excellent",R562&gt;=50000,"Good",R562&gt;=20000,"Average",TRUE,"Poor")</f>
        <v>Poor</v>
      </c>
      <c r="W562">
        <f t="shared" si="85"/>
        <v>2</v>
      </c>
      <c r="X562" t="str">
        <f t="shared" si="86"/>
        <v>June</v>
      </c>
      <c r="Y562">
        <f>HLOOKUP("Q"&amp;W562,Bonus_HLookup!$A$1:$E$2,2,FALSE)</f>
        <v>0.04</v>
      </c>
      <c r="Z562">
        <f t="shared" si="87"/>
        <v>42689.760000000002</v>
      </c>
      <c r="AA562" s="1">
        <f t="shared" si="88"/>
        <v>8373.1467982409868</v>
      </c>
      <c r="AB562">
        <f t="shared" si="89"/>
        <v>636</v>
      </c>
    </row>
    <row r="563" spans="1:28" x14ac:dyDescent="0.3">
      <c r="A563">
        <v>1562</v>
      </c>
      <c r="B563" t="s">
        <v>377</v>
      </c>
      <c r="C563" t="s">
        <v>13</v>
      </c>
      <c r="D563" t="s">
        <v>33</v>
      </c>
      <c r="E563" t="s">
        <v>27</v>
      </c>
      <c r="F563" t="s">
        <v>21</v>
      </c>
      <c r="G563">
        <v>7</v>
      </c>
      <c r="H563">
        <v>12000</v>
      </c>
      <c r="I563">
        <v>8</v>
      </c>
      <c r="J563">
        <v>343969</v>
      </c>
      <c r="K563">
        <v>10</v>
      </c>
      <c r="L563">
        <v>2</v>
      </c>
      <c r="M563" t="str">
        <f>VLOOKUP(Sales_Data!F563,Product_Master!$A$2:$D$11,2)</f>
        <v>Monitor</v>
      </c>
      <c r="N563" t="str">
        <f>VLOOKUP(F563,Product_Master!$A$2:$C$11,3)</f>
        <v>Electronics</v>
      </c>
      <c r="O563">
        <f>VLOOKUP(F563,Product_Master!$A$2:$D$11,4,FALSE)</f>
        <v>9000</v>
      </c>
      <c r="P563">
        <f t="shared" si="80"/>
        <v>84000</v>
      </c>
      <c r="Q563">
        <f t="shared" si="81"/>
        <v>6720</v>
      </c>
      <c r="R563">
        <f t="shared" si="82"/>
        <v>77280</v>
      </c>
      <c r="S563">
        <f t="shared" si="83"/>
        <v>14280</v>
      </c>
      <c r="T563" t="str">
        <f>_xlfn.CONCAT(Sales_Data!C563,"-",Sales_Data!E563,"-",Sales_Data!A563)</f>
        <v>West-C1007-1562</v>
      </c>
      <c r="U563" t="str">
        <f t="shared" si="84"/>
        <v>High Value</v>
      </c>
      <c r="V563" t="str" cm="1">
        <f t="array" ref="V563">_xlfn.IFS(R563&gt;=100000,"Excellent",R563&gt;=50000,"Good",R563&gt;=20000,"Average",TRUE,"Poor")</f>
        <v>Good</v>
      </c>
      <c r="W563">
        <f t="shared" si="85"/>
        <v>3</v>
      </c>
      <c r="X563" t="str">
        <f t="shared" si="86"/>
        <v>July</v>
      </c>
      <c r="Y563">
        <f>HLOOKUP("Q"&amp;W563,Bonus_HLookup!$A$1:$E$2,2,FALSE)</f>
        <v>0.06</v>
      </c>
      <c r="Z563">
        <f t="shared" si="87"/>
        <v>68793.8</v>
      </c>
      <c r="AA563" s="1">
        <f t="shared" si="88"/>
        <v>15872.424167389216</v>
      </c>
      <c r="AB563">
        <f t="shared" si="89"/>
        <v>199</v>
      </c>
    </row>
    <row r="564" spans="1:28" x14ac:dyDescent="0.3">
      <c r="A564">
        <v>1563</v>
      </c>
      <c r="B564" t="s">
        <v>173</v>
      </c>
      <c r="C564" t="s">
        <v>30</v>
      </c>
      <c r="D564" t="s">
        <v>23</v>
      </c>
      <c r="E564" t="s">
        <v>24</v>
      </c>
      <c r="F564" t="s">
        <v>25</v>
      </c>
      <c r="G564">
        <v>6</v>
      </c>
      <c r="H564">
        <v>1500</v>
      </c>
      <c r="I564">
        <v>15</v>
      </c>
      <c r="J564">
        <v>373854</v>
      </c>
      <c r="K564">
        <v>7</v>
      </c>
      <c r="L564">
        <v>1</v>
      </c>
      <c r="M564" t="str">
        <f>VLOOKUP(Sales_Data!F564,Product_Master!$A$2:$D$11,2)</f>
        <v>Keyboard</v>
      </c>
      <c r="N564" t="str">
        <f>VLOOKUP(F564,Product_Master!$A$2:$C$11,3)</f>
        <v>Accessories</v>
      </c>
      <c r="O564">
        <f>VLOOKUP(F564,Product_Master!$A$2:$D$11,4,FALSE)</f>
        <v>1200</v>
      </c>
      <c r="P564">
        <f t="shared" si="80"/>
        <v>9000</v>
      </c>
      <c r="Q564">
        <f t="shared" si="81"/>
        <v>1350</v>
      </c>
      <c r="R564">
        <f t="shared" si="82"/>
        <v>7650</v>
      </c>
      <c r="S564">
        <f t="shared" si="83"/>
        <v>450</v>
      </c>
      <c r="T564" t="str">
        <f>_xlfn.CONCAT(Sales_Data!C564,"-",Sales_Data!E564,"-",Sales_Data!A564)</f>
        <v>South-C1029-1563</v>
      </c>
      <c r="U564" t="str">
        <f t="shared" si="84"/>
        <v>Regular</v>
      </c>
      <c r="V564" t="str" cm="1">
        <f t="array" ref="V564">_xlfn.IFS(R564&gt;=100000,"Excellent",R564&gt;=50000,"Good",R564&gt;=20000,"Average",TRUE,"Poor")</f>
        <v>Poor</v>
      </c>
      <c r="W564">
        <f t="shared" si="85"/>
        <v>4</v>
      </c>
      <c r="X564" t="str">
        <f t="shared" si="86"/>
        <v>October</v>
      </c>
      <c r="Y564">
        <f>HLOOKUP("Q"&amp;W564,Bonus_HLookup!$A$1:$E$2,2,FALSE)</f>
        <v>0.08</v>
      </c>
      <c r="Z564">
        <f t="shared" si="87"/>
        <v>26169.78</v>
      </c>
      <c r="AA564" s="1">
        <f t="shared" si="88"/>
        <v>32348.370135773301</v>
      </c>
      <c r="AB564">
        <f t="shared" si="89"/>
        <v>700</v>
      </c>
    </row>
    <row r="565" spans="1:28" x14ac:dyDescent="0.3">
      <c r="A565">
        <v>1564</v>
      </c>
      <c r="B565" t="s">
        <v>238</v>
      </c>
      <c r="C565" t="s">
        <v>13</v>
      </c>
      <c r="D565" t="s">
        <v>59</v>
      </c>
      <c r="E565" t="s">
        <v>24</v>
      </c>
      <c r="F565" t="s">
        <v>52</v>
      </c>
      <c r="G565">
        <v>3</v>
      </c>
      <c r="H565">
        <v>500</v>
      </c>
      <c r="I565">
        <v>8</v>
      </c>
      <c r="J565">
        <v>430313</v>
      </c>
      <c r="K565">
        <v>10</v>
      </c>
      <c r="L565">
        <v>1</v>
      </c>
      <c r="M565" t="str">
        <f>VLOOKUP(Sales_Data!F565,Product_Master!$A$2:$D$11,2)</f>
        <v>Mouse</v>
      </c>
      <c r="N565" t="str">
        <f>VLOOKUP(F565,Product_Master!$A$2:$C$11,3)</f>
        <v>Accessories</v>
      </c>
      <c r="O565">
        <f>VLOOKUP(F565,Product_Master!$A$2:$D$11,4,FALSE)</f>
        <v>350</v>
      </c>
      <c r="P565">
        <f t="shared" si="80"/>
        <v>1500</v>
      </c>
      <c r="Q565">
        <f t="shared" si="81"/>
        <v>120</v>
      </c>
      <c r="R565">
        <f t="shared" si="82"/>
        <v>1380</v>
      </c>
      <c r="S565">
        <f t="shared" si="83"/>
        <v>330</v>
      </c>
      <c r="T565" t="str">
        <f>_xlfn.CONCAT(Sales_Data!C565,"-",Sales_Data!E565,"-",Sales_Data!A565)</f>
        <v>West-C1029-1564</v>
      </c>
      <c r="U565" t="str">
        <f t="shared" si="84"/>
        <v>Regular</v>
      </c>
      <c r="V565" t="str" cm="1">
        <f t="array" ref="V565">_xlfn.IFS(R565&gt;=100000,"Excellent",R565&gt;=50000,"Good",R565&gt;=20000,"Average",TRUE,"Poor")</f>
        <v>Poor</v>
      </c>
      <c r="W565">
        <f t="shared" si="85"/>
        <v>1</v>
      </c>
      <c r="X565" t="str">
        <f t="shared" si="86"/>
        <v>February</v>
      </c>
      <c r="Y565">
        <f>HLOOKUP("Q"&amp;W565,Bonus_HLookup!$A$1:$E$2,2,FALSE)</f>
        <v>0.02</v>
      </c>
      <c r="Z565">
        <f t="shared" si="87"/>
        <v>43031.3</v>
      </c>
      <c r="AA565" s="1">
        <f t="shared" si="88"/>
        <v>37831.349181607118</v>
      </c>
      <c r="AB565">
        <f t="shared" si="89"/>
        <v>954</v>
      </c>
    </row>
    <row r="566" spans="1:28" x14ac:dyDescent="0.3">
      <c r="A566">
        <v>1565</v>
      </c>
      <c r="B566" t="s">
        <v>92</v>
      </c>
      <c r="C566" t="s">
        <v>62</v>
      </c>
      <c r="D566" t="s">
        <v>23</v>
      </c>
      <c r="E566" t="s">
        <v>31</v>
      </c>
      <c r="F566" t="s">
        <v>25</v>
      </c>
      <c r="G566">
        <v>3</v>
      </c>
      <c r="H566">
        <v>1500</v>
      </c>
      <c r="I566">
        <v>5</v>
      </c>
      <c r="J566">
        <v>201405</v>
      </c>
      <c r="K566">
        <v>7</v>
      </c>
      <c r="L566">
        <v>3</v>
      </c>
      <c r="M566" t="str">
        <f>VLOOKUP(Sales_Data!F566,Product_Master!$A$2:$D$11,2)</f>
        <v>Keyboard</v>
      </c>
      <c r="N566" t="str">
        <f>VLOOKUP(F566,Product_Master!$A$2:$C$11,3)</f>
        <v>Accessories</v>
      </c>
      <c r="O566">
        <f>VLOOKUP(F566,Product_Master!$A$2:$D$11,4,FALSE)</f>
        <v>1200</v>
      </c>
      <c r="P566">
        <f t="shared" si="80"/>
        <v>4500</v>
      </c>
      <c r="Q566">
        <f t="shared" si="81"/>
        <v>225</v>
      </c>
      <c r="R566">
        <f t="shared" si="82"/>
        <v>4275</v>
      </c>
      <c r="S566">
        <f t="shared" si="83"/>
        <v>675</v>
      </c>
      <c r="T566" t="str">
        <f>_xlfn.CONCAT(Sales_Data!C566,"-",Sales_Data!E566,"-",Sales_Data!A566)</f>
        <v>East-C1025-1565</v>
      </c>
      <c r="U566" t="str">
        <f t="shared" si="84"/>
        <v>Regular</v>
      </c>
      <c r="V566" t="str" cm="1">
        <f t="array" ref="V566">_xlfn.IFS(R566&gt;=100000,"Excellent",R566&gt;=50000,"Good",R566&gt;=20000,"Average",TRUE,"Poor")</f>
        <v>Poor</v>
      </c>
      <c r="W566">
        <f t="shared" si="85"/>
        <v>2</v>
      </c>
      <c r="X566" t="str">
        <f t="shared" si="86"/>
        <v>May</v>
      </c>
      <c r="Y566">
        <f>HLOOKUP("Q"&amp;W566,Bonus_HLookup!$A$1:$E$2,2,FALSE)</f>
        <v>0.04</v>
      </c>
      <c r="Z566">
        <f t="shared" si="87"/>
        <v>42295.05</v>
      </c>
      <c r="AA566" s="1">
        <f t="shared" si="88"/>
        <v>6218.8016941702363</v>
      </c>
      <c r="AB566">
        <f t="shared" si="89"/>
        <v>819</v>
      </c>
    </row>
    <row r="567" spans="1:28" x14ac:dyDescent="0.3">
      <c r="A567">
        <v>1566</v>
      </c>
      <c r="B567" t="s">
        <v>72</v>
      </c>
      <c r="C567" t="s">
        <v>62</v>
      </c>
      <c r="D567" t="s">
        <v>33</v>
      </c>
      <c r="E567" t="s">
        <v>85</v>
      </c>
      <c r="F567" t="s">
        <v>36</v>
      </c>
      <c r="G567">
        <v>10</v>
      </c>
      <c r="H567">
        <v>55000</v>
      </c>
      <c r="I567">
        <v>0</v>
      </c>
      <c r="J567">
        <v>433669</v>
      </c>
      <c r="K567">
        <v>10</v>
      </c>
      <c r="L567">
        <v>4</v>
      </c>
      <c r="M567" t="str">
        <f>VLOOKUP(Sales_Data!F567,Product_Master!$A$2:$D$11,2)</f>
        <v>Laptop</v>
      </c>
      <c r="N567" t="str">
        <f>VLOOKUP(F567,Product_Master!$A$2:$C$11,3)</f>
        <v>Electronics</v>
      </c>
      <c r="O567">
        <f>VLOOKUP(F567,Product_Master!$A$2:$D$11,4,FALSE)</f>
        <v>45000</v>
      </c>
      <c r="P567">
        <f t="shared" si="80"/>
        <v>550000</v>
      </c>
      <c r="Q567">
        <f t="shared" si="81"/>
        <v>0</v>
      </c>
      <c r="R567">
        <f t="shared" si="82"/>
        <v>550000</v>
      </c>
      <c r="S567">
        <f t="shared" si="83"/>
        <v>100000</v>
      </c>
      <c r="T567" t="str">
        <f>_xlfn.CONCAT(Sales_Data!C567,"-",Sales_Data!E567,"-",Sales_Data!A567)</f>
        <v>East-C1005-1566</v>
      </c>
      <c r="U567" t="str">
        <f t="shared" si="84"/>
        <v>High Value</v>
      </c>
      <c r="V567" t="str" cm="1">
        <f t="array" ref="V567">_xlfn.IFS(R567&gt;=100000,"Excellent",R567&gt;=50000,"Good",R567&gt;=20000,"Average",TRUE,"Poor")</f>
        <v>Excellent</v>
      </c>
      <c r="W567">
        <f t="shared" si="85"/>
        <v>4</v>
      </c>
      <c r="X567" t="str">
        <f t="shared" si="86"/>
        <v>October</v>
      </c>
      <c r="Y567">
        <f>HLOOKUP("Q"&amp;W567,Bonus_HLookup!$A$1:$E$2,2,FALSE)</f>
        <v>0.08</v>
      </c>
      <c r="Z567">
        <f t="shared" si="87"/>
        <v>173467.6</v>
      </c>
      <c r="AA567" s="1">
        <f t="shared" si="88"/>
        <v>10998.966195563378</v>
      </c>
      <c r="AB567">
        <f t="shared" si="89"/>
        <v>1</v>
      </c>
    </row>
    <row r="568" spans="1:28" x14ac:dyDescent="0.3">
      <c r="A568">
        <v>1567</v>
      </c>
      <c r="B568" t="s">
        <v>290</v>
      </c>
      <c r="C568" t="s">
        <v>18</v>
      </c>
      <c r="D568" t="s">
        <v>59</v>
      </c>
      <c r="E568" t="s">
        <v>73</v>
      </c>
      <c r="F568" t="s">
        <v>39</v>
      </c>
      <c r="G568">
        <v>4</v>
      </c>
      <c r="H568">
        <v>7000</v>
      </c>
      <c r="I568">
        <v>12</v>
      </c>
      <c r="J568">
        <v>101989</v>
      </c>
      <c r="K568">
        <v>8</v>
      </c>
      <c r="L568">
        <v>5</v>
      </c>
      <c r="M568" t="str">
        <f>VLOOKUP(Sales_Data!F568,Product_Master!$A$2:$D$11,2)</f>
        <v>Router</v>
      </c>
      <c r="N568" t="str">
        <f>VLOOKUP(F568,Product_Master!$A$2:$C$11,3)</f>
        <v>Electronics</v>
      </c>
      <c r="O568">
        <f>VLOOKUP(F568,Product_Master!$A$2:$D$11,4,FALSE)</f>
        <v>5000</v>
      </c>
      <c r="P568">
        <f t="shared" si="80"/>
        <v>28000</v>
      </c>
      <c r="Q568">
        <f t="shared" si="81"/>
        <v>3360</v>
      </c>
      <c r="R568">
        <f t="shared" si="82"/>
        <v>24640</v>
      </c>
      <c r="S568">
        <f t="shared" si="83"/>
        <v>4640</v>
      </c>
      <c r="T568" t="str">
        <f>_xlfn.CONCAT(Sales_Data!C568,"-",Sales_Data!E568,"-",Sales_Data!A568)</f>
        <v>North-C1014-1567</v>
      </c>
      <c r="U568" t="str">
        <f t="shared" si="84"/>
        <v>Regular</v>
      </c>
      <c r="V568" t="str" cm="1">
        <f t="array" ref="V568">_xlfn.IFS(R568&gt;=100000,"Excellent",R568&gt;=50000,"Good",R568&gt;=20000,"Average",TRUE,"Poor")</f>
        <v>Average</v>
      </c>
      <c r="W568">
        <f t="shared" si="85"/>
        <v>4</v>
      </c>
      <c r="X568" t="str">
        <f t="shared" si="86"/>
        <v>December</v>
      </c>
      <c r="Y568">
        <f>HLOOKUP("Q"&amp;W568,Bonus_HLookup!$A$1:$E$2,2,FALSE)</f>
        <v>0.08</v>
      </c>
      <c r="Z568">
        <f t="shared" si="87"/>
        <v>40795.599999999999</v>
      </c>
      <c r="AA568" s="1">
        <f t="shared" si="88"/>
        <v>2067.9691770810227</v>
      </c>
      <c r="AB568">
        <f t="shared" si="89"/>
        <v>400</v>
      </c>
    </row>
    <row r="569" spans="1:28" x14ac:dyDescent="0.3">
      <c r="A569">
        <v>1568</v>
      </c>
      <c r="B569" t="s">
        <v>161</v>
      </c>
      <c r="C569" t="s">
        <v>30</v>
      </c>
      <c r="D569" t="s">
        <v>14</v>
      </c>
      <c r="E569" t="s">
        <v>57</v>
      </c>
      <c r="F569" t="s">
        <v>74</v>
      </c>
      <c r="G569">
        <v>3</v>
      </c>
      <c r="H569">
        <v>35000</v>
      </c>
      <c r="I569">
        <v>8</v>
      </c>
      <c r="J569">
        <v>142903</v>
      </c>
      <c r="K569">
        <v>12</v>
      </c>
      <c r="L569">
        <v>1</v>
      </c>
      <c r="M569" t="str">
        <f>VLOOKUP(Sales_Data!F569,Product_Master!$A$2:$D$11,2)</f>
        <v>Tablet</v>
      </c>
      <c r="N569" t="str">
        <f>VLOOKUP(F569,Product_Master!$A$2:$C$11,3)</f>
        <v>Electronics</v>
      </c>
      <c r="O569">
        <f>VLOOKUP(F569,Product_Master!$A$2:$D$11,4,FALSE)</f>
        <v>29000</v>
      </c>
      <c r="P569">
        <f t="shared" si="80"/>
        <v>105000</v>
      </c>
      <c r="Q569">
        <f t="shared" si="81"/>
        <v>8400</v>
      </c>
      <c r="R569">
        <f t="shared" si="82"/>
        <v>96600</v>
      </c>
      <c r="S569">
        <f t="shared" si="83"/>
        <v>9600</v>
      </c>
      <c r="T569" t="str">
        <f>_xlfn.CONCAT(Sales_Data!C569,"-",Sales_Data!E569,"-",Sales_Data!A569)</f>
        <v>South-C1012-1568</v>
      </c>
      <c r="U569" t="str">
        <f t="shared" si="84"/>
        <v>High Value</v>
      </c>
      <c r="V569" t="str" cm="1">
        <f t="array" ref="V569">_xlfn.IFS(R569&gt;=100000,"Excellent",R569&gt;=50000,"Good",R569&gt;=20000,"Average",TRUE,"Poor")</f>
        <v>Good</v>
      </c>
      <c r="W569">
        <f t="shared" si="85"/>
        <v>3</v>
      </c>
      <c r="X569" t="str">
        <f t="shared" si="86"/>
        <v>July</v>
      </c>
      <c r="Y569">
        <f>HLOOKUP("Q"&amp;W569,Bonus_HLookup!$A$1:$E$2,2,FALSE)</f>
        <v>0.06</v>
      </c>
      <c r="Z569">
        <f t="shared" si="87"/>
        <v>17148.36</v>
      </c>
      <c r="AA569" s="1">
        <f t="shared" si="88"/>
        <v>12696.758448501061</v>
      </c>
      <c r="AB569">
        <f t="shared" si="89"/>
        <v>171</v>
      </c>
    </row>
    <row r="570" spans="1:28" x14ac:dyDescent="0.3">
      <c r="A570">
        <v>1569</v>
      </c>
      <c r="B570" t="s">
        <v>307</v>
      </c>
      <c r="C570" t="s">
        <v>62</v>
      </c>
      <c r="D570" t="s">
        <v>19</v>
      </c>
      <c r="E570" t="s">
        <v>203</v>
      </c>
      <c r="F570" t="s">
        <v>39</v>
      </c>
      <c r="G570">
        <v>10</v>
      </c>
      <c r="H570">
        <v>7000</v>
      </c>
      <c r="I570">
        <v>12</v>
      </c>
      <c r="J570">
        <v>85126</v>
      </c>
      <c r="K570">
        <v>10</v>
      </c>
      <c r="L570">
        <v>4</v>
      </c>
      <c r="M570" t="str">
        <f>VLOOKUP(Sales_Data!F570,Product_Master!$A$2:$D$11,2)</f>
        <v>Router</v>
      </c>
      <c r="N570" t="str">
        <f>VLOOKUP(F570,Product_Master!$A$2:$C$11,3)</f>
        <v>Electronics</v>
      </c>
      <c r="O570">
        <f>VLOOKUP(F570,Product_Master!$A$2:$D$11,4,FALSE)</f>
        <v>5000</v>
      </c>
      <c r="P570">
        <f t="shared" si="80"/>
        <v>70000</v>
      </c>
      <c r="Q570">
        <f t="shared" si="81"/>
        <v>8400</v>
      </c>
      <c r="R570">
        <f t="shared" si="82"/>
        <v>61600</v>
      </c>
      <c r="S570">
        <f t="shared" si="83"/>
        <v>11600</v>
      </c>
      <c r="T570" t="str">
        <f>_xlfn.CONCAT(Sales_Data!C570,"-",Sales_Data!E570,"-",Sales_Data!A570)</f>
        <v>East-C1037-1569</v>
      </c>
      <c r="U570" t="str">
        <f t="shared" si="84"/>
        <v>High Value</v>
      </c>
      <c r="V570" t="str" cm="1">
        <f t="array" ref="V570">_xlfn.IFS(R570&gt;=100000,"Excellent",R570&gt;=50000,"Good",R570&gt;=20000,"Average",TRUE,"Poor")</f>
        <v>Good</v>
      </c>
      <c r="W570">
        <f t="shared" si="85"/>
        <v>2</v>
      </c>
      <c r="X570" t="str">
        <f t="shared" si="86"/>
        <v>April</v>
      </c>
      <c r="Y570">
        <f>HLOOKUP("Q"&amp;W570,Bonus_HLookup!$A$1:$E$2,2,FALSE)</f>
        <v>0.04</v>
      </c>
      <c r="Z570">
        <f t="shared" si="87"/>
        <v>34050.400000000001</v>
      </c>
      <c r="AA570" s="1">
        <f t="shared" si="88"/>
        <v>2159.0152774662893</v>
      </c>
      <c r="AB570">
        <f t="shared" si="89"/>
        <v>250</v>
      </c>
    </row>
    <row r="571" spans="1:28" x14ac:dyDescent="0.3">
      <c r="A571">
        <v>1570</v>
      </c>
      <c r="B571" t="s">
        <v>124</v>
      </c>
      <c r="C571" t="s">
        <v>13</v>
      </c>
      <c r="D571" t="s">
        <v>46</v>
      </c>
      <c r="E571" t="s">
        <v>131</v>
      </c>
      <c r="F571" t="s">
        <v>21</v>
      </c>
      <c r="G571">
        <v>1</v>
      </c>
      <c r="H571">
        <v>12000</v>
      </c>
      <c r="I571">
        <v>5</v>
      </c>
      <c r="J571">
        <v>239528</v>
      </c>
      <c r="K571">
        <v>12</v>
      </c>
      <c r="L571">
        <v>3</v>
      </c>
      <c r="M571" t="str">
        <f>VLOOKUP(Sales_Data!F571,Product_Master!$A$2:$D$11,2)</f>
        <v>Monitor</v>
      </c>
      <c r="N571" t="str">
        <f>VLOOKUP(F571,Product_Master!$A$2:$C$11,3)</f>
        <v>Electronics</v>
      </c>
      <c r="O571">
        <f>VLOOKUP(F571,Product_Master!$A$2:$D$11,4,FALSE)</f>
        <v>9000</v>
      </c>
      <c r="P571">
        <f t="shared" si="80"/>
        <v>12000</v>
      </c>
      <c r="Q571">
        <f t="shared" si="81"/>
        <v>600</v>
      </c>
      <c r="R571">
        <f t="shared" si="82"/>
        <v>11400</v>
      </c>
      <c r="S571">
        <f t="shared" si="83"/>
        <v>2400</v>
      </c>
      <c r="T571" t="str">
        <f>_xlfn.CONCAT(Sales_Data!C571,"-",Sales_Data!E571,"-",Sales_Data!A571)</f>
        <v>West-C1047-1570</v>
      </c>
      <c r="U571" t="str">
        <f t="shared" si="84"/>
        <v>Regular</v>
      </c>
      <c r="V571" t="str" cm="1">
        <f t="array" ref="V571">_xlfn.IFS(R571&gt;=100000,"Excellent",R571&gt;=50000,"Good",R571&gt;=20000,"Average",TRUE,"Poor")</f>
        <v>Poor</v>
      </c>
      <c r="W571">
        <f t="shared" si="85"/>
        <v>4</v>
      </c>
      <c r="X571" t="str">
        <f t="shared" si="86"/>
        <v>October</v>
      </c>
      <c r="Y571">
        <f>HLOOKUP("Q"&amp;W571,Bonus_HLookup!$A$1:$E$2,2,FALSE)</f>
        <v>0.08</v>
      </c>
      <c r="Z571">
        <f t="shared" si="87"/>
        <v>86230.080000000002</v>
      </c>
      <c r="AA571" s="1">
        <f t="shared" si="88"/>
        <v>7955.7572008526195</v>
      </c>
      <c r="AB571">
        <f t="shared" si="89"/>
        <v>607</v>
      </c>
    </row>
    <row r="572" spans="1:28" x14ac:dyDescent="0.3">
      <c r="A572">
        <v>1571</v>
      </c>
      <c r="B572" t="s">
        <v>179</v>
      </c>
      <c r="C572" t="s">
        <v>30</v>
      </c>
      <c r="D572" t="s">
        <v>23</v>
      </c>
      <c r="E572" t="s">
        <v>20</v>
      </c>
      <c r="F572" t="s">
        <v>28</v>
      </c>
      <c r="G572">
        <v>5</v>
      </c>
      <c r="H572">
        <v>950</v>
      </c>
      <c r="I572">
        <v>0</v>
      </c>
      <c r="J572">
        <v>349146</v>
      </c>
      <c r="K572">
        <v>8</v>
      </c>
      <c r="L572">
        <v>2</v>
      </c>
      <c r="M572" t="str">
        <f>VLOOKUP(Sales_Data!F572,Product_Master!$A$2:$D$11,2)</f>
        <v>Webcam</v>
      </c>
      <c r="N572" t="str">
        <f>VLOOKUP(F572,Product_Master!$A$2:$C$11,3)</f>
        <v>Accessories</v>
      </c>
      <c r="O572">
        <f>VLOOKUP(F572,Product_Master!$A$2:$D$11,4,FALSE)</f>
        <v>700</v>
      </c>
      <c r="P572">
        <f t="shared" si="80"/>
        <v>4750</v>
      </c>
      <c r="Q572">
        <f t="shared" si="81"/>
        <v>0</v>
      </c>
      <c r="R572">
        <f t="shared" si="82"/>
        <v>4750</v>
      </c>
      <c r="S572">
        <f t="shared" si="83"/>
        <v>1250</v>
      </c>
      <c r="T572" t="str">
        <f>_xlfn.CONCAT(Sales_Data!C572,"-",Sales_Data!E572,"-",Sales_Data!A572)</f>
        <v>South-C1003-1571</v>
      </c>
      <c r="U572" t="str">
        <f t="shared" si="84"/>
        <v>Regular</v>
      </c>
      <c r="V572" t="str" cm="1">
        <f t="array" ref="V572">_xlfn.IFS(R572&gt;=100000,"Excellent",R572&gt;=50000,"Good",R572&gt;=20000,"Average",TRUE,"Poor")</f>
        <v>Poor</v>
      </c>
      <c r="W572">
        <f t="shared" si="85"/>
        <v>3</v>
      </c>
      <c r="X572" t="str">
        <f t="shared" si="86"/>
        <v>August</v>
      </c>
      <c r="Y572">
        <f>HLOOKUP("Q"&amp;W572,Bonus_HLookup!$A$1:$E$2,2,FALSE)</f>
        <v>0.06</v>
      </c>
      <c r="Z572">
        <f t="shared" si="87"/>
        <v>55863.360000000001</v>
      </c>
      <c r="AA572" s="1">
        <f t="shared" si="88"/>
        <v>15790.927902760874</v>
      </c>
      <c r="AB572">
        <f t="shared" si="89"/>
        <v>797</v>
      </c>
    </row>
    <row r="573" spans="1:28" x14ac:dyDescent="0.3">
      <c r="A573">
        <v>1572</v>
      </c>
      <c r="B573" t="s">
        <v>367</v>
      </c>
      <c r="C573" t="s">
        <v>30</v>
      </c>
      <c r="D573" t="s">
        <v>59</v>
      </c>
      <c r="E573" t="s">
        <v>27</v>
      </c>
      <c r="F573" t="s">
        <v>74</v>
      </c>
      <c r="G573">
        <v>9</v>
      </c>
      <c r="H573">
        <v>35000</v>
      </c>
      <c r="I573">
        <v>0</v>
      </c>
      <c r="J573">
        <v>441925</v>
      </c>
      <c r="K573">
        <v>11</v>
      </c>
      <c r="L573">
        <v>4</v>
      </c>
      <c r="M573" t="str">
        <f>VLOOKUP(Sales_Data!F573,Product_Master!$A$2:$D$11,2)</f>
        <v>Tablet</v>
      </c>
      <c r="N573" t="str">
        <f>VLOOKUP(F573,Product_Master!$A$2:$C$11,3)</f>
        <v>Electronics</v>
      </c>
      <c r="O573">
        <f>VLOOKUP(F573,Product_Master!$A$2:$D$11,4,FALSE)</f>
        <v>29000</v>
      </c>
      <c r="P573">
        <f t="shared" si="80"/>
        <v>315000</v>
      </c>
      <c r="Q573">
        <f t="shared" si="81"/>
        <v>0</v>
      </c>
      <c r="R573">
        <f t="shared" si="82"/>
        <v>315000</v>
      </c>
      <c r="S573">
        <f t="shared" si="83"/>
        <v>54000</v>
      </c>
      <c r="T573" t="str">
        <f>_xlfn.CONCAT(Sales_Data!C573,"-",Sales_Data!E573,"-",Sales_Data!A573)</f>
        <v>South-C1007-1572</v>
      </c>
      <c r="U573" t="str">
        <f t="shared" si="84"/>
        <v>High Value</v>
      </c>
      <c r="V573" t="str" cm="1">
        <f t="array" ref="V573">_xlfn.IFS(R573&gt;=100000,"Excellent",R573&gt;=50000,"Good",R573&gt;=20000,"Average",TRUE,"Poor")</f>
        <v>Excellent</v>
      </c>
      <c r="W573">
        <f t="shared" si="85"/>
        <v>1</v>
      </c>
      <c r="X573" t="str">
        <f t="shared" si="86"/>
        <v>February</v>
      </c>
      <c r="Y573">
        <f>HLOOKUP("Q"&amp;W573,Bonus_HLookup!$A$1:$E$2,2,FALSE)</f>
        <v>0.02</v>
      </c>
      <c r="Z573">
        <f t="shared" si="87"/>
        <v>194447</v>
      </c>
      <c r="AA573" s="1">
        <f t="shared" si="88"/>
        <v>11421.782580066285</v>
      </c>
      <c r="AB573">
        <f t="shared" si="89"/>
        <v>45</v>
      </c>
    </row>
    <row r="574" spans="1:28" x14ac:dyDescent="0.3">
      <c r="A574">
        <v>1573</v>
      </c>
      <c r="B574" t="s">
        <v>244</v>
      </c>
      <c r="C574" t="s">
        <v>13</v>
      </c>
      <c r="D574" t="s">
        <v>50</v>
      </c>
      <c r="E574" t="s">
        <v>63</v>
      </c>
      <c r="F574" t="s">
        <v>74</v>
      </c>
      <c r="G574">
        <v>2</v>
      </c>
      <c r="H574">
        <v>35000</v>
      </c>
      <c r="I574">
        <v>8</v>
      </c>
      <c r="J574">
        <v>227532</v>
      </c>
      <c r="K574">
        <v>9</v>
      </c>
      <c r="L574">
        <v>4</v>
      </c>
      <c r="M574" t="str">
        <f>VLOOKUP(Sales_Data!F574,Product_Master!$A$2:$D$11,2)</f>
        <v>Tablet</v>
      </c>
      <c r="N574" t="str">
        <f>VLOOKUP(F574,Product_Master!$A$2:$C$11,3)</f>
        <v>Electronics</v>
      </c>
      <c r="O574">
        <f>VLOOKUP(F574,Product_Master!$A$2:$D$11,4,FALSE)</f>
        <v>29000</v>
      </c>
      <c r="P574">
        <f t="shared" si="80"/>
        <v>70000</v>
      </c>
      <c r="Q574">
        <f t="shared" si="81"/>
        <v>5600</v>
      </c>
      <c r="R574">
        <f t="shared" si="82"/>
        <v>64400</v>
      </c>
      <c r="S574">
        <f t="shared" si="83"/>
        <v>6400</v>
      </c>
      <c r="T574" t="str">
        <f>_xlfn.CONCAT(Sales_Data!C574,"-",Sales_Data!E574,"-",Sales_Data!A574)</f>
        <v>West-C1035-1573</v>
      </c>
      <c r="U574" t="str">
        <f t="shared" si="84"/>
        <v>High Value</v>
      </c>
      <c r="V574" t="str" cm="1">
        <f t="array" ref="V574">_xlfn.IFS(R574&gt;=100000,"Excellent",R574&gt;=50000,"Good",R574&gt;=20000,"Average",TRUE,"Poor")</f>
        <v>Good</v>
      </c>
      <c r="W574">
        <f t="shared" si="85"/>
        <v>1</v>
      </c>
      <c r="X574" t="str">
        <f t="shared" si="86"/>
        <v>March</v>
      </c>
      <c r="Y574">
        <f>HLOOKUP("Q"&amp;W574,Bonus_HLookup!$A$1:$E$2,2,FALSE)</f>
        <v>0.02</v>
      </c>
      <c r="Z574">
        <f t="shared" si="87"/>
        <v>81911.520000000004</v>
      </c>
      <c r="AA574" s="1">
        <f t="shared" si="88"/>
        <v>5662.1434614259988</v>
      </c>
      <c r="AB574">
        <f t="shared" si="89"/>
        <v>234</v>
      </c>
    </row>
    <row r="575" spans="1:28" x14ac:dyDescent="0.3">
      <c r="A575">
        <v>1574</v>
      </c>
      <c r="B575" t="s">
        <v>150</v>
      </c>
      <c r="C575" t="s">
        <v>18</v>
      </c>
      <c r="D575" t="s">
        <v>19</v>
      </c>
      <c r="E575" t="s">
        <v>122</v>
      </c>
      <c r="F575" t="s">
        <v>21</v>
      </c>
      <c r="G575">
        <v>8</v>
      </c>
      <c r="H575">
        <v>12000</v>
      </c>
      <c r="I575">
        <v>2</v>
      </c>
      <c r="J575">
        <v>368246</v>
      </c>
      <c r="K575">
        <v>12</v>
      </c>
      <c r="L575">
        <v>1</v>
      </c>
      <c r="M575" t="str">
        <f>VLOOKUP(Sales_Data!F575,Product_Master!$A$2:$D$11,2)</f>
        <v>Monitor</v>
      </c>
      <c r="N575" t="str">
        <f>VLOOKUP(F575,Product_Master!$A$2:$C$11,3)</f>
        <v>Electronics</v>
      </c>
      <c r="O575">
        <f>VLOOKUP(F575,Product_Master!$A$2:$D$11,4,FALSE)</f>
        <v>9000</v>
      </c>
      <c r="P575">
        <f t="shared" si="80"/>
        <v>96000</v>
      </c>
      <c r="Q575">
        <f t="shared" si="81"/>
        <v>1920</v>
      </c>
      <c r="R575">
        <f t="shared" si="82"/>
        <v>94080</v>
      </c>
      <c r="S575">
        <f t="shared" si="83"/>
        <v>22080</v>
      </c>
      <c r="T575" t="str">
        <f>_xlfn.CONCAT(Sales_Data!C575,"-",Sales_Data!E575,"-",Sales_Data!A575)</f>
        <v>North-C1046-1574</v>
      </c>
      <c r="U575" t="str">
        <f t="shared" si="84"/>
        <v>High Value</v>
      </c>
      <c r="V575" t="str" cm="1">
        <f t="array" ref="V575">_xlfn.IFS(R575&gt;=100000,"Excellent",R575&gt;=50000,"Good",R575&gt;=20000,"Average",TRUE,"Poor")</f>
        <v>Good</v>
      </c>
      <c r="W575">
        <f t="shared" si="85"/>
        <v>3</v>
      </c>
      <c r="X575" t="str">
        <f t="shared" si="86"/>
        <v>July</v>
      </c>
      <c r="Y575">
        <f>HLOOKUP("Q"&amp;W575,Bonus_HLookup!$A$1:$E$2,2,FALSE)</f>
        <v>0.06</v>
      </c>
      <c r="Z575">
        <f t="shared" si="87"/>
        <v>44189.52</v>
      </c>
      <c r="AA575" s="1">
        <f t="shared" si="88"/>
        <v>32718.211035644614</v>
      </c>
      <c r="AB575">
        <f t="shared" si="89"/>
        <v>176</v>
      </c>
    </row>
    <row r="576" spans="1:28" x14ac:dyDescent="0.3">
      <c r="A576">
        <v>1575</v>
      </c>
      <c r="B576" t="s">
        <v>100</v>
      </c>
      <c r="C576" t="s">
        <v>62</v>
      </c>
      <c r="D576" t="s">
        <v>59</v>
      </c>
      <c r="E576" t="s">
        <v>160</v>
      </c>
      <c r="F576" t="s">
        <v>21</v>
      </c>
      <c r="G576">
        <v>5</v>
      </c>
      <c r="H576">
        <v>12000</v>
      </c>
      <c r="I576">
        <v>5</v>
      </c>
      <c r="J576">
        <v>106627</v>
      </c>
      <c r="K576">
        <v>7</v>
      </c>
      <c r="L576">
        <v>4</v>
      </c>
      <c r="M576" t="str">
        <f>VLOOKUP(Sales_Data!F576,Product_Master!$A$2:$D$11,2)</f>
        <v>Monitor</v>
      </c>
      <c r="N576" t="str">
        <f>VLOOKUP(F576,Product_Master!$A$2:$C$11,3)</f>
        <v>Electronics</v>
      </c>
      <c r="O576">
        <f>VLOOKUP(F576,Product_Master!$A$2:$D$11,4,FALSE)</f>
        <v>9000</v>
      </c>
      <c r="P576">
        <f t="shared" si="80"/>
        <v>60000</v>
      </c>
      <c r="Q576">
        <f t="shared" si="81"/>
        <v>3000</v>
      </c>
      <c r="R576">
        <f t="shared" si="82"/>
        <v>57000</v>
      </c>
      <c r="S576">
        <f t="shared" si="83"/>
        <v>12000</v>
      </c>
      <c r="T576" t="str">
        <f>_xlfn.CONCAT(Sales_Data!C576,"-",Sales_Data!E576,"-",Sales_Data!A576)</f>
        <v>East-C1040-1575</v>
      </c>
      <c r="U576" t="str">
        <f t="shared" si="84"/>
        <v>High Value</v>
      </c>
      <c r="V576" t="str" cm="1">
        <f t="array" ref="V576">_xlfn.IFS(R576&gt;=100000,"Excellent",R576&gt;=50000,"Good",R576&gt;=20000,"Average",TRUE,"Poor")</f>
        <v>Good</v>
      </c>
      <c r="W576">
        <f t="shared" si="85"/>
        <v>2</v>
      </c>
      <c r="X576" t="str">
        <f t="shared" si="86"/>
        <v>April</v>
      </c>
      <c r="Y576">
        <f>HLOOKUP("Q"&amp;W576,Bonus_HLookup!$A$1:$E$2,2,FALSE)</f>
        <v>0.04</v>
      </c>
      <c r="Z576">
        <f t="shared" si="87"/>
        <v>29855.56</v>
      </c>
      <c r="AA576" s="1">
        <f t="shared" si="88"/>
        <v>2553.3162296222999</v>
      </c>
      <c r="AB576">
        <f t="shared" si="89"/>
        <v>261</v>
      </c>
    </row>
    <row r="577" spans="1:28" x14ac:dyDescent="0.3">
      <c r="A577">
        <v>1576</v>
      </c>
      <c r="B577" t="s">
        <v>249</v>
      </c>
      <c r="C577" t="s">
        <v>62</v>
      </c>
      <c r="D577" t="s">
        <v>46</v>
      </c>
      <c r="E577" t="s">
        <v>85</v>
      </c>
      <c r="F577" t="s">
        <v>21</v>
      </c>
      <c r="G577">
        <v>5</v>
      </c>
      <c r="H577">
        <v>12000</v>
      </c>
      <c r="I577">
        <v>8</v>
      </c>
      <c r="J577">
        <v>436129</v>
      </c>
      <c r="K577">
        <v>7</v>
      </c>
      <c r="L577">
        <v>2</v>
      </c>
      <c r="M577" t="str">
        <f>VLOOKUP(Sales_Data!F577,Product_Master!$A$2:$D$11,2)</f>
        <v>Monitor</v>
      </c>
      <c r="N577" t="str">
        <f>VLOOKUP(F577,Product_Master!$A$2:$C$11,3)</f>
        <v>Electronics</v>
      </c>
      <c r="O577">
        <f>VLOOKUP(F577,Product_Master!$A$2:$D$11,4,FALSE)</f>
        <v>9000</v>
      </c>
      <c r="P577">
        <f t="shared" si="80"/>
        <v>60000</v>
      </c>
      <c r="Q577">
        <f t="shared" si="81"/>
        <v>4800</v>
      </c>
      <c r="R577">
        <f t="shared" si="82"/>
        <v>55200</v>
      </c>
      <c r="S577">
        <f t="shared" si="83"/>
        <v>10200</v>
      </c>
      <c r="T577" t="str">
        <f>_xlfn.CONCAT(Sales_Data!C577,"-",Sales_Data!E577,"-",Sales_Data!A577)</f>
        <v>East-C1005-1576</v>
      </c>
      <c r="U577" t="str">
        <f t="shared" si="84"/>
        <v>High Value</v>
      </c>
      <c r="V577" t="str" cm="1">
        <f t="array" ref="V577">_xlfn.IFS(R577&gt;=100000,"Excellent",R577&gt;=50000,"Good",R577&gt;=20000,"Average",TRUE,"Poor")</f>
        <v>Good</v>
      </c>
      <c r="W577">
        <f t="shared" si="85"/>
        <v>4</v>
      </c>
      <c r="X577" t="str">
        <f t="shared" si="86"/>
        <v>December</v>
      </c>
      <c r="Y577">
        <f>HLOOKUP("Q"&amp;W577,Bonus_HLookup!$A$1:$E$2,2,FALSE)</f>
        <v>0.08</v>
      </c>
      <c r="Z577">
        <f t="shared" si="87"/>
        <v>61058.06</v>
      </c>
      <c r="AA577" s="1">
        <f t="shared" si="88"/>
        <v>19526.620151675706</v>
      </c>
      <c r="AB577">
        <f t="shared" si="89"/>
        <v>268</v>
      </c>
    </row>
    <row r="578" spans="1:28" x14ac:dyDescent="0.3">
      <c r="A578">
        <v>1577</v>
      </c>
      <c r="B578" t="s">
        <v>53</v>
      </c>
      <c r="C578" t="s">
        <v>62</v>
      </c>
      <c r="D578" t="s">
        <v>33</v>
      </c>
      <c r="E578" t="s">
        <v>189</v>
      </c>
      <c r="F578" t="s">
        <v>25</v>
      </c>
      <c r="G578">
        <v>4</v>
      </c>
      <c r="H578">
        <v>1500</v>
      </c>
      <c r="I578">
        <v>10</v>
      </c>
      <c r="J578">
        <v>412872</v>
      </c>
      <c r="K578">
        <v>7</v>
      </c>
      <c r="L578">
        <v>1</v>
      </c>
      <c r="M578" t="str">
        <f>VLOOKUP(Sales_Data!F578,Product_Master!$A$2:$D$11,2)</f>
        <v>Keyboard</v>
      </c>
      <c r="N578" t="str">
        <f>VLOOKUP(F578,Product_Master!$A$2:$C$11,3)</f>
        <v>Accessories</v>
      </c>
      <c r="O578">
        <f>VLOOKUP(F578,Product_Master!$A$2:$D$11,4,FALSE)</f>
        <v>1200</v>
      </c>
      <c r="P578">
        <f t="shared" si="80"/>
        <v>6000</v>
      </c>
      <c r="Q578">
        <f t="shared" si="81"/>
        <v>600</v>
      </c>
      <c r="R578">
        <f t="shared" si="82"/>
        <v>5400</v>
      </c>
      <c r="S578">
        <f t="shared" si="83"/>
        <v>600</v>
      </c>
      <c r="T578" t="str">
        <f>_xlfn.CONCAT(Sales_Data!C578,"-",Sales_Data!E578,"-",Sales_Data!A578)</f>
        <v>East-C1015-1577</v>
      </c>
      <c r="U578" t="str">
        <f t="shared" si="84"/>
        <v>Regular</v>
      </c>
      <c r="V578" t="str" cm="1">
        <f t="array" ref="V578">_xlfn.IFS(R578&gt;=100000,"Excellent",R578&gt;=50000,"Good",R578&gt;=20000,"Average",TRUE,"Poor")</f>
        <v>Poor</v>
      </c>
      <c r="W578">
        <f t="shared" si="85"/>
        <v>3</v>
      </c>
      <c r="X578" t="str">
        <f t="shared" si="86"/>
        <v>July</v>
      </c>
      <c r="Y578">
        <f>HLOOKUP("Q"&amp;W578,Bonus_HLookup!$A$1:$E$2,2,FALSE)</f>
        <v>0.06</v>
      </c>
      <c r="Z578">
        <f t="shared" si="87"/>
        <v>28901.040000000001</v>
      </c>
      <c r="AA578" s="1">
        <f t="shared" si="88"/>
        <v>35724.47071503046</v>
      </c>
      <c r="AB578">
        <f t="shared" si="89"/>
        <v>777</v>
      </c>
    </row>
    <row r="579" spans="1:28" x14ac:dyDescent="0.3">
      <c r="A579">
        <v>1578</v>
      </c>
      <c r="B579" t="s">
        <v>378</v>
      </c>
      <c r="C579" t="s">
        <v>30</v>
      </c>
      <c r="D579" t="s">
        <v>91</v>
      </c>
      <c r="E579" t="s">
        <v>131</v>
      </c>
      <c r="F579" t="s">
        <v>25</v>
      </c>
      <c r="G579">
        <v>6</v>
      </c>
      <c r="H579">
        <v>1500</v>
      </c>
      <c r="I579">
        <v>10</v>
      </c>
      <c r="J579">
        <v>223866</v>
      </c>
      <c r="K579">
        <v>11</v>
      </c>
      <c r="L579">
        <v>3</v>
      </c>
      <c r="M579" t="str">
        <f>VLOOKUP(Sales_Data!F579,Product_Master!$A$2:$D$11,2)</f>
        <v>Keyboard</v>
      </c>
      <c r="N579" t="str">
        <f>VLOOKUP(F579,Product_Master!$A$2:$C$11,3)</f>
        <v>Accessories</v>
      </c>
      <c r="O579">
        <f>VLOOKUP(F579,Product_Master!$A$2:$D$11,4,FALSE)</f>
        <v>1200</v>
      </c>
      <c r="P579">
        <f t="shared" ref="P579:P642" si="90">H579*G579</f>
        <v>9000</v>
      </c>
      <c r="Q579">
        <f t="shared" ref="Q579:Q642" si="91">P579*(I579/100)</f>
        <v>900</v>
      </c>
      <c r="R579">
        <f t="shared" ref="R579:R642" si="92">P579-Q579</f>
        <v>8100</v>
      </c>
      <c r="S579">
        <f t="shared" ref="S579:S642" si="93">R579-(G579*O579)</f>
        <v>900</v>
      </c>
      <c r="T579" t="str">
        <f>_xlfn.CONCAT(Sales_Data!C579,"-",Sales_Data!E579,"-",Sales_Data!A579)</f>
        <v>South-C1047-1578</v>
      </c>
      <c r="U579" t="str">
        <f t="shared" ref="U579:U642" si="94">IF(R579&gt;=50000,"High Value","Regular")</f>
        <v>Regular</v>
      </c>
      <c r="V579" t="str" cm="1">
        <f t="array" ref="V579">_xlfn.IFS(R579&gt;=100000,"Excellent",R579&gt;=50000,"Good",R579&gt;=20000,"Average",TRUE,"Poor")</f>
        <v>Poor</v>
      </c>
      <c r="W579">
        <f t="shared" ref="W579:W642" si="95">ROUNDUP(MONTH(B579)/3,0)</f>
        <v>3</v>
      </c>
      <c r="X579" t="str">
        <f t="shared" ref="X579:X642" si="96">TEXT(B579,"mmmm")</f>
        <v>September</v>
      </c>
      <c r="Y579">
        <f>HLOOKUP("Q"&amp;W579,Bonus_HLookup!$A$1:$E$2,2,FALSE)</f>
        <v>0.06</v>
      </c>
      <c r="Z579">
        <f t="shared" ref="Z579:Z642" si="97">(J579*K579*L579)/100</f>
        <v>73875.78</v>
      </c>
      <c r="AA579" s="1">
        <f t="shared" ref="AA579:AA642" si="98">PMT(K579/1200,L579*12,-J579)</f>
        <v>7329.0856461147796</v>
      </c>
      <c r="AB579">
        <f t="shared" ref="AB579:AB642" si="99">RANK(R579,$R$2:$R$1001)</f>
        <v>682</v>
      </c>
    </row>
    <row r="580" spans="1:28" x14ac:dyDescent="0.3">
      <c r="A580">
        <v>1579</v>
      </c>
      <c r="B580" t="s">
        <v>22</v>
      </c>
      <c r="C580" t="s">
        <v>18</v>
      </c>
      <c r="D580" t="s">
        <v>59</v>
      </c>
      <c r="E580" t="s">
        <v>63</v>
      </c>
      <c r="F580" t="s">
        <v>39</v>
      </c>
      <c r="G580">
        <v>2</v>
      </c>
      <c r="H580">
        <v>7000</v>
      </c>
      <c r="I580">
        <v>10</v>
      </c>
      <c r="J580">
        <v>64250</v>
      </c>
      <c r="K580">
        <v>9</v>
      </c>
      <c r="L580">
        <v>5</v>
      </c>
      <c r="M580" t="str">
        <f>VLOOKUP(Sales_Data!F580,Product_Master!$A$2:$D$11,2)</f>
        <v>Router</v>
      </c>
      <c r="N580" t="str">
        <f>VLOOKUP(F580,Product_Master!$A$2:$C$11,3)</f>
        <v>Electronics</v>
      </c>
      <c r="O580">
        <f>VLOOKUP(F580,Product_Master!$A$2:$D$11,4,FALSE)</f>
        <v>5000</v>
      </c>
      <c r="P580">
        <f t="shared" si="90"/>
        <v>14000</v>
      </c>
      <c r="Q580">
        <f t="shared" si="91"/>
        <v>1400</v>
      </c>
      <c r="R580">
        <f t="shared" si="92"/>
        <v>12600</v>
      </c>
      <c r="S580">
        <f t="shared" si="93"/>
        <v>2600</v>
      </c>
      <c r="T580" t="str">
        <f>_xlfn.CONCAT(Sales_Data!C580,"-",Sales_Data!E580,"-",Sales_Data!A580)</f>
        <v>North-C1035-1579</v>
      </c>
      <c r="U580" t="str">
        <f t="shared" si="94"/>
        <v>Regular</v>
      </c>
      <c r="V580" t="str" cm="1">
        <f t="array" ref="V580">_xlfn.IFS(R580&gt;=100000,"Excellent",R580&gt;=50000,"Good",R580&gt;=20000,"Average",TRUE,"Poor")</f>
        <v>Poor</v>
      </c>
      <c r="W580">
        <f t="shared" si="95"/>
        <v>1</v>
      </c>
      <c r="X580" t="str">
        <f t="shared" si="96"/>
        <v>January</v>
      </c>
      <c r="Y580">
        <f>HLOOKUP("Q"&amp;W580,Bonus_HLookup!$A$1:$E$2,2,FALSE)</f>
        <v>0.02</v>
      </c>
      <c r="Z580">
        <f t="shared" si="97"/>
        <v>28912.5</v>
      </c>
      <c r="AA580" s="1">
        <f t="shared" si="98"/>
        <v>1333.7243232932449</v>
      </c>
      <c r="AB580">
        <f t="shared" si="99"/>
        <v>575</v>
      </c>
    </row>
    <row r="581" spans="1:28" x14ac:dyDescent="0.3">
      <c r="A581">
        <v>1580</v>
      </c>
      <c r="B581" t="s">
        <v>326</v>
      </c>
      <c r="C581" t="s">
        <v>13</v>
      </c>
      <c r="D581" t="s">
        <v>50</v>
      </c>
      <c r="E581" t="s">
        <v>68</v>
      </c>
      <c r="F581" t="s">
        <v>16</v>
      </c>
      <c r="G581">
        <v>4</v>
      </c>
      <c r="H581">
        <v>2500</v>
      </c>
      <c r="I581">
        <v>8</v>
      </c>
      <c r="J581">
        <v>256760</v>
      </c>
      <c r="K581">
        <v>7</v>
      </c>
      <c r="L581">
        <v>2</v>
      </c>
      <c r="M581" t="str">
        <f>VLOOKUP(Sales_Data!F581,Product_Master!$A$2:$D$11,2)</f>
        <v>Speaker</v>
      </c>
      <c r="N581" t="str">
        <f>VLOOKUP(F581,Product_Master!$A$2:$C$11,3)</f>
        <v>Accessories</v>
      </c>
      <c r="O581">
        <f>VLOOKUP(F581,Product_Master!$A$2:$D$11,4,FALSE)</f>
        <v>1800</v>
      </c>
      <c r="P581">
        <f t="shared" si="90"/>
        <v>10000</v>
      </c>
      <c r="Q581">
        <f t="shared" si="91"/>
        <v>800</v>
      </c>
      <c r="R581">
        <f t="shared" si="92"/>
        <v>9200</v>
      </c>
      <c r="S581">
        <f t="shared" si="93"/>
        <v>2000</v>
      </c>
      <c r="T581" t="str">
        <f>_xlfn.CONCAT(Sales_Data!C581,"-",Sales_Data!E581,"-",Sales_Data!A581)</f>
        <v>West-C1043-1580</v>
      </c>
      <c r="U581" t="str">
        <f t="shared" si="94"/>
        <v>Regular</v>
      </c>
      <c r="V581" t="str" cm="1">
        <f t="array" ref="V581">_xlfn.IFS(R581&gt;=100000,"Excellent",R581&gt;=50000,"Good",R581&gt;=20000,"Average",TRUE,"Poor")</f>
        <v>Poor</v>
      </c>
      <c r="W581">
        <f t="shared" si="95"/>
        <v>3</v>
      </c>
      <c r="X581" t="str">
        <f t="shared" si="96"/>
        <v>September</v>
      </c>
      <c r="Y581">
        <f>HLOOKUP("Q"&amp;W581,Bonus_HLookup!$A$1:$E$2,2,FALSE)</f>
        <v>0.06</v>
      </c>
      <c r="Z581">
        <f t="shared" si="97"/>
        <v>35946.400000000001</v>
      </c>
      <c r="AA581" s="1">
        <f t="shared" si="98"/>
        <v>11495.807410523617</v>
      </c>
      <c r="AB581">
        <f t="shared" si="99"/>
        <v>657</v>
      </c>
    </row>
    <row r="582" spans="1:28" x14ac:dyDescent="0.3">
      <c r="A582">
        <v>1581</v>
      </c>
      <c r="B582" t="s">
        <v>353</v>
      </c>
      <c r="C582" t="s">
        <v>18</v>
      </c>
      <c r="D582" t="s">
        <v>19</v>
      </c>
      <c r="E582" t="s">
        <v>196</v>
      </c>
      <c r="F582" t="s">
        <v>74</v>
      </c>
      <c r="G582">
        <v>8</v>
      </c>
      <c r="H582">
        <v>35000</v>
      </c>
      <c r="I582">
        <v>5</v>
      </c>
      <c r="J582">
        <v>193909</v>
      </c>
      <c r="K582">
        <v>8</v>
      </c>
      <c r="L582">
        <v>1</v>
      </c>
      <c r="M582" t="str">
        <f>VLOOKUP(Sales_Data!F582,Product_Master!$A$2:$D$11,2)</f>
        <v>Tablet</v>
      </c>
      <c r="N582" t="str">
        <f>VLOOKUP(F582,Product_Master!$A$2:$C$11,3)</f>
        <v>Electronics</v>
      </c>
      <c r="O582">
        <f>VLOOKUP(F582,Product_Master!$A$2:$D$11,4,FALSE)</f>
        <v>29000</v>
      </c>
      <c r="P582">
        <f t="shared" si="90"/>
        <v>280000</v>
      </c>
      <c r="Q582">
        <f t="shared" si="91"/>
        <v>14000</v>
      </c>
      <c r="R582">
        <f t="shared" si="92"/>
        <v>266000</v>
      </c>
      <c r="S582">
        <f t="shared" si="93"/>
        <v>34000</v>
      </c>
      <c r="T582" t="str">
        <f>_xlfn.CONCAT(Sales_Data!C582,"-",Sales_Data!E582,"-",Sales_Data!A582)</f>
        <v>North-C1032-1581</v>
      </c>
      <c r="U582" t="str">
        <f t="shared" si="94"/>
        <v>High Value</v>
      </c>
      <c r="V582" t="str" cm="1">
        <f t="array" ref="V582">_xlfn.IFS(R582&gt;=100000,"Excellent",R582&gt;=50000,"Good",R582&gt;=20000,"Average",TRUE,"Poor")</f>
        <v>Excellent</v>
      </c>
      <c r="W582">
        <f t="shared" si="95"/>
        <v>1</v>
      </c>
      <c r="X582" t="str">
        <f t="shared" si="96"/>
        <v>January</v>
      </c>
      <c r="Y582">
        <f>HLOOKUP("Q"&amp;W582,Bonus_HLookup!$A$1:$E$2,2,FALSE)</f>
        <v>0.02</v>
      </c>
      <c r="Z582">
        <f t="shared" si="97"/>
        <v>15512.72</v>
      </c>
      <c r="AA582" s="1">
        <f t="shared" si="98"/>
        <v>16867.839295524911</v>
      </c>
      <c r="AB582">
        <f t="shared" si="99"/>
        <v>67</v>
      </c>
    </row>
    <row r="583" spans="1:28" x14ac:dyDescent="0.3">
      <c r="A583">
        <v>1582</v>
      </c>
      <c r="B583" t="s">
        <v>254</v>
      </c>
      <c r="C583" t="s">
        <v>62</v>
      </c>
      <c r="D583" t="s">
        <v>14</v>
      </c>
      <c r="E583" t="s">
        <v>189</v>
      </c>
      <c r="F583" t="s">
        <v>69</v>
      </c>
      <c r="G583">
        <v>10</v>
      </c>
      <c r="H583">
        <v>2000</v>
      </c>
      <c r="I583">
        <v>12</v>
      </c>
      <c r="J583">
        <v>70818</v>
      </c>
      <c r="K583">
        <v>12</v>
      </c>
      <c r="L583">
        <v>1</v>
      </c>
      <c r="M583" t="str">
        <f>VLOOKUP(Sales_Data!F583,Product_Master!$A$2:$D$11,2)</f>
        <v>Headset</v>
      </c>
      <c r="N583" t="str">
        <f>VLOOKUP(F583,Product_Master!$A$2:$C$11,3)</f>
        <v>Accessories</v>
      </c>
      <c r="O583">
        <f>VLOOKUP(F583,Product_Master!$A$2:$D$11,4,FALSE)</f>
        <v>1500</v>
      </c>
      <c r="P583">
        <f t="shared" si="90"/>
        <v>20000</v>
      </c>
      <c r="Q583">
        <f t="shared" si="91"/>
        <v>2400</v>
      </c>
      <c r="R583">
        <f t="shared" si="92"/>
        <v>17600</v>
      </c>
      <c r="S583">
        <f t="shared" si="93"/>
        <v>2600</v>
      </c>
      <c r="T583" t="str">
        <f>_xlfn.CONCAT(Sales_Data!C583,"-",Sales_Data!E583,"-",Sales_Data!A583)</f>
        <v>East-C1015-1582</v>
      </c>
      <c r="U583" t="str">
        <f t="shared" si="94"/>
        <v>Regular</v>
      </c>
      <c r="V583" t="str" cm="1">
        <f t="array" ref="V583">_xlfn.IFS(R583&gt;=100000,"Excellent",R583&gt;=50000,"Good",R583&gt;=20000,"Average",TRUE,"Poor")</f>
        <v>Poor</v>
      </c>
      <c r="W583">
        <f t="shared" si="95"/>
        <v>3</v>
      </c>
      <c r="X583" t="str">
        <f t="shared" si="96"/>
        <v>August</v>
      </c>
      <c r="Y583">
        <f>HLOOKUP("Q"&amp;W583,Bonus_HLookup!$A$1:$E$2,2,FALSE)</f>
        <v>0.06</v>
      </c>
      <c r="Z583">
        <f t="shared" si="97"/>
        <v>8498.16</v>
      </c>
      <c r="AA583" s="1">
        <f t="shared" si="98"/>
        <v>6292.0935166228019</v>
      </c>
      <c r="AB583">
        <f t="shared" si="99"/>
        <v>491</v>
      </c>
    </row>
    <row r="584" spans="1:28" x14ac:dyDescent="0.3">
      <c r="A584">
        <v>1583</v>
      </c>
      <c r="B584" t="s">
        <v>64</v>
      </c>
      <c r="C584" t="s">
        <v>13</v>
      </c>
      <c r="D584" t="s">
        <v>46</v>
      </c>
      <c r="E584" t="s">
        <v>128</v>
      </c>
      <c r="F584" t="s">
        <v>74</v>
      </c>
      <c r="G584">
        <v>6</v>
      </c>
      <c r="H584">
        <v>35000</v>
      </c>
      <c r="I584">
        <v>15</v>
      </c>
      <c r="J584">
        <v>175389</v>
      </c>
      <c r="K584">
        <v>10</v>
      </c>
      <c r="L584">
        <v>2</v>
      </c>
      <c r="M584" t="str">
        <f>VLOOKUP(Sales_Data!F584,Product_Master!$A$2:$D$11,2)</f>
        <v>Tablet</v>
      </c>
      <c r="N584" t="str">
        <f>VLOOKUP(F584,Product_Master!$A$2:$C$11,3)</f>
        <v>Electronics</v>
      </c>
      <c r="O584">
        <f>VLOOKUP(F584,Product_Master!$A$2:$D$11,4,FALSE)</f>
        <v>29000</v>
      </c>
      <c r="P584">
        <f t="shared" si="90"/>
        <v>210000</v>
      </c>
      <c r="Q584">
        <f t="shared" si="91"/>
        <v>31500</v>
      </c>
      <c r="R584">
        <f t="shared" si="92"/>
        <v>178500</v>
      </c>
      <c r="S584">
        <f t="shared" si="93"/>
        <v>4500</v>
      </c>
      <c r="T584" t="str">
        <f>_xlfn.CONCAT(Sales_Data!C584,"-",Sales_Data!E584,"-",Sales_Data!A584)</f>
        <v>West-C1013-1583</v>
      </c>
      <c r="U584" t="str">
        <f t="shared" si="94"/>
        <v>High Value</v>
      </c>
      <c r="V584" t="str" cm="1">
        <f t="array" ref="V584">_xlfn.IFS(R584&gt;=100000,"Excellent",R584&gt;=50000,"Good",R584&gt;=20000,"Average",TRUE,"Poor")</f>
        <v>Excellent</v>
      </c>
      <c r="W584">
        <f t="shared" si="95"/>
        <v>2</v>
      </c>
      <c r="X584" t="str">
        <f t="shared" si="96"/>
        <v>April</v>
      </c>
      <c r="Y584">
        <f>HLOOKUP("Q"&amp;W584,Bonus_HLookup!$A$1:$E$2,2,FALSE)</f>
        <v>0.04</v>
      </c>
      <c r="Z584">
        <f t="shared" si="97"/>
        <v>35077.800000000003</v>
      </c>
      <c r="AA584" s="1">
        <f t="shared" si="98"/>
        <v>8093.3124854106827</v>
      </c>
      <c r="AB584">
        <f t="shared" si="99"/>
        <v>119</v>
      </c>
    </row>
    <row r="585" spans="1:28" x14ac:dyDescent="0.3">
      <c r="A585">
        <v>1584</v>
      </c>
      <c r="B585" t="s">
        <v>72</v>
      </c>
      <c r="C585" t="s">
        <v>18</v>
      </c>
      <c r="D585" t="s">
        <v>19</v>
      </c>
      <c r="E585" t="s">
        <v>71</v>
      </c>
      <c r="F585" t="s">
        <v>21</v>
      </c>
      <c r="G585">
        <v>10</v>
      </c>
      <c r="H585">
        <v>12000</v>
      </c>
      <c r="I585">
        <v>2</v>
      </c>
      <c r="J585">
        <v>63264</v>
      </c>
      <c r="K585">
        <v>11</v>
      </c>
      <c r="L585">
        <v>4</v>
      </c>
      <c r="M585" t="str">
        <f>VLOOKUP(Sales_Data!F585,Product_Master!$A$2:$D$11,2)</f>
        <v>Monitor</v>
      </c>
      <c r="N585" t="str">
        <f>VLOOKUP(F585,Product_Master!$A$2:$C$11,3)</f>
        <v>Electronics</v>
      </c>
      <c r="O585">
        <f>VLOOKUP(F585,Product_Master!$A$2:$D$11,4,FALSE)</f>
        <v>9000</v>
      </c>
      <c r="P585">
        <f t="shared" si="90"/>
        <v>120000</v>
      </c>
      <c r="Q585">
        <f t="shared" si="91"/>
        <v>2400</v>
      </c>
      <c r="R585">
        <f t="shared" si="92"/>
        <v>117600</v>
      </c>
      <c r="S585">
        <f t="shared" si="93"/>
        <v>27600</v>
      </c>
      <c r="T585" t="str">
        <f>_xlfn.CONCAT(Sales_Data!C585,"-",Sales_Data!E585,"-",Sales_Data!A585)</f>
        <v>North-C1019-1584</v>
      </c>
      <c r="U585" t="str">
        <f t="shared" si="94"/>
        <v>High Value</v>
      </c>
      <c r="V585" t="str" cm="1">
        <f t="array" ref="V585">_xlfn.IFS(R585&gt;=100000,"Excellent",R585&gt;=50000,"Good",R585&gt;=20000,"Average",TRUE,"Poor")</f>
        <v>Excellent</v>
      </c>
      <c r="W585">
        <f t="shared" si="95"/>
        <v>4</v>
      </c>
      <c r="X585" t="str">
        <f t="shared" si="96"/>
        <v>October</v>
      </c>
      <c r="Y585">
        <f>HLOOKUP("Q"&amp;W585,Bonus_HLookup!$A$1:$E$2,2,FALSE)</f>
        <v>0.08</v>
      </c>
      <c r="Z585">
        <f t="shared" si="97"/>
        <v>27836.16</v>
      </c>
      <c r="AA585" s="1">
        <f t="shared" si="98"/>
        <v>1635.0911424909509</v>
      </c>
      <c r="AB585">
        <f t="shared" si="99"/>
        <v>147</v>
      </c>
    </row>
    <row r="586" spans="1:28" x14ac:dyDescent="0.3">
      <c r="A586">
        <v>1585</v>
      </c>
      <c r="B586" t="s">
        <v>307</v>
      </c>
      <c r="C586" t="s">
        <v>62</v>
      </c>
      <c r="D586" t="s">
        <v>50</v>
      </c>
      <c r="E586" t="s">
        <v>172</v>
      </c>
      <c r="F586" t="s">
        <v>52</v>
      </c>
      <c r="G586">
        <v>6</v>
      </c>
      <c r="H586">
        <v>500</v>
      </c>
      <c r="I586">
        <v>8</v>
      </c>
      <c r="J586">
        <v>58487</v>
      </c>
      <c r="K586">
        <v>8</v>
      </c>
      <c r="L586">
        <v>2</v>
      </c>
      <c r="M586" t="str">
        <f>VLOOKUP(Sales_Data!F586,Product_Master!$A$2:$D$11,2)</f>
        <v>Mouse</v>
      </c>
      <c r="N586" t="str">
        <f>VLOOKUP(F586,Product_Master!$A$2:$C$11,3)</f>
        <v>Accessories</v>
      </c>
      <c r="O586">
        <f>VLOOKUP(F586,Product_Master!$A$2:$D$11,4,FALSE)</f>
        <v>350</v>
      </c>
      <c r="P586">
        <f t="shared" si="90"/>
        <v>3000</v>
      </c>
      <c r="Q586">
        <f t="shared" si="91"/>
        <v>240</v>
      </c>
      <c r="R586">
        <f t="shared" si="92"/>
        <v>2760</v>
      </c>
      <c r="S586">
        <f t="shared" si="93"/>
        <v>660</v>
      </c>
      <c r="T586" t="str">
        <f>_xlfn.CONCAT(Sales_Data!C586,"-",Sales_Data!E586,"-",Sales_Data!A586)</f>
        <v>East-C1033-1585</v>
      </c>
      <c r="U586" t="str">
        <f t="shared" si="94"/>
        <v>Regular</v>
      </c>
      <c r="V586" t="str" cm="1">
        <f t="array" ref="V586">_xlfn.IFS(R586&gt;=100000,"Excellent",R586&gt;=50000,"Good",R586&gt;=20000,"Average",TRUE,"Poor")</f>
        <v>Poor</v>
      </c>
      <c r="W586">
        <f t="shared" si="95"/>
        <v>2</v>
      </c>
      <c r="X586" t="str">
        <f t="shared" si="96"/>
        <v>April</v>
      </c>
      <c r="Y586">
        <f>HLOOKUP("Q"&amp;W586,Bonus_HLookup!$A$1:$E$2,2,FALSE)</f>
        <v>0.04</v>
      </c>
      <c r="Z586">
        <f t="shared" si="97"/>
        <v>9357.92</v>
      </c>
      <c r="AA586" s="1">
        <f t="shared" si="98"/>
        <v>2645.2085953978421</v>
      </c>
      <c r="AB586">
        <f t="shared" si="99"/>
        <v>893</v>
      </c>
    </row>
    <row r="587" spans="1:28" x14ac:dyDescent="0.3">
      <c r="A587">
        <v>1586</v>
      </c>
      <c r="B587" t="s">
        <v>143</v>
      </c>
      <c r="C587" t="s">
        <v>30</v>
      </c>
      <c r="D587" t="s">
        <v>19</v>
      </c>
      <c r="E587" t="s">
        <v>15</v>
      </c>
      <c r="F587" t="s">
        <v>25</v>
      </c>
      <c r="G587">
        <v>2</v>
      </c>
      <c r="H587">
        <v>1500</v>
      </c>
      <c r="I587">
        <v>2</v>
      </c>
      <c r="J587">
        <v>146798</v>
      </c>
      <c r="K587">
        <v>7</v>
      </c>
      <c r="L587">
        <v>2</v>
      </c>
      <c r="M587" t="str">
        <f>VLOOKUP(Sales_Data!F587,Product_Master!$A$2:$D$11,2)</f>
        <v>Keyboard</v>
      </c>
      <c r="N587" t="str">
        <f>VLOOKUP(F587,Product_Master!$A$2:$C$11,3)</f>
        <v>Accessories</v>
      </c>
      <c r="O587">
        <f>VLOOKUP(F587,Product_Master!$A$2:$D$11,4,FALSE)</f>
        <v>1200</v>
      </c>
      <c r="P587">
        <f t="shared" si="90"/>
        <v>3000</v>
      </c>
      <c r="Q587">
        <f t="shared" si="91"/>
        <v>60</v>
      </c>
      <c r="R587">
        <f t="shared" si="92"/>
        <v>2940</v>
      </c>
      <c r="S587">
        <f t="shared" si="93"/>
        <v>540</v>
      </c>
      <c r="T587" t="str">
        <f>_xlfn.CONCAT(Sales_Data!C587,"-",Sales_Data!E587,"-",Sales_Data!A587)</f>
        <v>South-C1016-1586</v>
      </c>
      <c r="U587" t="str">
        <f t="shared" si="94"/>
        <v>Regular</v>
      </c>
      <c r="V587" t="str" cm="1">
        <f t="array" ref="V587">_xlfn.IFS(R587&gt;=100000,"Excellent",R587&gt;=50000,"Good",R587&gt;=20000,"Average",TRUE,"Poor")</f>
        <v>Poor</v>
      </c>
      <c r="W587">
        <f t="shared" si="95"/>
        <v>1</v>
      </c>
      <c r="X587" t="str">
        <f t="shared" si="96"/>
        <v>February</v>
      </c>
      <c r="Y587">
        <f>HLOOKUP("Q"&amp;W587,Bonus_HLookup!$A$1:$E$2,2,FALSE)</f>
        <v>0.02</v>
      </c>
      <c r="Z587">
        <f t="shared" si="97"/>
        <v>20551.72</v>
      </c>
      <c r="AA587" s="1">
        <f t="shared" si="98"/>
        <v>6572.5250671835411</v>
      </c>
      <c r="AB587">
        <f t="shared" si="99"/>
        <v>883</v>
      </c>
    </row>
    <row r="588" spans="1:28" x14ac:dyDescent="0.3">
      <c r="A588">
        <v>1587</v>
      </c>
      <c r="B588" t="s">
        <v>152</v>
      </c>
      <c r="C588" t="s">
        <v>18</v>
      </c>
      <c r="D588" t="s">
        <v>14</v>
      </c>
      <c r="E588" t="s">
        <v>31</v>
      </c>
      <c r="F588" t="s">
        <v>36</v>
      </c>
      <c r="G588">
        <v>6</v>
      </c>
      <c r="H588">
        <v>55000</v>
      </c>
      <c r="I588">
        <v>2</v>
      </c>
      <c r="J588">
        <v>388588</v>
      </c>
      <c r="K588">
        <v>12</v>
      </c>
      <c r="L588">
        <v>5</v>
      </c>
      <c r="M588" t="str">
        <f>VLOOKUP(Sales_Data!F588,Product_Master!$A$2:$D$11,2)</f>
        <v>Laptop</v>
      </c>
      <c r="N588" t="str">
        <f>VLOOKUP(F588,Product_Master!$A$2:$C$11,3)</f>
        <v>Electronics</v>
      </c>
      <c r="O588">
        <f>VLOOKUP(F588,Product_Master!$A$2:$D$11,4,FALSE)</f>
        <v>45000</v>
      </c>
      <c r="P588">
        <f t="shared" si="90"/>
        <v>330000</v>
      </c>
      <c r="Q588">
        <f t="shared" si="91"/>
        <v>6600</v>
      </c>
      <c r="R588">
        <f t="shared" si="92"/>
        <v>323400</v>
      </c>
      <c r="S588">
        <f t="shared" si="93"/>
        <v>53400</v>
      </c>
      <c r="T588" t="str">
        <f>_xlfn.CONCAT(Sales_Data!C588,"-",Sales_Data!E588,"-",Sales_Data!A588)</f>
        <v>North-C1025-1587</v>
      </c>
      <c r="U588" t="str">
        <f t="shared" si="94"/>
        <v>High Value</v>
      </c>
      <c r="V588" t="str" cm="1">
        <f t="array" ref="V588">_xlfn.IFS(R588&gt;=100000,"Excellent",R588&gt;=50000,"Good",R588&gt;=20000,"Average",TRUE,"Poor")</f>
        <v>Excellent</v>
      </c>
      <c r="W588">
        <f t="shared" si="95"/>
        <v>4</v>
      </c>
      <c r="X588" t="str">
        <f t="shared" si="96"/>
        <v>October</v>
      </c>
      <c r="Y588">
        <f>HLOOKUP("Q"&amp;W588,Bonus_HLookup!$A$1:$E$2,2,FALSE)</f>
        <v>0.08</v>
      </c>
      <c r="Z588">
        <f t="shared" si="97"/>
        <v>233152.8</v>
      </c>
      <c r="AA588" s="1">
        <f t="shared" si="98"/>
        <v>8643.9254369806113</v>
      </c>
      <c r="AB588">
        <f t="shared" si="99"/>
        <v>43</v>
      </c>
    </row>
    <row r="589" spans="1:28" x14ac:dyDescent="0.3">
      <c r="A589">
        <v>1588</v>
      </c>
      <c r="B589" t="s">
        <v>379</v>
      </c>
      <c r="C589" t="s">
        <v>13</v>
      </c>
      <c r="D589" t="s">
        <v>59</v>
      </c>
      <c r="E589" t="s">
        <v>60</v>
      </c>
      <c r="F589" t="s">
        <v>42</v>
      </c>
      <c r="G589">
        <v>3</v>
      </c>
      <c r="H589">
        <v>8000</v>
      </c>
      <c r="I589">
        <v>12</v>
      </c>
      <c r="J589">
        <v>473909</v>
      </c>
      <c r="K589">
        <v>10</v>
      </c>
      <c r="L589">
        <v>2</v>
      </c>
      <c r="M589" t="str">
        <f>VLOOKUP(Sales_Data!F589,Product_Master!$A$2:$D$11,2)</f>
        <v>Printer</v>
      </c>
      <c r="N589" t="str">
        <f>VLOOKUP(F589,Product_Master!$A$2:$C$11,3)</f>
        <v>Electronics</v>
      </c>
      <c r="O589">
        <f>VLOOKUP(F589,Product_Master!$A$2:$D$11,4,FALSE)</f>
        <v>6500</v>
      </c>
      <c r="P589">
        <f t="shared" si="90"/>
        <v>24000</v>
      </c>
      <c r="Q589">
        <f t="shared" si="91"/>
        <v>2880</v>
      </c>
      <c r="R589">
        <f t="shared" si="92"/>
        <v>21120</v>
      </c>
      <c r="S589">
        <f t="shared" si="93"/>
        <v>1620</v>
      </c>
      <c r="T589" t="str">
        <f>_xlfn.CONCAT(Sales_Data!C589,"-",Sales_Data!E589,"-",Sales_Data!A589)</f>
        <v>West-C1018-1588</v>
      </c>
      <c r="U589" t="str">
        <f t="shared" si="94"/>
        <v>Regular</v>
      </c>
      <c r="V589" t="str" cm="1">
        <f t="array" ref="V589">_xlfn.IFS(R589&gt;=100000,"Excellent",R589&gt;=50000,"Good",R589&gt;=20000,"Average",TRUE,"Poor")</f>
        <v>Average</v>
      </c>
      <c r="W589">
        <f t="shared" si="95"/>
        <v>4</v>
      </c>
      <c r="X589" t="str">
        <f t="shared" si="96"/>
        <v>December</v>
      </c>
      <c r="Y589">
        <f>HLOOKUP("Q"&amp;W589,Bonus_HLookup!$A$1:$E$2,2,FALSE)</f>
        <v>0.08</v>
      </c>
      <c r="Z589">
        <f t="shared" si="97"/>
        <v>94781.8</v>
      </c>
      <c r="AA589" s="1">
        <f t="shared" si="98"/>
        <v>21868.495895686108</v>
      </c>
      <c r="AB589">
        <f t="shared" si="99"/>
        <v>429</v>
      </c>
    </row>
    <row r="590" spans="1:28" x14ac:dyDescent="0.3">
      <c r="A590">
        <v>1589</v>
      </c>
      <c r="B590" t="s">
        <v>363</v>
      </c>
      <c r="C590" t="s">
        <v>62</v>
      </c>
      <c r="D590" t="s">
        <v>59</v>
      </c>
      <c r="E590" t="s">
        <v>15</v>
      </c>
      <c r="F590" t="s">
        <v>69</v>
      </c>
      <c r="G590">
        <v>6</v>
      </c>
      <c r="H590">
        <v>2000</v>
      </c>
      <c r="I590">
        <v>10</v>
      </c>
      <c r="J590">
        <v>370278</v>
      </c>
      <c r="K590">
        <v>11</v>
      </c>
      <c r="L590">
        <v>4</v>
      </c>
      <c r="M590" t="str">
        <f>VLOOKUP(Sales_Data!F590,Product_Master!$A$2:$D$11,2)</f>
        <v>Headset</v>
      </c>
      <c r="N590" t="str">
        <f>VLOOKUP(F590,Product_Master!$A$2:$C$11,3)</f>
        <v>Accessories</v>
      </c>
      <c r="O590">
        <f>VLOOKUP(F590,Product_Master!$A$2:$D$11,4,FALSE)</f>
        <v>1500</v>
      </c>
      <c r="P590">
        <f t="shared" si="90"/>
        <v>12000</v>
      </c>
      <c r="Q590">
        <f t="shared" si="91"/>
        <v>1200</v>
      </c>
      <c r="R590">
        <f t="shared" si="92"/>
        <v>10800</v>
      </c>
      <c r="S590">
        <f t="shared" si="93"/>
        <v>1800</v>
      </c>
      <c r="T590" t="str">
        <f>_xlfn.CONCAT(Sales_Data!C590,"-",Sales_Data!E590,"-",Sales_Data!A590)</f>
        <v>East-C1016-1589</v>
      </c>
      <c r="U590" t="str">
        <f t="shared" si="94"/>
        <v>Regular</v>
      </c>
      <c r="V590" t="str" cm="1">
        <f t="array" ref="V590">_xlfn.IFS(R590&gt;=100000,"Excellent",R590&gt;=50000,"Good",R590&gt;=20000,"Average",TRUE,"Poor")</f>
        <v>Poor</v>
      </c>
      <c r="W590">
        <f t="shared" si="95"/>
        <v>4</v>
      </c>
      <c r="X590" t="str">
        <f t="shared" si="96"/>
        <v>October</v>
      </c>
      <c r="Y590">
        <f>HLOOKUP("Q"&amp;W590,Bonus_HLookup!$A$1:$E$2,2,FALSE)</f>
        <v>0.08</v>
      </c>
      <c r="Z590">
        <f t="shared" si="97"/>
        <v>162922.32</v>
      </c>
      <c r="AA590" s="1">
        <f t="shared" si="98"/>
        <v>9570.0284215235242</v>
      </c>
      <c r="AB590">
        <f t="shared" si="99"/>
        <v>619</v>
      </c>
    </row>
    <row r="591" spans="1:28" x14ac:dyDescent="0.3">
      <c r="A591">
        <v>1590</v>
      </c>
      <c r="B591" t="s">
        <v>210</v>
      </c>
      <c r="C591" t="s">
        <v>18</v>
      </c>
      <c r="D591" t="s">
        <v>59</v>
      </c>
      <c r="E591" t="s">
        <v>60</v>
      </c>
      <c r="F591" t="s">
        <v>74</v>
      </c>
      <c r="G591">
        <v>3</v>
      </c>
      <c r="H591">
        <v>35000</v>
      </c>
      <c r="I591">
        <v>0</v>
      </c>
      <c r="J591">
        <v>298243</v>
      </c>
      <c r="K591">
        <v>7</v>
      </c>
      <c r="L591">
        <v>2</v>
      </c>
      <c r="M591" t="str">
        <f>VLOOKUP(Sales_Data!F591,Product_Master!$A$2:$D$11,2)</f>
        <v>Tablet</v>
      </c>
      <c r="N591" t="str">
        <f>VLOOKUP(F591,Product_Master!$A$2:$C$11,3)</f>
        <v>Electronics</v>
      </c>
      <c r="O591">
        <f>VLOOKUP(F591,Product_Master!$A$2:$D$11,4,FALSE)</f>
        <v>29000</v>
      </c>
      <c r="P591">
        <f t="shared" si="90"/>
        <v>105000</v>
      </c>
      <c r="Q591">
        <f t="shared" si="91"/>
        <v>0</v>
      </c>
      <c r="R591">
        <f t="shared" si="92"/>
        <v>105000</v>
      </c>
      <c r="S591">
        <f t="shared" si="93"/>
        <v>18000</v>
      </c>
      <c r="T591" t="str">
        <f>_xlfn.CONCAT(Sales_Data!C591,"-",Sales_Data!E591,"-",Sales_Data!A591)</f>
        <v>North-C1018-1590</v>
      </c>
      <c r="U591" t="str">
        <f t="shared" si="94"/>
        <v>High Value</v>
      </c>
      <c r="V591" t="str" cm="1">
        <f t="array" ref="V591">_xlfn.IFS(R591&gt;=100000,"Excellent",R591&gt;=50000,"Good",R591&gt;=20000,"Average",TRUE,"Poor")</f>
        <v>Excellent</v>
      </c>
      <c r="W591">
        <f t="shared" si="95"/>
        <v>4</v>
      </c>
      <c r="X591" t="str">
        <f t="shared" si="96"/>
        <v>December</v>
      </c>
      <c r="Y591">
        <f>HLOOKUP("Q"&amp;W591,Bonus_HLookup!$A$1:$E$2,2,FALSE)</f>
        <v>0.08</v>
      </c>
      <c r="Z591">
        <f t="shared" si="97"/>
        <v>41754.019999999997</v>
      </c>
      <c r="AA591" s="1">
        <f t="shared" si="98"/>
        <v>13353.1083094594</v>
      </c>
      <c r="AB591">
        <f t="shared" si="99"/>
        <v>161</v>
      </c>
    </row>
    <row r="592" spans="1:28" x14ac:dyDescent="0.3">
      <c r="A592">
        <v>1591</v>
      </c>
      <c r="B592" t="s">
        <v>101</v>
      </c>
      <c r="C592" t="s">
        <v>62</v>
      </c>
      <c r="D592" t="s">
        <v>59</v>
      </c>
      <c r="E592" t="s">
        <v>82</v>
      </c>
      <c r="F592" t="s">
        <v>74</v>
      </c>
      <c r="G592">
        <v>8</v>
      </c>
      <c r="H592">
        <v>35000</v>
      </c>
      <c r="I592">
        <v>15</v>
      </c>
      <c r="J592">
        <v>329135</v>
      </c>
      <c r="K592">
        <v>11</v>
      </c>
      <c r="L592">
        <v>2</v>
      </c>
      <c r="M592" t="str">
        <f>VLOOKUP(Sales_Data!F592,Product_Master!$A$2:$D$11,2)</f>
        <v>Tablet</v>
      </c>
      <c r="N592" t="str">
        <f>VLOOKUP(F592,Product_Master!$A$2:$C$11,3)</f>
        <v>Electronics</v>
      </c>
      <c r="O592">
        <f>VLOOKUP(F592,Product_Master!$A$2:$D$11,4,FALSE)</f>
        <v>29000</v>
      </c>
      <c r="P592">
        <f t="shared" si="90"/>
        <v>280000</v>
      </c>
      <c r="Q592">
        <f t="shared" si="91"/>
        <v>42000</v>
      </c>
      <c r="R592">
        <f t="shared" si="92"/>
        <v>238000</v>
      </c>
      <c r="S592">
        <f t="shared" si="93"/>
        <v>6000</v>
      </c>
      <c r="T592" t="str">
        <f>_xlfn.CONCAT(Sales_Data!C592,"-",Sales_Data!E592,"-",Sales_Data!A592)</f>
        <v>East-C1045-1591</v>
      </c>
      <c r="U592" t="str">
        <f t="shared" si="94"/>
        <v>High Value</v>
      </c>
      <c r="V592" t="str" cm="1">
        <f t="array" ref="V592">_xlfn.IFS(R592&gt;=100000,"Excellent",R592&gt;=50000,"Good",R592&gt;=20000,"Average",TRUE,"Poor")</f>
        <v>Excellent</v>
      </c>
      <c r="W592">
        <f t="shared" si="95"/>
        <v>4</v>
      </c>
      <c r="X592" t="str">
        <f t="shared" si="96"/>
        <v>October</v>
      </c>
      <c r="Y592">
        <f>HLOOKUP("Q"&amp;W592,Bonus_HLookup!$A$1:$E$2,2,FALSE)</f>
        <v>0.08</v>
      </c>
      <c r="Z592">
        <f t="shared" si="97"/>
        <v>72409.7</v>
      </c>
      <c r="AA592" s="1">
        <f t="shared" si="98"/>
        <v>15340.270824813277</v>
      </c>
      <c r="AB592">
        <f t="shared" si="99"/>
        <v>89</v>
      </c>
    </row>
    <row r="593" spans="1:28" x14ac:dyDescent="0.3">
      <c r="A593">
        <v>1592</v>
      </c>
      <c r="B593" t="s">
        <v>114</v>
      </c>
      <c r="C593" t="s">
        <v>62</v>
      </c>
      <c r="D593" t="s">
        <v>59</v>
      </c>
      <c r="E593" t="s">
        <v>140</v>
      </c>
      <c r="F593" t="s">
        <v>42</v>
      </c>
      <c r="G593">
        <v>5</v>
      </c>
      <c r="H593">
        <v>8000</v>
      </c>
      <c r="I593">
        <v>8</v>
      </c>
      <c r="J593">
        <v>85374</v>
      </c>
      <c r="K593">
        <v>9</v>
      </c>
      <c r="L593">
        <v>2</v>
      </c>
      <c r="M593" t="str">
        <f>VLOOKUP(Sales_Data!F593,Product_Master!$A$2:$D$11,2)</f>
        <v>Printer</v>
      </c>
      <c r="N593" t="str">
        <f>VLOOKUP(F593,Product_Master!$A$2:$C$11,3)</f>
        <v>Electronics</v>
      </c>
      <c r="O593">
        <f>VLOOKUP(F593,Product_Master!$A$2:$D$11,4,FALSE)</f>
        <v>6500</v>
      </c>
      <c r="P593">
        <f t="shared" si="90"/>
        <v>40000</v>
      </c>
      <c r="Q593">
        <f t="shared" si="91"/>
        <v>3200</v>
      </c>
      <c r="R593">
        <f t="shared" si="92"/>
        <v>36800</v>
      </c>
      <c r="S593">
        <f t="shared" si="93"/>
        <v>4300</v>
      </c>
      <c r="T593" t="str">
        <f>_xlfn.CONCAT(Sales_Data!C593,"-",Sales_Data!E593,"-",Sales_Data!A593)</f>
        <v>East-C1011-1592</v>
      </c>
      <c r="U593" t="str">
        <f t="shared" si="94"/>
        <v>Regular</v>
      </c>
      <c r="V593" t="str" cm="1">
        <f t="array" ref="V593">_xlfn.IFS(R593&gt;=100000,"Excellent",R593&gt;=50000,"Good",R593&gt;=20000,"Average",TRUE,"Poor")</f>
        <v>Average</v>
      </c>
      <c r="W593">
        <f t="shared" si="95"/>
        <v>4</v>
      </c>
      <c r="X593" t="str">
        <f t="shared" si="96"/>
        <v>November</v>
      </c>
      <c r="Y593">
        <f>HLOOKUP("Q"&amp;W593,Bonus_HLookup!$A$1:$E$2,2,FALSE)</f>
        <v>0.08</v>
      </c>
      <c r="Z593">
        <f t="shared" si="97"/>
        <v>15367.32</v>
      </c>
      <c r="AA593" s="1">
        <f t="shared" si="98"/>
        <v>3900.2891873421236</v>
      </c>
      <c r="AB593">
        <f t="shared" si="99"/>
        <v>342</v>
      </c>
    </row>
    <row r="594" spans="1:28" x14ac:dyDescent="0.3">
      <c r="A594">
        <v>1593</v>
      </c>
      <c r="B594" t="s">
        <v>380</v>
      </c>
      <c r="C594" t="s">
        <v>62</v>
      </c>
      <c r="D594" t="s">
        <v>23</v>
      </c>
      <c r="E594" t="s">
        <v>44</v>
      </c>
      <c r="F594" t="s">
        <v>16</v>
      </c>
      <c r="G594">
        <v>10</v>
      </c>
      <c r="H594">
        <v>2500</v>
      </c>
      <c r="I594">
        <v>8</v>
      </c>
      <c r="J594">
        <v>297559</v>
      </c>
      <c r="K594">
        <v>7</v>
      </c>
      <c r="L594">
        <v>2</v>
      </c>
      <c r="M594" t="str">
        <f>VLOOKUP(Sales_Data!F594,Product_Master!$A$2:$D$11,2)</f>
        <v>Speaker</v>
      </c>
      <c r="N594" t="str">
        <f>VLOOKUP(F594,Product_Master!$A$2:$C$11,3)</f>
        <v>Accessories</v>
      </c>
      <c r="O594">
        <f>VLOOKUP(F594,Product_Master!$A$2:$D$11,4,FALSE)</f>
        <v>1800</v>
      </c>
      <c r="P594">
        <f t="shared" si="90"/>
        <v>25000</v>
      </c>
      <c r="Q594">
        <f t="shared" si="91"/>
        <v>2000</v>
      </c>
      <c r="R594">
        <f t="shared" si="92"/>
        <v>23000</v>
      </c>
      <c r="S594">
        <f t="shared" si="93"/>
        <v>5000</v>
      </c>
      <c r="T594" t="str">
        <f>_xlfn.CONCAT(Sales_Data!C594,"-",Sales_Data!E594,"-",Sales_Data!A594)</f>
        <v>East-C1028-1593</v>
      </c>
      <c r="U594" t="str">
        <f t="shared" si="94"/>
        <v>Regular</v>
      </c>
      <c r="V594" t="str" cm="1">
        <f t="array" ref="V594">_xlfn.IFS(R594&gt;=100000,"Excellent",R594&gt;=50000,"Good",R594&gt;=20000,"Average",TRUE,"Poor")</f>
        <v>Average</v>
      </c>
      <c r="W594">
        <f t="shared" si="95"/>
        <v>1</v>
      </c>
      <c r="X594" t="str">
        <f t="shared" si="96"/>
        <v>January</v>
      </c>
      <c r="Y594">
        <f>HLOOKUP("Q"&amp;W594,Bonus_HLookup!$A$1:$E$2,2,FALSE)</f>
        <v>0.02</v>
      </c>
      <c r="Z594">
        <f t="shared" si="97"/>
        <v>41658.26</v>
      </c>
      <c r="AA594" s="1">
        <f t="shared" si="98"/>
        <v>13322.483865352848</v>
      </c>
      <c r="AB594">
        <f t="shared" si="99"/>
        <v>407</v>
      </c>
    </row>
    <row r="595" spans="1:28" x14ac:dyDescent="0.3">
      <c r="A595">
        <v>1594</v>
      </c>
      <c r="B595" t="s">
        <v>78</v>
      </c>
      <c r="C595" t="s">
        <v>18</v>
      </c>
      <c r="D595" t="s">
        <v>23</v>
      </c>
      <c r="E595" t="s">
        <v>51</v>
      </c>
      <c r="F595" t="s">
        <v>21</v>
      </c>
      <c r="G595">
        <v>10</v>
      </c>
      <c r="H595">
        <v>12000</v>
      </c>
      <c r="I595">
        <v>8</v>
      </c>
      <c r="J595">
        <v>202565</v>
      </c>
      <c r="K595">
        <v>11</v>
      </c>
      <c r="L595">
        <v>5</v>
      </c>
      <c r="M595" t="str">
        <f>VLOOKUP(Sales_Data!F595,Product_Master!$A$2:$D$11,2)</f>
        <v>Monitor</v>
      </c>
      <c r="N595" t="str">
        <f>VLOOKUP(F595,Product_Master!$A$2:$C$11,3)</f>
        <v>Electronics</v>
      </c>
      <c r="O595">
        <f>VLOOKUP(F595,Product_Master!$A$2:$D$11,4,FALSE)</f>
        <v>9000</v>
      </c>
      <c r="P595">
        <f t="shared" si="90"/>
        <v>120000</v>
      </c>
      <c r="Q595">
        <f t="shared" si="91"/>
        <v>9600</v>
      </c>
      <c r="R595">
        <f t="shared" si="92"/>
        <v>110400</v>
      </c>
      <c r="S595">
        <f t="shared" si="93"/>
        <v>20400</v>
      </c>
      <c r="T595" t="str">
        <f>_xlfn.CONCAT(Sales_Data!C595,"-",Sales_Data!E595,"-",Sales_Data!A595)</f>
        <v>North-C1002-1594</v>
      </c>
      <c r="U595" t="str">
        <f t="shared" si="94"/>
        <v>High Value</v>
      </c>
      <c r="V595" t="str" cm="1">
        <f t="array" ref="V595">_xlfn.IFS(R595&gt;=100000,"Excellent",R595&gt;=50000,"Good",R595&gt;=20000,"Average",TRUE,"Poor")</f>
        <v>Excellent</v>
      </c>
      <c r="W595">
        <f t="shared" si="95"/>
        <v>2</v>
      </c>
      <c r="X595" t="str">
        <f t="shared" si="96"/>
        <v>May</v>
      </c>
      <c r="Y595">
        <f>HLOOKUP("Q"&amp;W595,Bonus_HLookup!$A$1:$E$2,2,FALSE)</f>
        <v>0.04</v>
      </c>
      <c r="Z595">
        <f t="shared" si="97"/>
        <v>111410.75</v>
      </c>
      <c r="AA595" s="1">
        <f t="shared" si="98"/>
        <v>4404.253929709992</v>
      </c>
      <c r="AB595">
        <f t="shared" si="99"/>
        <v>151</v>
      </c>
    </row>
    <row r="596" spans="1:28" x14ac:dyDescent="0.3">
      <c r="A596">
        <v>1595</v>
      </c>
      <c r="B596" t="s">
        <v>322</v>
      </c>
      <c r="C596" t="s">
        <v>13</v>
      </c>
      <c r="D596" t="s">
        <v>91</v>
      </c>
      <c r="E596" t="s">
        <v>140</v>
      </c>
      <c r="F596" t="s">
        <v>16</v>
      </c>
      <c r="G596">
        <v>4</v>
      </c>
      <c r="H596">
        <v>2500</v>
      </c>
      <c r="I596">
        <v>0</v>
      </c>
      <c r="J596">
        <v>447004</v>
      </c>
      <c r="K596">
        <v>11</v>
      </c>
      <c r="L596">
        <v>4</v>
      </c>
      <c r="M596" t="str">
        <f>VLOOKUP(Sales_Data!F596,Product_Master!$A$2:$D$11,2)</f>
        <v>Speaker</v>
      </c>
      <c r="N596" t="str">
        <f>VLOOKUP(F596,Product_Master!$A$2:$C$11,3)</f>
        <v>Accessories</v>
      </c>
      <c r="O596">
        <f>VLOOKUP(F596,Product_Master!$A$2:$D$11,4,FALSE)</f>
        <v>1800</v>
      </c>
      <c r="P596">
        <f t="shared" si="90"/>
        <v>10000</v>
      </c>
      <c r="Q596">
        <f t="shared" si="91"/>
        <v>0</v>
      </c>
      <c r="R596">
        <f t="shared" si="92"/>
        <v>10000</v>
      </c>
      <c r="S596">
        <f t="shared" si="93"/>
        <v>2800</v>
      </c>
      <c r="T596" t="str">
        <f>_xlfn.CONCAT(Sales_Data!C596,"-",Sales_Data!E596,"-",Sales_Data!A596)</f>
        <v>West-C1011-1595</v>
      </c>
      <c r="U596" t="str">
        <f t="shared" si="94"/>
        <v>Regular</v>
      </c>
      <c r="V596" t="str" cm="1">
        <f t="array" ref="V596">_xlfn.IFS(R596&gt;=100000,"Excellent",R596&gt;=50000,"Good",R596&gt;=20000,"Average",TRUE,"Poor")</f>
        <v>Poor</v>
      </c>
      <c r="W596">
        <f t="shared" si="95"/>
        <v>4</v>
      </c>
      <c r="X596" t="str">
        <f t="shared" si="96"/>
        <v>October</v>
      </c>
      <c r="Y596">
        <f>HLOOKUP("Q"&amp;W596,Bonus_HLookup!$A$1:$E$2,2,FALSE)</f>
        <v>0.08</v>
      </c>
      <c r="Z596">
        <f t="shared" si="97"/>
        <v>196681.76</v>
      </c>
      <c r="AA596" s="1">
        <f t="shared" si="98"/>
        <v>11553.051989409852</v>
      </c>
      <c r="AB596">
        <f t="shared" si="99"/>
        <v>636</v>
      </c>
    </row>
    <row r="597" spans="1:28" x14ac:dyDescent="0.3">
      <c r="A597">
        <v>1596</v>
      </c>
      <c r="B597" t="s">
        <v>226</v>
      </c>
      <c r="C597" t="s">
        <v>13</v>
      </c>
      <c r="D597" t="s">
        <v>50</v>
      </c>
      <c r="E597" t="s">
        <v>89</v>
      </c>
      <c r="F597" t="s">
        <v>42</v>
      </c>
      <c r="G597">
        <v>3</v>
      </c>
      <c r="H597">
        <v>8000</v>
      </c>
      <c r="I597">
        <v>15</v>
      </c>
      <c r="J597">
        <v>202133</v>
      </c>
      <c r="K597">
        <v>7</v>
      </c>
      <c r="L597">
        <v>2</v>
      </c>
      <c r="M597" t="str">
        <f>VLOOKUP(Sales_Data!F597,Product_Master!$A$2:$D$11,2)</f>
        <v>Printer</v>
      </c>
      <c r="N597" t="str">
        <f>VLOOKUP(F597,Product_Master!$A$2:$C$11,3)</f>
        <v>Electronics</v>
      </c>
      <c r="O597">
        <f>VLOOKUP(F597,Product_Master!$A$2:$D$11,4,FALSE)</f>
        <v>6500</v>
      </c>
      <c r="P597">
        <f t="shared" si="90"/>
        <v>24000</v>
      </c>
      <c r="Q597">
        <f t="shared" si="91"/>
        <v>3600</v>
      </c>
      <c r="R597">
        <f t="shared" si="92"/>
        <v>20400</v>
      </c>
      <c r="S597">
        <f t="shared" si="93"/>
        <v>900</v>
      </c>
      <c r="T597" t="str">
        <f>_xlfn.CONCAT(Sales_Data!C597,"-",Sales_Data!E597,"-",Sales_Data!A597)</f>
        <v>West-C1022-1596</v>
      </c>
      <c r="U597" t="str">
        <f t="shared" si="94"/>
        <v>Regular</v>
      </c>
      <c r="V597" t="str" cm="1">
        <f t="array" ref="V597">_xlfn.IFS(R597&gt;=100000,"Excellent",R597&gt;=50000,"Good",R597&gt;=20000,"Average",TRUE,"Poor")</f>
        <v>Average</v>
      </c>
      <c r="W597">
        <f t="shared" si="95"/>
        <v>3</v>
      </c>
      <c r="X597" t="str">
        <f t="shared" si="96"/>
        <v>July</v>
      </c>
      <c r="Y597">
        <f>HLOOKUP("Q"&amp;W597,Bonus_HLookup!$A$1:$E$2,2,FALSE)</f>
        <v>0.06</v>
      </c>
      <c r="Z597">
        <f t="shared" si="97"/>
        <v>28298.62</v>
      </c>
      <c r="AA597" s="1">
        <f t="shared" si="98"/>
        <v>9050.0157318560923</v>
      </c>
      <c r="AB597">
        <f t="shared" si="99"/>
        <v>446</v>
      </c>
    </row>
    <row r="598" spans="1:28" x14ac:dyDescent="0.3">
      <c r="A598">
        <v>1597</v>
      </c>
      <c r="B598" t="s">
        <v>380</v>
      </c>
      <c r="C598" t="s">
        <v>62</v>
      </c>
      <c r="D598" t="s">
        <v>23</v>
      </c>
      <c r="E598" t="s">
        <v>73</v>
      </c>
      <c r="F598" t="s">
        <v>52</v>
      </c>
      <c r="G598">
        <v>8</v>
      </c>
      <c r="H598">
        <v>500</v>
      </c>
      <c r="I598">
        <v>8</v>
      </c>
      <c r="J598">
        <v>486300</v>
      </c>
      <c r="K598">
        <v>7</v>
      </c>
      <c r="L598">
        <v>5</v>
      </c>
      <c r="M598" t="str">
        <f>VLOOKUP(Sales_Data!F598,Product_Master!$A$2:$D$11,2)</f>
        <v>Mouse</v>
      </c>
      <c r="N598" t="str">
        <f>VLOOKUP(F598,Product_Master!$A$2:$C$11,3)</f>
        <v>Accessories</v>
      </c>
      <c r="O598">
        <f>VLOOKUP(F598,Product_Master!$A$2:$D$11,4,FALSE)</f>
        <v>350</v>
      </c>
      <c r="P598">
        <f t="shared" si="90"/>
        <v>4000</v>
      </c>
      <c r="Q598">
        <f t="shared" si="91"/>
        <v>320</v>
      </c>
      <c r="R598">
        <f t="shared" si="92"/>
        <v>3680</v>
      </c>
      <c r="S598">
        <f t="shared" si="93"/>
        <v>880</v>
      </c>
      <c r="T598" t="str">
        <f>_xlfn.CONCAT(Sales_Data!C598,"-",Sales_Data!E598,"-",Sales_Data!A598)</f>
        <v>East-C1014-1597</v>
      </c>
      <c r="U598" t="str">
        <f t="shared" si="94"/>
        <v>Regular</v>
      </c>
      <c r="V598" t="str" cm="1">
        <f t="array" ref="V598">_xlfn.IFS(R598&gt;=100000,"Excellent",R598&gt;=50000,"Good",R598&gt;=20000,"Average",TRUE,"Poor")</f>
        <v>Poor</v>
      </c>
      <c r="W598">
        <f t="shared" si="95"/>
        <v>1</v>
      </c>
      <c r="X598" t="str">
        <f t="shared" si="96"/>
        <v>January</v>
      </c>
      <c r="Y598">
        <f>HLOOKUP("Q"&amp;W598,Bonus_HLookup!$A$1:$E$2,2,FALSE)</f>
        <v>0.02</v>
      </c>
      <c r="Z598">
        <f t="shared" si="97"/>
        <v>170205</v>
      </c>
      <c r="AA598" s="1">
        <f t="shared" si="98"/>
        <v>9629.3228501719786</v>
      </c>
      <c r="AB598">
        <f t="shared" si="99"/>
        <v>857</v>
      </c>
    </row>
    <row r="599" spans="1:28" x14ac:dyDescent="0.3">
      <c r="A599">
        <v>1598</v>
      </c>
      <c r="B599" t="s">
        <v>227</v>
      </c>
      <c r="C599" t="s">
        <v>62</v>
      </c>
      <c r="D599" t="s">
        <v>46</v>
      </c>
      <c r="E599" t="s">
        <v>71</v>
      </c>
      <c r="F599" t="s">
        <v>28</v>
      </c>
      <c r="G599">
        <v>6</v>
      </c>
      <c r="H599">
        <v>950</v>
      </c>
      <c r="I599">
        <v>10</v>
      </c>
      <c r="J599">
        <v>459406</v>
      </c>
      <c r="K599">
        <v>9</v>
      </c>
      <c r="L599">
        <v>2</v>
      </c>
      <c r="M599" t="str">
        <f>VLOOKUP(Sales_Data!F599,Product_Master!$A$2:$D$11,2)</f>
        <v>Webcam</v>
      </c>
      <c r="N599" t="str">
        <f>VLOOKUP(F599,Product_Master!$A$2:$C$11,3)</f>
        <v>Accessories</v>
      </c>
      <c r="O599">
        <f>VLOOKUP(F599,Product_Master!$A$2:$D$11,4,FALSE)</f>
        <v>700</v>
      </c>
      <c r="P599">
        <f t="shared" si="90"/>
        <v>5700</v>
      </c>
      <c r="Q599">
        <f t="shared" si="91"/>
        <v>570</v>
      </c>
      <c r="R599">
        <f t="shared" si="92"/>
        <v>5130</v>
      </c>
      <c r="S599">
        <f t="shared" si="93"/>
        <v>930</v>
      </c>
      <c r="T599" t="str">
        <f>_xlfn.CONCAT(Sales_Data!C599,"-",Sales_Data!E599,"-",Sales_Data!A599)</f>
        <v>East-C1019-1598</v>
      </c>
      <c r="U599" t="str">
        <f t="shared" si="94"/>
        <v>Regular</v>
      </c>
      <c r="V599" t="str" cm="1">
        <f t="array" ref="V599">_xlfn.IFS(R599&gt;=100000,"Excellent",R599&gt;=50000,"Good",R599&gt;=20000,"Average",TRUE,"Poor")</f>
        <v>Poor</v>
      </c>
      <c r="W599">
        <f t="shared" si="95"/>
        <v>2</v>
      </c>
      <c r="X599" t="str">
        <f t="shared" si="96"/>
        <v>May</v>
      </c>
      <c r="Y599">
        <f>HLOOKUP("Q"&amp;W599,Bonus_HLookup!$A$1:$E$2,2,FALSE)</f>
        <v>0.04</v>
      </c>
      <c r="Z599">
        <f t="shared" si="97"/>
        <v>82693.08</v>
      </c>
      <c r="AA599" s="1">
        <f t="shared" si="98"/>
        <v>20987.844711505793</v>
      </c>
      <c r="AB599">
        <f t="shared" si="99"/>
        <v>785</v>
      </c>
    </row>
    <row r="600" spans="1:28" x14ac:dyDescent="0.3">
      <c r="A600">
        <v>1599</v>
      </c>
      <c r="B600" t="s">
        <v>152</v>
      </c>
      <c r="C600" t="s">
        <v>18</v>
      </c>
      <c r="D600" t="s">
        <v>46</v>
      </c>
      <c r="E600" t="s">
        <v>115</v>
      </c>
      <c r="F600" t="s">
        <v>39</v>
      </c>
      <c r="G600">
        <v>6</v>
      </c>
      <c r="H600">
        <v>7000</v>
      </c>
      <c r="I600">
        <v>15</v>
      </c>
      <c r="J600">
        <v>265854</v>
      </c>
      <c r="K600">
        <v>7</v>
      </c>
      <c r="L600">
        <v>4</v>
      </c>
      <c r="M600" t="str">
        <f>VLOOKUP(Sales_Data!F600,Product_Master!$A$2:$D$11,2)</f>
        <v>Router</v>
      </c>
      <c r="N600" t="str">
        <f>VLOOKUP(F600,Product_Master!$A$2:$C$11,3)</f>
        <v>Electronics</v>
      </c>
      <c r="O600">
        <f>VLOOKUP(F600,Product_Master!$A$2:$D$11,4,FALSE)</f>
        <v>5000</v>
      </c>
      <c r="P600">
        <f t="shared" si="90"/>
        <v>42000</v>
      </c>
      <c r="Q600">
        <f t="shared" si="91"/>
        <v>6300</v>
      </c>
      <c r="R600">
        <f t="shared" si="92"/>
        <v>35700</v>
      </c>
      <c r="S600">
        <f t="shared" si="93"/>
        <v>5700</v>
      </c>
      <c r="T600" t="str">
        <f>_xlfn.CONCAT(Sales_Data!C600,"-",Sales_Data!E600,"-",Sales_Data!A600)</f>
        <v>North-C1026-1599</v>
      </c>
      <c r="U600" t="str">
        <f t="shared" si="94"/>
        <v>Regular</v>
      </c>
      <c r="V600" t="str" cm="1">
        <f t="array" ref="V600">_xlfn.IFS(R600&gt;=100000,"Excellent",R600&gt;=50000,"Good",R600&gt;=20000,"Average",TRUE,"Poor")</f>
        <v>Average</v>
      </c>
      <c r="W600">
        <f t="shared" si="95"/>
        <v>4</v>
      </c>
      <c r="X600" t="str">
        <f t="shared" si="96"/>
        <v>October</v>
      </c>
      <c r="Y600">
        <f>HLOOKUP("Q"&amp;W600,Bonus_HLookup!$A$1:$E$2,2,FALSE)</f>
        <v>0.08</v>
      </c>
      <c r="Z600">
        <f t="shared" si="97"/>
        <v>74439.12</v>
      </c>
      <c r="AA600" s="1">
        <f t="shared" si="98"/>
        <v>6366.2049284890973</v>
      </c>
      <c r="AB600">
        <f t="shared" si="99"/>
        <v>348</v>
      </c>
    </row>
    <row r="601" spans="1:28" x14ac:dyDescent="0.3">
      <c r="A601">
        <v>1600</v>
      </c>
      <c r="B601" t="s">
        <v>346</v>
      </c>
      <c r="C601" t="s">
        <v>18</v>
      </c>
      <c r="D601" t="s">
        <v>23</v>
      </c>
      <c r="E601" t="s">
        <v>140</v>
      </c>
      <c r="F601" t="s">
        <v>39</v>
      </c>
      <c r="G601">
        <v>5</v>
      </c>
      <c r="H601">
        <v>7000</v>
      </c>
      <c r="I601">
        <v>8</v>
      </c>
      <c r="J601">
        <v>146298</v>
      </c>
      <c r="K601">
        <v>7</v>
      </c>
      <c r="L601">
        <v>3</v>
      </c>
      <c r="M601" t="str">
        <f>VLOOKUP(Sales_Data!F601,Product_Master!$A$2:$D$11,2)</f>
        <v>Router</v>
      </c>
      <c r="N601" t="str">
        <f>VLOOKUP(F601,Product_Master!$A$2:$C$11,3)</f>
        <v>Electronics</v>
      </c>
      <c r="O601">
        <f>VLOOKUP(F601,Product_Master!$A$2:$D$11,4,FALSE)</f>
        <v>5000</v>
      </c>
      <c r="P601">
        <f t="shared" si="90"/>
        <v>35000</v>
      </c>
      <c r="Q601">
        <f t="shared" si="91"/>
        <v>2800</v>
      </c>
      <c r="R601">
        <f t="shared" si="92"/>
        <v>32200</v>
      </c>
      <c r="S601">
        <f t="shared" si="93"/>
        <v>7200</v>
      </c>
      <c r="T601" t="str">
        <f>_xlfn.CONCAT(Sales_Data!C601,"-",Sales_Data!E601,"-",Sales_Data!A601)</f>
        <v>North-C1011-1600</v>
      </c>
      <c r="U601" t="str">
        <f t="shared" si="94"/>
        <v>Regular</v>
      </c>
      <c r="V601" t="str" cm="1">
        <f t="array" ref="V601">_xlfn.IFS(R601&gt;=100000,"Excellent",R601&gt;=50000,"Good",R601&gt;=20000,"Average",TRUE,"Poor")</f>
        <v>Average</v>
      </c>
      <c r="W601">
        <f t="shared" si="95"/>
        <v>4</v>
      </c>
      <c r="X601" t="str">
        <f t="shared" si="96"/>
        <v>November</v>
      </c>
      <c r="Y601">
        <f>HLOOKUP("Q"&amp;W601,Bonus_HLookup!$A$1:$E$2,2,FALSE)</f>
        <v>0.08</v>
      </c>
      <c r="Z601">
        <f t="shared" si="97"/>
        <v>30722.58</v>
      </c>
      <c r="AA601" s="1">
        <f t="shared" si="98"/>
        <v>4517.2575172101842</v>
      </c>
      <c r="AB601">
        <f t="shared" si="99"/>
        <v>359</v>
      </c>
    </row>
    <row r="602" spans="1:28" x14ac:dyDescent="0.3">
      <c r="A602">
        <v>1601</v>
      </c>
      <c r="B602" t="s">
        <v>267</v>
      </c>
      <c r="C602" t="s">
        <v>62</v>
      </c>
      <c r="D602" t="s">
        <v>23</v>
      </c>
      <c r="E602" t="s">
        <v>108</v>
      </c>
      <c r="F602" t="s">
        <v>21</v>
      </c>
      <c r="G602">
        <v>9</v>
      </c>
      <c r="H602">
        <v>12000</v>
      </c>
      <c r="I602">
        <v>10</v>
      </c>
      <c r="J602">
        <v>367491</v>
      </c>
      <c r="K602">
        <v>10</v>
      </c>
      <c r="L602">
        <v>3</v>
      </c>
      <c r="M602" t="str">
        <f>VLOOKUP(Sales_Data!F602,Product_Master!$A$2:$D$11,2)</f>
        <v>Monitor</v>
      </c>
      <c r="N602" t="str">
        <f>VLOOKUP(F602,Product_Master!$A$2:$C$11,3)</f>
        <v>Electronics</v>
      </c>
      <c r="O602">
        <f>VLOOKUP(F602,Product_Master!$A$2:$D$11,4,FALSE)</f>
        <v>9000</v>
      </c>
      <c r="P602">
        <f t="shared" si="90"/>
        <v>108000</v>
      </c>
      <c r="Q602">
        <f t="shared" si="91"/>
        <v>10800</v>
      </c>
      <c r="R602">
        <f t="shared" si="92"/>
        <v>97200</v>
      </c>
      <c r="S602">
        <f t="shared" si="93"/>
        <v>16200</v>
      </c>
      <c r="T602" t="str">
        <f>_xlfn.CONCAT(Sales_Data!C602,"-",Sales_Data!E602,"-",Sales_Data!A602)</f>
        <v>East-C1031-1601</v>
      </c>
      <c r="U602" t="str">
        <f t="shared" si="94"/>
        <v>High Value</v>
      </c>
      <c r="V602" t="str" cm="1">
        <f t="array" ref="V602">_xlfn.IFS(R602&gt;=100000,"Excellent",R602&gt;=50000,"Good",R602&gt;=20000,"Average",TRUE,"Poor")</f>
        <v>Good</v>
      </c>
      <c r="W602">
        <f t="shared" si="95"/>
        <v>2</v>
      </c>
      <c r="X602" t="str">
        <f t="shared" si="96"/>
        <v>June</v>
      </c>
      <c r="Y602">
        <f>HLOOKUP("Q"&amp;W602,Bonus_HLookup!$A$1:$E$2,2,FALSE)</f>
        <v>0.04</v>
      </c>
      <c r="Z602">
        <f t="shared" si="97"/>
        <v>110247.3</v>
      </c>
      <c r="AA602" s="1">
        <f t="shared" si="98"/>
        <v>11857.900889050532</v>
      </c>
      <c r="AB602">
        <f t="shared" si="99"/>
        <v>169</v>
      </c>
    </row>
    <row r="603" spans="1:28" x14ac:dyDescent="0.3">
      <c r="A603">
        <v>1602</v>
      </c>
      <c r="B603" t="s">
        <v>321</v>
      </c>
      <c r="C603" t="s">
        <v>30</v>
      </c>
      <c r="D603" t="s">
        <v>50</v>
      </c>
      <c r="E603" t="s">
        <v>146</v>
      </c>
      <c r="F603" t="s">
        <v>74</v>
      </c>
      <c r="G603">
        <v>7</v>
      </c>
      <c r="H603">
        <v>35000</v>
      </c>
      <c r="I603">
        <v>15</v>
      </c>
      <c r="J603">
        <v>404916</v>
      </c>
      <c r="K603">
        <v>11</v>
      </c>
      <c r="L603">
        <v>4</v>
      </c>
      <c r="M603" t="str">
        <f>VLOOKUP(Sales_Data!F603,Product_Master!$A$2:$D$11,2)</f>
        <v>Tablet</v>
      </c>
      <c r="N603" t="str">
        <f>VLOOKUP(F603,Product_Master!$A$2:$C$11,3)</f>
        <v>Electronics</v>
      </c>
      <c r="O603">
        <f>VLOOKUP(F603,Product_Master!$A$2:$D$11,4,FALSE)</f>
        <v>29000</v>
      </c>
      <c r="P603">
        <f t="shared" si="90"/>
        <v>245000</v>
      </c>
      <c r="Q603">
        <f t="shared" si="91"/>
        <v>36750</v>
      </c>
      <c r="R603">
        <f t="shared" si="92"/>
        <v>208250</v>
      </c>
      <c r="S603">
        <f t="shared" si="93"/>
        <v>5250</v>
      </c>
      <c r="T603" t="str">
        <f>_xlfn.CONCAT(Sales_Data!C603,"-",Sales_Data!E603,"-",Sales_Data!A603)</f>
        <v>South-C1017-1602</v>
      </c>
      <c r="U603" t="str">
        <f t="shared" si="94"/>
        <v>High Value</v>
      </c>
      <c r="V603" t="str" cm="1">
        <f t="array" ref="V603">_xlfn.IFS(R603&gt;=100000,"Excellent",R603&gt;=50000,"Good",R603&gt;=20000,"Average",TRUE,"Poor")</f>
        <v>Excellent</v>
      </c>
      <c r="W603">
        <f t="shared" si="95"/>
        <v>2</v>
      </c>
      <c r="X603" t="str">
        <f t="shared" si="96"/>
        <v>May</v>
      </c>
      <c r="Y603">
        <f>HLOOKUP("Q"&amp;W603,Bonus_HLookup!$A$1:$E$2,2,FALSE)</f>
        <v>0.04</v>
      </c>
      <c r="Z603">
        <f t="shared" si="97"/>
        <v>178163.04</v>
      </c>
      <c r="AA603" s="1">
        <f t="shared" si="98"/>
        <v>10465.265633739027</v>
      </c>
      <c r="AB603">
        <f t="shared" si="99"/>
        <v>105</v>
      </c>
    </row>
    <row r="604" spans="1:28" x14ac:dyDescent="0.3">
      <c r="A604">
        <v>1603</v>
      </c>
      <c r="B604" t="s">
        <v>97</v>
      </c>
      <c r="C604" t="s">
        <v>18</v>
      </c>
      <c r="D604" t="s">
        <v>19</v>
      </c>
      <c r="E604" t="s">
        <v>115</v>
      </c>
      <c r="F604" t="s">
        <v>52</v>
      </c>
      <c r="G604">
        <v>9</v>
      </c>
      <c r="H604">
        <v>500</v>
      </c>
      <c r="I604">
        <v>15</v>
      </c>
      <c r="J604">
        <v>260243</v>
      </c>
      <c r="K604">
        <v>10</v>
      </c>
      <c r="L604">
        <v>1</v>
      </c>
      <c r="M604" t="str">
        <f>VLOOKUP(Sales_Data!F604,Product_Master!$A$2:$D$11,2)</f>
        <v>Mouse</v>
      </c>
      <c r="N604" t="str">
        <f>VLOOKUP(F604,Product_Master!$A$2:$C$11,3)</f>
        <v>Accessories</v>
      </c>
      <c r="O604">
        <f>VLOOKUP(F604,Product_Master!$A$2:$D$11,4,FALSE)</f>
        <v>350</v>
      </c>
      <c r="P604">
        <f t="shared" si="90"/>
        <v>4500</v>
      </c>
      <c r="Q604">
        <f t="shared" si="91"/>
        <v>675</v>
      </c>
      <c r="R604">
        <f t="shared" si="92"/>
        <v>3825</v>
      </c>
      <c r="S604">
        <f t="shared" si="93"/>
        <v>675</v>
      </c>
      <c r="T604" t="str">
        <f>_xlfn.CONCAT(Sales_Data!C604,"-",Sales_Data!E604,"-",Sales_Data!A604)</f>
        <v>North-C1026-1603</v>
      </c>
      <c r="U604" t="str">
        <f t="shared" si="94"/>
        <v>Regular</v>
      </c>
      <c r="V604" t="str" cm="1">
        <f t="array" ref="V604">_xlfn.IFS(R604&gt;=100000,"Excellent",R604&gt;=50000,"Good",R604&gt;=20000,"Average",TRUE,"Poor")</f>
        <v>Poor</v>
      </c>
      <c r="W604">
        <f t="shared" si="95"/>
        <v>3</v>
      </c>
      <c r="X604" t="str">
        <f t="shared" si="96"/>
        <v>July</v>
      </c>
      <c r="Y604">
        <f>HLOOKUP("Q"&amp;W604,Bonus_HLookup!$A$1:$E$2,2,FALSE)</f>
        <v>0.06</v>
      </c>
      <c r="Z604">
        <f t="shared" si="97"/>
        <v>26024.3</v>
      </c>
      <c r="AA604" s="1">
        <f t="shared" si="98"/>
        <v>22879.494240399388</v>
      </c>
      <c r="AB604">
        <f t="shared" si="99"/>
        <v>850</v>
      </c>
    </row>
    <row r="605" spans="1:28" x14ac:dyDescent="0.3">
      <c r="A605">
        <v>1604</v>
      </c>
      <c r="B605" t="s">
        <v>104</v>
      </c>
      <c r="C605" t="s">
        <v>62</v>
      </c>
      <c r="D605" t="s">
        <v>46</v>
      </c>
      <c r="E605" t="s">
        <v>41</v>
      </c>
      <c r="F605" t="s">
        <v>42</v>
      </c>
      <c r="G605">
        <v>9</v>
      </c>
      <c r="H605">
        <v>8000</v>
      </c>
      <c r="I605">
        <v>5</v>
      </c>
      <c r="J605">
        <v>107096</v>
      </c>
      <c r="K605">
        <v>12</v>
      </c>
      <c r="L605">
        <v>5</v>
      </c>
      <c r="M605" t="str">
        <f>VLOOKUP(Sales_Data!F605,Product_Master!$A$2:$D$11,2)</f>
        <v>Printer</v>
      </c>
      <c r="N605" t="str">
        <f>VLOOKUP(F605,Product_Master!$A$2:$C$11,3)</f>
        <v>Electronics</v>
      </c>
      <c r="O605">
        <f>VLOOKUP(F605,Product_Master!$A$2:$D$11,4,FALSE)</f>
        <v>6500</v>
      </c>
      <c r="P605">
        <f t="shared" si="90"/>
        <v>72000</v>
      </c>
      <c r="Q605">
        <f t="shared" si="91"/>
        <v>3600</v>
      </c>
      <c r="R605">
        <f t="shared" si="92"/>
        <v>68400</v>
      </c>
      <c r="S605">
        <f t="shared" si="93"/>
        <v>9900</v>
      </c>
      <c r="T605" t="str">
        <f>_xlfn.CONCAT(Sales_Data!C605,"-",Sales_Data!E605,"-",Sales_Data!A605)</f>
        <v>East-C1023-1604</v>
      </c>
      <c r="U605" t="str">
        <f t="shared" si="94"/>
        <v>High Value</v>
      </c>
      <c r="V605" t="str" cm="1">
        <f t="array" ref="V605">_xlfn.IFS(R605&gt;=100000,"Excellent",R605&gt;=50000,"Good",R605&gt;=20000,"Average",TRUE,"Poor")</f>
        <v>Good</v>
      </c>
      <c r="W605">
        <f t="shared" si="95"/>
        <v>1</v>
      </c>
      <c r="X605" t="str">
        <f t="shared" si="96"/>
        <v>February</v>
      </c>
      <c r="Y605">
        <f>HLOOKUP("Q"&amp;W605,Bonus_HLookup!$A$1:$E$2,2,FALSE)</f>
        <v>0.02</v>
      </c>
      <c r="Z605">
        <f t="shared" si="97"/>
        <v>64257.599999999999</v>
      </c>
      <c r="AA605" s="1">
        <f t="shared" si="98"/>
        <v>2382.2913692622401</v>
      </c>
      <c r="AB605">
        <f t="shared" si="99"/>
        <v>224</v>
      </c>
    </row>
    <row r="606" spans="1:28" x14ac:dyDescent="0.3">
      <c r="A606">
        <v>1605</v>
      </c>
      <c r="B606" t="s">
        <v>101</v>
      </c>
      <c r="C606" t="s">
        <v>18</v>
      </c>
      <c r="D606" t="s">
        <v>23</v>
      </c>
      <c r="E606" t="s">
        <v>125</v>
      </c>
      <c r="F606" t="s">
        <v>28</v>
      </c>
      <c r="G606">
        <v>2</v>
      </c>
      <c r="H606">
        <v>950</v>
      </c>
      <c r="I606">
        <v>5</v>
      </c>
      <c r="J606">
        <v>156608</v>
      </c>
      <c r="K606">
        <v>9</v>
      </c>
      <c r="L606">
        <v>2</v>
      </c>
      <c r="M606" t="str">
        <f>VLOOKUP(Sales_Data!F606,Product_Master!$A$2:$D$11,2)</f>
        <v>Webcam</v>
      </c>
      <c r="N606" t="str">
        <f>VLOOKUP(F606,Product_Master!$A$2:$C$11,3)</f>
        <v>Accessories</v>
      </c>
      <c r="O606">
        <f>VLOOKUP(F606,Product_Master!$A$2:$D$11,4,FALSE)</f>
        <v>700</v>
      </c>
      <c r="P606">
        <f t="shared" si="90"/>
        <v>1900</v>
      </c>
      <c r="Q606">
        <f t="shared" si="91"/>
        <v>95</v>
      </c>
      <c r="R606">
        <f t="shared" si="92"/>
        <v>1805</v>
      </c>
      <c r="S606">
        <f t="shared" si="93"/>
        <v>405</v>
      </c>
      <c r="T606" t="str">
        <f>_xlfn.CONCAT(Sales_Data!C606,"-",Sales_Data!E606,"-",Sales_Data!A606)</f>
        <v>North-C1039-1605</v>
      </c>
      <c r="U606" t="str">
        <f t="shared" si="94"/>
        <v>Regular</v>
      </c>
      <c r="V606" t="str" cm="1">
        <f t="array" ref="V606">_xlfn.IFS(R606&gt;=100000,"Excellent",R606&gt;=50000,"Good",R606&gt;=20000,"Average",TRUE,"Poor")</f>
        <v>Poor</v>
      </c>
      <c r="W606">
        <f t="shared" si="95"/>
        <v>4</v>
      </c>
      <c r="X606" t="str">
        <f t="shared" si="96"/>
        <v>October</v>
      </c>
      <c r="Y606">
        <f>HLOOKUP("Q"&amp;W606,Bonus_HLookup!$A$1:$E$2,2,FALSE)</f>
        <v>0.08</v>
      </c>
      <c r="Z606">
        <f t="shared" si="97"/>
        <v>28189.439999999999</v>
      </c>
      <c r="AA606" s="1">
        <f t="shared" si="98"/>
        <v>7154.5961188567398</v>
      </c>
      <c r="AB606">
        <f t="shared" si="99"/>
        <v>939</v>
      </c>
    </row>
    <row r="607" spans="1:28" x14ac:dyDescent="0.3">
      <c r="A607">
        <v>1606</v>
      </c>
      <c r="B607" t="s">
        <v>381</v>
      </c>
      <c r="C607" t="s">
        <v>30</v>
      </c>
      <c r="D607" t="s">
        <v>14</v>
      </c>
      <c r="E607" t="s">
        <v>66</v>
      </c>
      <c r="F607" t="s">
        <v>16</v>
      </c>
      <c r="G607">
        <v>10</v>
      </c>
      <c r="H607">
        <v>2500</v>
      </c>
      <c r="I607">
        <v>5</v>
      </c>
      <c r="J607">
        <v>385988</v>
      </c>
      <c r="K607">
        <v>12</v>
      </c>
      <c r="L607">
        <v>4</v>
      </c>
      <c r="M607" t="str">
        <f>VLOOKUP(Sales_Data!F607,Product_Master!$A$2:$D$11,2)</f>
        <v>Speaker</v>
      </c>
      <c r="N607" t="str">
        <f>VLOOKUP(F607,Product_Master!$A$2:$C$11,3)</f>
        <v>Accessories</v>
      </c>
      <c r="O607">
        <f>VLOOKUP(F607,Product_Master!$A$2:$D$11,4,FALSE)</f>
        <v>1800</v>
      </c>
      <c r="P607">
        <f t="shared" si="90"/>
        <v>25000</v>
      </c>
      <c r="Q607">
        <f t="shared" si="91"/>
        <v>1250</v>
      </c>
      <c r="R607">
        <f t="shared" si="92"/>
        <v>23750</v>
      </c>
      <c r="S607">
        <f t="shared" si="93"/>
        <v>5750</v>
      </c>
      <c r="T607" t="str">
        <f>_xlfn.CONCAT(Sales_Data!C607,"-",Sales_Data!E607,"-",Sales_Data!A607)</f>
        <v>South-C1010-1606</v>
      </c>
      <c r="U607" t="str">
        <f t="shared" si="94"/>
        <v>Regular</v>
      </c>
      <c r="V607" t="str" cm="1">
        <f t="array" ref="V607">_xlfn.IFS(R607&gt;=100000,"Excellent",R607&gt;=50000,"Good",R607&gt;=20000,"Average",TRUE,"Poor")</f>
        <v>Average</v>
      </c>
      <c r="W607">
        <f t="shared" si="95"/>
        <v>4</v>
      </c>
      <c r="X607" t="str">
        <f t="shared" si="96"/>
        <v>December</v>
      </c>
      <c r="Y607">
        <f>HLOOKUP("Q"&amp;W607,Bonus_HLookup!$A$1:$E$2,2,FALSE)</f>
        <v>0.08</v>
      </c>
      <c r="Z607">
        <f t="shared" si="97"/>
        <v>185274.23999999999</v>
      </c>
      <c r="AA607" s="1">
        <f t="shared" si="98"/>
        <v>10164.544470698935</v>
      </c>
      <c r="AB607">
        <f t="shared" si="99"/>
        <v>405</v>
      </c>
    </row>
    <row r="608" spans="1:28" x14ac:dyDescent="0.3">
      <c r="A608">
        <v>1607</v>
      </c>
      <c r="B608" t="s">
        <v>129</v>
      </c>
      <c r="C608" t="s">
        <v>62</v>
      </c>
      <c r="D608" t="s">
        <v>14</v>
      </c>
      <c r="E608" t="s">
        <v>125</v>
      </c>
      <c r="F608" t="s">
        <v>69</v>
      </c>
      <c r="G608">
        <v>4</v>
      </c>
      <c r="H608">
        <v>2000</v>
      </c>
      <c r="I608">
        <v>0</v>
      </c>
      <c r="J608">
        <v>335287</v>
      </c>
      <c r="K608">
        <v>10</v>
      </c>
      <c r="L608">
        <v>2</v>
      </c>
      <c r="M608" t="str">
        <f>VLOOKUP(Sales_Data!F608,Product_Master!$A$2:$D$11,2)</f>
        <v>Headset</v>
      </c>
      <c r="N608" t="str">
        <f>VLOOKUP(F608,Product_Master!$A$2:$C$11,3)</f>
        <v>Accessories</v>
      </c>
      <c r="O608">
        <f>VLOOKUP(F608,Product_Master!$A$2:$D$11,4,FALSE)</f>
        <v>1500</v>
      </c>
      <c r="P608">
        <f t="shared" si="90"/>
        <v>8000</v>
      </c>
      <c r="Q608">
        <f t="shared" si="91"/>
        <v>0</v>
      </c>
      <c r="R608">
        <f t="shared" si="92"/>
        <v>8000</v>
      </c>
      <c r="S608">
        <f t="shared" si="93"/>
        <v>2000</v>
      </c>
      <c r="T608" t="str">
        <f>_xlfn.CONCAT(Sales_Data!C608,"-",Sales_Data!E608,"-",Sales_Data!A608)</f>
        <v>East-C1039-1607</v>
      </c>
      <c r="U608" t="str">
        <f t="shared" si="94"/>
        <v>Regular</v>
      </c>
      <c r="V608" t="str" cm="1">
        <f t="array" ref="V608">_xlfn.IFS(R608&gt;=100000,"Excellent",R608&gt;=50000,"Good",R608&gt;=20000,"Average",TRUE,"Poor")</f>
        <v>Poor</v>
      </c>
      <c r="W608">
        <f t="shared" si="95"/>
        <v>1</v>
      </c>
      <c r="X608" t="str">
        <f t="shared" si="96"/>
        <v>March</v>
      </c>
      <c r="Y608">
        <f>HLOOKUP("Q"&amp;W608,Bonus_HLookup!$A$1:$E$2,2,FALSE)</f>
        <v>0.02</v>
      </c>
      <c r="Z608">
        <f t="shared" si="97"/>
        <v>67057.399999999994</v>
      </c>
      <c r="AA608" s="1">
        <f t="shared" si="98"/>
        <v>15471.793916926896</v>
      </c>
      <c r="AB608">
        <f t="shared" si="99"/>
        <v>687</v>
      </c>
    </row>
    <row r="609" spans="1:28" x14ac:dyDescent="0.3">
      <c r="A609">
        <v>1608</v>
      </c>
      <c r="B609" t="s">
        <v>382</v>
      </c>
      <c r="C609" t="s">
        <v>62</v>
      </c>
      <c r="D609" t="s">
        <v>59</v>
      </c>
      <c r="E609" t="s">
        <v>174</v>
      </c>
      <c r="F609" t="s">
        <v>69</v>
      </c>
      <c r="G609">
        <v>7</v>
      </c>
      <c r="H609">
        <v>2000</v>
      </c>
      <c r="I609">
        <v>10</v>
      </c>
      <c r="J609">
        <v>463772</v>
      </c>
      <c r="K609">
        <v>12</v>
      </c>
      <c r="L609">
        <v>2</v>
      </c>
      <c r="M609" t="str">
        <f>VLOOKUP(Sales_Data!F609,Product_Master!$A$2:$D$11,2)</f>
        <v>Headset</v>
      </c>
      <c r="N609" t="str">
        <f>VLOOKUP(F609,Product_Master!$A$2:$C$11,3)</f>
        <v>Accessories</v>
      </c>
      <c r="O609">
        <f>VLOOKUP(F609,Product_Master!$A$2:$D$11,4,FALSE)</f>
        <v>1500</v>
      </c>
      <c r="P609">
        <f t="shared" si="90"/>
        <v>14000</v>
      </c>
      <c r="Q609">
        <f t="shared" si="91"/>
        <v>1400</v>
      </c>
      <c r="R609">
        <f t="shared" si="92"/>
        <v>12600</v>
      </c>
      <c r="S609">
        <f t="shared" si="93"/>
        <v>2100</v>
      </c>
      <c r="T609" t="str">
        <f>_xlfn.CONCAT(Sales_Data!C609,"-",Sales_Data!E609,"-",Sales_Data!A609)</f>
        <v>East-C1044-1608</v>
      </c>
      <c r="U609" t="str">
        <f t="shared" si="94"/>
        <v>Regular</v>
      </c>
      <c r="V609" t="str" cm="1">
        <f t="array" ref="V609">_xlfn.IFS(R609&gt;=100000,"Excellent",R609&gt;=50000,"Good",R609&gt;=20000,"Average",TRUE,"Poor")</f>
        <v>Poor</v>
      </c>
      <c r="W609">
        <f t="shared" si="95"/>
        <v>3</v>
      </c>
      <c r="X609" t="str">
        <f t="shared" si="96"/>
        <v>August</v>
      </c>
      <c r="Y609">
        <f>HLOOKUP("Q"&amp;W609,Bonus_HLookup!$A$1:$E$2,2,FALSE)</f>
        <v>0.06</v>
      </c>
      <c r="Z609">
        <f t="shared" si="97"/>
        <v>111305.28</v>
      </c>
      <c r="AA609" s="1">
        <f t="shared" si="98"/>
        <v>21831.358359927919</v>
      </c>
      <c r="AB609">
        <f t="shared" si="99"/>
        <v>575</v>
      </c>
    </row>
    <row r="610" spans="1:28" x14ac:dyDescent="0.3">
      <c r="A610">
        <v>1609</v>
      </c>
      <c r="B610" t="s">
        <v>354</v>
      </c>
      <c r="C610" t="s">
        <v>13</v>
      </c>
      <c r="D610" t="s">
        <v>91</v>
      </c>
      <c r="E610" t="s">
        <v>38</v>
      </c>
      <c r="F610" t="s">
        <v>74</v>
      </c>
      <c r="G610">
        <v>9</v>
      </c>
      <c r="H610">
        <v>35000</v>
      </c>
      <c r="I610">
        <v>2</v>
      </c>
      <c r="J610">
        <v>225943</v>
      </c>
      <c r="K610">
        <v>8</v>
      </c>
      <c r="L610">
        <v>5</v>
      </c>
      <c r="M610" t="str">
        <f>VLOOKUP(Sales_Data!F610,Product_Master!$A$2:$D$11,2)</f>
        <v>Tablet</v>
      </c>
      <c r="N610" t="str">
        <f>VLOOKUP(F610,Product_Master!$A$2:$C$11,3)</f>
        <v>Electronics</v>
      </c>
      <c r="O610">
        <f>VLOOKUP(F610,Product_Master!$A$2:$D$11,4,FALSE)</f>
        <v>29000</v>
      </c>
      <c r="P610">
        <f t="shared" si="90"/>
        <v>315000</v>
      </c>
      <c r="Q610">
        <f t="shared" si="91"/>
        <v>6300</v>
      </c>
      <c r="R610">
        <f t="shared" si="92"/>
        <v>308700</v>
      </c>
      <c r="S610">
        <f t="shared" si="93"/>
        <v>47700</v>
      </c>
      <c r="T610" t="str">
        <f>_xlfn.CONCAT(Sales_Data!C610,"-",Sales_Data!E610,"-",Sales_Data!A610)</f>
        <v>West-C1009-1609</v>
      </c>
      <c r="U610" t="str">
        <f t="shared" si="94"/>
        <v>High Value</v>
      </c>
      <c r="V610" t="str" cm="1">
        <f t="array" ref="V610">_xlfn.IFS(R610&gt;=100000,"Excellent",R610&gt;=50000,"Good",R610&gt;=20000,"Average",TRUE,"Poor")</f>
        <v>Excellent</v>
      </c>
      <c r="W610">
        <f t="shared" si="95"/>
        <v>2</v>
      </c>
      <c r="X610" t="str">
        <f t="shared" si="96"/>
        <v>June</v>
      </c>
      <c r="Y610">
        <f>HLOOKUP("Q"&amp;W610,Bonus_HLookup!$A$1:$E$2,2,FALSE)</f>
        <v>0.04</v>
      </c>
      <c r="Z610">
        <f t="shared" si="97"/>
        <v>90377.2</v>
      </c>
      <c r="AA610" s="1">
        <f t="shared" si="98"/>
        <v>4581.3093547070521</v>
      </c>
      <c r="AB610">
        <f t="shared" si="99"/>
        <v>50</v>
      </c>
    </row>
    <row r="611" spans="1:28" x14ac:dyDescent="0.3">
      <c r="A611">
        <v>1610</v>
      </c>
      <c r="B611" t="s">
        <v>351</v>
      </c>
      <c r="C611" t="s">
        <v>30</v>
      </c>
      <c r="D611" t="s">
        <v>46</v>
      </c>
      <c r="E611" t="s">
        <v>73</v>
      </c>
      <c r="F611" t="s">
        <v>16</v>
      </c>
      <c r="G611">
        <v>1</v>
      </c>
      <c r="H611">
        <v>2500</v>
      </c>
      <c r="I611">
        <v>2</v>
      </c>
      <c r="J611">
        <v>407056</v>
      </c>
      <c r="K611">
        <v>9</v>
      </c>
      <c r="L611">
        <v>3</v>
      </c>
      <c r="M611" t="str">
        <f>VLOOKUP(Sales_Data!F611,Product_Master!$A$2:$D$11,2)</f>
        <v>Speaker</v>
      </c>
      <c r="N611" t="str">
        <f>VLOOKUP(F611,Product_Master!$A$2:$C$11,3)</f>
        <v>Accessories</v>
      </c>
      <c r="O611">
        <f>VLOOKUP(F611,Product_Master!$A$2:$D$11,4,FALSE)</f>
        <v>1800</v>
      </c>
      <c r="P611">
        <f t="shared" si="90"/>
        <v>2500</v>
      </c>
      <c r="Q611">
        <f t="shared" si="91"/>
        <v>50</v>
      </c>
      <c r="R611">
        <f t="shared" si="92"/>
        <v>2450</v>
      </c>
      <c r="S611">
        <f t="shared" si="93"/>
        <v>650</v>
      </c>
      <c r="T611" t="str">
        <f>_xlfn.CONCAT(Sales_Data!C611,"-",Sales_Data!E611,"-",Sales_Data!A611)</f>
        <v>South-C1014-1610</v>
      </c>
      <c r="U611" t="str">
        <f t="shared" si="94"/>
        <v>Regular</v>
      </c>
      <c r="V611" t="str" cm="1">
        <f t="array" ref="V611">_xlfn.IFS(R611&gt;=100000,"Excellent",R611&gt;=50000,"Good",R611&gt;=20000,"Average",TRUE,"Poor")</f>
        <v>Poor</v>
      </c>
      <c r="W611">
        <f t="shared" si="95"/>
        <v>3</v>
      </c>
      <c r="X611" t="str">
        <f t="shared" si="96"/>
        <v>July</v>
      </c>
      <c r="Y611">
        <f>HLOOKUP("Q"&amp;W611,Bonus_HLookup!$A$1:$E$2,2,FALSE)</f>
        <v>0.06</v>
      </c>
      <c r="Z611">
        <f t="shared" si="97"/>
        <v>109905.12</v>
      </c>
      <c r="AA611" s="1">
        <f t="shared" si="98"/>
        <v>12944.271977624816</v>
      </c>
      <c r="AB611">
        <f t="shared" si="99"/>
        <v>908</v>
      </c>
    </row>
    <row r="612" spans="1:28" x14ac:dyDescent="0.3">
      <c r="A612">
        <v>1611</v>
      </c>
      <c r="B612" t="s">
        <v>268</v>
      </c>
      <c r="C612" t="s">
        <v>30</v>
      </c>
      <c r="D612" t="s">
        <v>59</v>
      </c>
      <c r="E612" t="s">
        <v>140</v>
      </c>
      <c r="F612" t="s">
        <v>42</v>
      </c>
      <c r="G612">
        <v>1</v>
      </c>
      <c r="H612">
        <v>8000</v>
      </c>
      <c r="I612">
        <v>8</v>
      </c>
      <c r="J612">
        <v>437511</v>
      </c>
      <c r="K612">
        <v>11</v>
      </c>
      <c r="L612">
        <v>3</v>
      </c>
      <c r="M612" t="str">
        <f>VLOOKUP(Sales_Data!F612,Product_Master!$A$2:$D$11,2)</f>
        <v>Printer</v>
      </c>
      <c r="N612" t="str">
        <f>VLOOKUP(F612,Product_Master!$A$2:$C$11,3)</f>
        <v>Electronics</v>
      </c>
      <c r="O612">
        <f>VLOOKUP(F612,Product_Master!$A$2:$D$11,4,FALSE)</f>
        <v>6500</v>
      </c>
      <c r="P612">
        <f t="shared" si="90"/>
        <v>8000</v>
      </c>
      <c r="Q612">
        <f t="shared" si="91"/>
        <v>640</v>
      </c>
      <c r="R612">
        <f t="shared" si="92"/>
        <v>7360</v>
      </c>
      <c r="S612">
        <f t="shared" si="93"/>
        <v>860</v>
      </c>
      <c r="T612" t="str">
        <f>_xlfn.CONCAT(Sales_Data!C612,"-",Sales_Data!E612,"-",Sales_Data!A612)</f>
        <v>South-C1011-1611</v>
      </c>
      <c r="U612" t="str">
        <f t="shared" si="94"/>
        <v>Regular</v>
      </c>
      <c r="V612" t="str" cm="1">
        <f t="array" ref="V612">_xlfn.IFS(R612&gt;=100000,"Excellent",R612&gt;=50000,"Good",R612&gt;=20000,"Average",TRUE,"Poor")</f>
        <v>Poor</v>
      </c>
      <c r="W612">
        <f t="shared" si="95"/>
        <v>3</v>
      </c>
      <c r="X612" t="str">
        <f t="shared" si="96"/>
        <v>September</v>
      </c>
      <c r="Y612">
        <f>HLOOKUP("Q"&amp;W612,Bonus_HLookup!$A$1:$E$2,2,FALSE)</f>
        <v>0.06</v>
      </c>
      <c r="Z612">
        <f t="shared" si="97"/>
        <v>144378.63</v>
      </c>
      <c r="AA612" s="1">
        <f t="shared" si="98"/>
        <v>14323.54886457668</v>
      </c>
      <c r="AB612">
        <f t="shared" si="99"/>
        <v>709</v>
      </c>
    </row>
    <row r="613" spans="1:28" x14ac:dyDescent="0.3">
      <c r="A613">
        <v>1612</v>
      </c>
      <c r="B613" t="s">
        <v>221</v>
      </c>
      <c r="C613" t="s">
        <v>13</v>
      </c>
      <c r="D613" t="s">
        <v>50</v>
      </c>
      <c r="E613" t="s">
        <v>131</v>
      </c>
      <c r="F613" t="s">
        <v>28</v>
      </c>
      <c r="G613">
        <v>4</v>
      </c>
      <c r="H613">
        <v>950</v>
      </c>
      <c r="I613">
        <v>5</v>
      </c>
      <c r="J613">
        <v>177005</v>
      </c>
      <c r="K613">
        <v>7</v>
      </c>
      <c r="L613">
        <v>4</v>
      </c>
      <c r="M613" t="str">
        <f>VLOOKUP(Sales_Data!F613,Product_Master!$A$2:$D$11,2)</f>
        <v>Webcam</v>
      </c>
      <c r="N613" t="str">
        <f>VLOOKUP(F613,Product_Master!$A$2:$C$11,3)</f>
        <v>Accessories</v>
      </c>
      <c r="O613">
        <f>VLOOKUP(F613,Product_Master!$A$2:$D$11,4,FALSE)</f>
        <v>700</v>
      </c>
      <c r="P613">
        <f t="shared" si="90"/>
        <v>3800</v>
      </c>
      <c r="Q613">
        <f t="shared" si="91"/>
        <v>190</v>
      </c>
      <c r="R613">
        <f t="shared" si="92"/>
        <v>3610</v>
      </c>
      <c r="S613">
        <f t="shared" si="93"/>
        <v>810</v>
      </c>
      <c r="T613" t="str">
        <f>_xlfn.CONCAT(Sales_Data!C613,"-",Sales_Data!E613,"-",Sales_Data!A613)</f>
        <v>West-C1047-1612</v>
      </c>
      <c r="U613" t="str">
        <f t="shared" si="94"/>
        <v>Regular</v>
      </c>
      <c r="V613" t="str" cm="1">
        <f t="array" ref="V613">_xlfn.IFS(R613&gt;=100000,"Excellent",R613&gt;=50000,"Good",R613&gt;=20000,"Average",TRUE,"Poor")</f>
        <v>Poor</v>
      </c>
      <c r="W613">
        <f t="shared" si="95"/>
        <v>3</v>
      </c>
      <c r="X613" t="str">
        <f t="shared" si="96"/>
        <v>August</v>
      </c>
      <c r="Y613">
        <f>HLOOKUP("Q"&amp;W613,Bonus_HLookup!$A$1:$E$2,2,FALSE)</f>
        <v>0.06</v>
      </c>
      <c r="Z613">
        <f t="shared" si="97"/>
        <v>49561.4</v>
      </c>
      <c r="AA613" s="1">
        <f t="shared" si="98"/>
        <v>4238.6050364757075</v>
      </c>
      <c r="AB613">
        <f t="shared" si="99"/>
        <v>859</v>
      </c>
    </row>
    <row r="614" spans="1:28" x14ac:dyDescent="0.3">
      <c r="A614">
        <v>1613</v>
      </c>
      <c r="B614" t="s">
        <v>319</v>
      </c>
      <c r="C614" t="s">
        <v>18</v>
      </c>
      <c r="D614" t="s">
        <v>46</v>
      </c>
      <c r="E614" t="s">
        <v>174</v>
      </c>
      <c r="F614" t="s">
        <v>42</v>
      </c>
      <c r="G614">
        <v>10</v>
      </c>
      <c r="H614">
        <v>8000</v>
      </c>
      <c r="I614">
        <v>12</v>
      </c>
      <c r="J614">
        <v>116888</v>
      </c>
      <c r="K614">
        <v>8</v>
      </c>
      <c r="L614">
        <v>1</v>
      </c>
      <c r="M614" t="str">
        <f>VLOOKUP(Sales_Data!F614,Product_Master!$A$2:$D$11,2)</f>
        <v>Printer</v>
      </c>
      <c r="N614" t="str">
        <f>VLOOKUP(F614,Product_Master!$A$2:$C$11,3)</f>
        <v>Electronics</v>
      </c>
      <c r="O614">
        <f>VLOOKUP(F614,Product_Master!$A$2:$D$11,4,FALSE)</f>
        <v>6500</v>
      </c>
      <c r="P614">
        <f t="shared" si="90"/>
        <v>80000</v>
      </c>
      <c r="Q614">
        <f t="shared" si="91"/>
        <v>9600</v>
      </c>
      <c r="R614">
        <f t="shared" si="92"/>
        <v>70400</v>
      </c>
      <c r="S614">
        <f t="shared" si="93"/>
        <v>5400</v>
      </c>
      <c r="T614" t="str">
        <f>_xlfn.CONCAT(Sales_Data!C614,"-",Sales_Data!E614,"-",Sales_Data!A614)</f>
        <v>North-C1044-1613</v>
      </c>
      <c r="U614" t="str">
        <f t="shared" si="94"/>
        <v>High Value</v>
      </c>
      <c r="V614" t="str" cm="1">
        <f t="array" ref="V614">_xlfn.IFS(R614&gt;=100000,"Excellent",R614&gt;=50000,"Good",R614&gt;=20000,"Average",TRUE,"Poor")</f>
        <v>Good</v>
      </c>
      <c r="W614">
        <f t="shared" si="95"/>
        <v>2</v>
      </c>
      <c r="X614" t="str">
        <f t="shared" si="96"/>
        <v>April</v>
      </c>
      <c r="Y614">
        <f>HLOOKUP("Q"&amp;W614,Bonus_HLookup!$A$1:$E$2,2,FALSE)</f>
        <v>0.04</v>
      </c>
      <c r="Z614">
        <f t="shared" si="97"/>
        <v>9351.0400000000009</v>
      </c>
      <c r="AA614" s="1">
        <f t="shared" si="98"/>
        <v>10167.903498936697</v>
      </c>
      <c r="AB614">
        <f t="shared" si="99"/>
        <v>218</v>
      </c>
    </row>
    <row r="615" spans="1:28" x14ac:dyDescent="0.3">
      <c r="A615">
        <v>1614</v>
      </c>
      <c r="B615" t="s">
        <v>296</v>
      </c>
      <c r="C615" t="s">
        <v>13</v>
      </c>
      <c r="D615" t="s">
        <v>59</v>
      </c>
      <c r="E615" t="s">
        <v>63</v>
      </c>
      <c r="F615" t="s">
        <v>36</v>
      </c>
      <c r="G615">
        <v>5</v>
      </c>
      <c r="H615">
        <v>55000</v>
      </c>
      <c r="I615">
        <v>8</v>
      </c>
      <c r="J615">
        <v>141728</v>
      </c>
      <c r="K615">
        <v>7</v>
      </c>
      <c r="L615">
        <v>5</v>
      </c>
      <c r="M615" t="str">
        <f>VLOOKUP(Sales_Data!F615,Product_Master!$A$2:$D$11,2)</f>
        <v>Laptop</v>
      </c>
      <c r="N615" t="str">
        <f>VLOOKUP(F615,Product_Master!$A$2:$C$11,3)</f>
        <v>Electronics</v>
      </c>
      <c r="O615">
        <f>VLOOKUP(F615,Product_Master!$A$2:$D$11,4,FALSE)</f>
        <v>45000</v>
      </c>
      <c r="P615">
        <f t="shared" si="90"/>
        <v>275000</v>
      </c>
      <c r="Q615">
        <f t="shared" si="91"/>
        <v>22000</v>
      </c>
      <c r="R615">
        <f t="shared" si="92"/>
        <v>253000</v>
      </c>
      <c r="S615">
        <f t="shared" si="93"/>
        <v>28000</v>
      </c>
      <c r="T615" t="str">
        <f>_xlfn.CONCAT(Sales_Data!C615,"-",Sales_Data!E615,"-",Sales_Data!A615)</f>
        <v>West-C1035-1614</v>
      </c>
      <c r="U615" t="str">
        <f t="shared" si="94"/>
        <v>High Value</v>
      </c>
      <c r="V615" t="str" cm="1">
        <f t="array" ref="V615">_xlfn.IFS(R615&gt;=100000,"Excellent",R615&gt;=50000,"Good",R615&gt;=20000,"Average",TRUE,"Poor")</f>
        <v>Excellent</v>
      </c>
      <c r="W615">
        <f t="shared" si="95"/>
        <v>2</v>
      </c>
      <c r="X615" t="str">
        <f t="shared" si="96"/>
        <v>May</v>
      </c>
      <c r="Y615">
        <f>HLOOKUP("Q"&amp;W615,Bonus_HLookup!$A$1:$E$2,2,FALSE)</f>
        <v>0.04</v>
      </c>
      <c r="Z615">
        <f t="shared" si="97"/>
        <v>49604.800000000003</v>
      </c>
      <c r="AA615" s="1">
        <f t="shared" si="98"/>
        <v>2806.384266726659</v>
      </c>
      <c r="AB615">
        <f t="shared" si="99"/>
        <v>74</v>
      </c>
    </row>
    <row r="616" spans="1:28" x14ac:dyDescent="0.3">
      <c r="A616">
        <v>1615</v>
      </c>
      <c r="B616" t="s">
        <v>279</v>
      </c>
      <c r="C616" t="s">
        <v>13</v>
      </c>
      <c r="D616" t="s">
        <v>46</v>
      </c>
      <c r="E616" t="s">
        <v>169</v>
      </c>
      <c r="F616" t="s">
        <v>74</v>
      </c>
      <c r="G616">
        <v>4</v>
      </c>
      <c r="H616">
        <v>35000</v>
      </c>
      <c r="I616">
        <v>0</v>
      </c>
      <c r="J616">
        <v>417111</v>
      </c>
      <c r="K616">
        <v>11</v>
      </c>
      <c r="L616">
        <v>5</v>
      </c>
      <c r="M616" t="str">
        <f>VLOOKUP(Sales_Data!F616,Product_Master!$A$2:$D$11,2)</f>
        <v>Tablet</v>
      </c>
      <c r="N616" t="str">
        <f>VLOOKUP(F616,Product_Master!$A$2:$C$11,3)</f>
        <v>Electronics</v>
      </c>
      <c r="O616">
        <f>VLOOKUP(F616,Product_Master!$A$2:$D$11,4,FALSE)</f>
        <v>29000</v>
      </c>
      <c r="P616">
        <f t="shared" si="90"/>
        <v>140000</v>
      </c>
      <c r="Q616">
        <f t="shared" si="91"/>
        <v>0</v>
      </c>
      <c r="R616">
        <f t="shared" si="92"/>
        <v>140000</v>
      </c>
      <c r="S616">
        <f t="shared" si="93"/>
        <v>24000</v>
      </c>
      <c r="T616" t="str">
        <f>_xlfn.CONCAT(Sales_Data!C616,"-",Sales_Data!E616,"-",Sales_Data!A616)</f>
        <v>West-C1038-1615</v>
      </c>
      <c r="U616" t="str">
        <f t="shared" si="94"/>
        <v>High Value</v>
      </c>
      <c r="V616" t="str" cm="1">
        <f t="array" ref="V616">_xlfn.IFS(R616&gt;=100000,"Excellent",R616&gt;=50000,"Good",R616&gt;=20000,"Average",TRUE,"Poor")</f>
        <v>Excellent</v>
      </c>
      <c r="W616">
        <f t="shared" si="95"/>
        <v>1</v>
      </c>
      <c r="X616" t="str">
        <f t="shared" si="96"/>
        <v>March</v>
      </c>
      <c r="Y616">
        <f>HLOOKUP("Q"&amp;W616,Bonus_HLookup!$A$1:$E$2,2,FALSE)</f>
        <v>0.02</v>
      </c>
      <c r="Z616">
        <f t="shared" si="97"/>
        <v>229411.05</v>
      </c>
      <c r="AA616" s="1">
        <f t="shared" si="98"/>
        <v>9069.003830253323</v>
      </c>
      <c r="AB616">
        <f t="shared" si="99"/>
        <v>137</v>
      </c>
    </row>
    <row r="617" spans="1:28" x14ac:dyDescent="0.3">
      <c r="A617">
        <v>1616</v>
      </c>
      <c r="B617" t="s">
        <v>306</v>
      </c>
      <c r="C617" t="s">
        <v>18</v>
      </c>
      <c r="D617" t="s">
        <v>23</v>
      </c>
      <c r="E617" t="s">
        <v>108</v>
      </c>
      <c r="F617" t="s">
        <v>16</v>
      </c>
      <c r="G617">
        <v>3</v>
      </c>
      <c r="H617">
        <v>2500</v>
      </c>
      <c r="I617">
        <v>15</v>
      </c>
      <c r="J617">
        <v>270155</v>
      </c>
      <c r="K617">
        <v>9</v>
      </c>
      <c r="L617">
        <v>1</v>
      </c>
      <c r="M617" t="str">
        <f>VLOOKUP(Sales_Data!F617,Product_Master!$A$2:$D$11,2)</f>
        <v>Speaker</v>
      </c>
      <c r="N617" t="str">
        <f>VLOOKUP(F617,Product_Master!$A$2:$C$11,3)</f>
        <v>Accessories</v>
      </c>
      <c r="O617">
        <f>VLOOKUP(F617,Product_Master!$A$2:$D$11,4,FALSE)</f>
        <v>1800</v>
      </c>
      <c r="P617">
        <f t="shared" si="90"/>
        <v>7500</v>
      </c>
      <c r="Q617">
        <f t="shared" si="91"/>
        <v>1125</v>
      </c>
      <c r="R617">
        <f t="shared" si="92"/>
        <v>6375</v>
      </c>
      <c r="S617">
        <f t="shared" si="93"/>
        <v>975</v>
      </c>
      <c r="T617" t="str">
        <f>_xlfn.CONCAT(Sales_Data!C617,"-",Sales_Data!E617,"-",Sales_Data!A617)</f>
        <v>North-C1031-1616</v>
      </c>
      <c r="U617" t="str">
        <f t="shared" si="94"/>
        <v>Regular</v>
      </c>
      <c r="V617" t="str" cm="1">
        <f t="array" ref="V617">_xlfn.IFS(R617&gt;=100000,"Excellent",R617&gt;=50000,"Good",R617&gt;=20000,"Average",TRUE,"Poor")</f>
        <v>Poor</v>
      </c>
      <c r="W617">
        <f t="shared" si="95"/>
        <v>2</v>
      </c>
      <c r="X617" t="str">
        <f t="shared" si="96"/>
        <v>June</v>
      </c>
      <c r="Y617">
        <f>HLOOKUP("Q"&amp;W617,Bonus_HLookup!$A$1:$E$2,2,FALSE)</f>
        <v>0.04</v>
      </c>
      <c r="Z617">
        <f t="shared" si="97"/>
        <v>24313.95</v>
      </c>
      <c r="AA617" s="1">
        <f t="shared" si="98"/>
        <v>23625.45370677812</v>
      </c>
      <c r="AB617">
        <f t="shared" si="99"/>
        <v>748</v>
      </c>
    </row>
    <row r="618" spans="1:28" x14ac:dyDescent="0.3">
      <c r="A618">
        <v>1617</v>
      </c>
      <c r="B618" t="s">
        <v>383</v>
      </c>
      <c r="C618" t="s">
        <v>30</v>
      </c>
      <c r="D618" t="s">
        <v>50</v>
      </c>
      <c r="E618" t="s">
        <v>115</v>
      </c>
      <c r="F618" t="s">
        <v>74</v>
      </c>
      <c r="G618">
        <v>7</v>
      </c>
      <c r="H618">
        <v>35000</v>
      </c>
      <c r="I618">
        <v>5</v>
      </c>
      <c r="J618">
        <v>299367</v>
      </c>
      <c r="K618">
        <v>9</v>
      </c>
      <c r="L618">
        <v>5</v>
      </c>
      <c r="M618" t="str">
        <f>VLOOKUP(Sales_Data!F618,Product_Master!$A$2:$D$11,2)</f>
        <v>Tablet</v>
      </c>
      <c r="N618" t="str">
        <f>VLOOKUP(F618,Product_Master!$A$2:$C$11,3)</f>
        <v>Electronics</v>
      </c>
      <c r="O618">
        <f>VLOOKUP(F618,Product_Master!$A$2:$D$11,4,FALSE)</f>
        <v>29000</v>
      </c>
      <c r="P618">
        <f t="shared" si="90"/>
        <v>245000</v>
      </c>
      <c r="Q618">
        <f t="shared" si="91"/>
        <v>12250</v>
      </c>
      <c r="R618">
        <f t="shared" si="92"/>
        <v>232750</v>
      </c>
      <c r="S618">
        <f t="shared" si="93"/>
        <v>29750</v>
      </c>
      <c r="T618" t="str">
        <f>_xlfn.CONCAT(Sales_Data!C618,"-",Sales_Data!E618,"-",Sales_Data!A618)</f>
        <v>South-C1026-1617</v>
      </c>
      <c r="U618" t="str">
        <f t="shared" si="94"/>
        <v>High Value</v>
      </c>
      <c r="V618" t="str" cm="1">
        <f t="array" ref="V618">_xlfn.IFS(R618&gt;=100000,"Excellent",R618&gt;=50000,"Good",R618&gt;=20000,"Average",TRUE,"Poor")</f>
        <v>Excellent</v>
      </c>
      <c r="W618">
        <f t="shared" si="95"/>
        <v>2</v>
      </c>
      <c r="X618" t="str">
        <f t="shared" si="96"/>
        <v>June</v>
      </c>
      <c r="Y618">
        <f>HLOOKUP("Q"&amp;W618,Bonus_HLookup!$A$1:$E$2,2,FALSE)</f>
        <v>0.04</v>
      </c>
      <c r="Z618">
        <f t="shared" si="97"/>
        <v>134715.15</v>
      </c>
      <c r="AA618" s="1">
        <f t="shared" si="98"/>
        <v>6214.3665290479203</v>
      </c>
      <c r="AB618">
        <f t="shared" si="99"/>
        <v>91</v>
      </c>
    </row>
    <row r="619" spans="1:28" x14ac:dyDescent="0.3">
      <c r="A619">
        <v>1618</v>
      </c>
      <c r="B619" t="s">
        <v>321</v>
      </c>
      <c r="C619" t="s">
        <v>18</v>
      </c>
      <c r="D619" t="s">
        <v>19</v>
      </c>
      <c r="E619" t="s">
        <v>68</v>
      </c>
      <c r="F619" t="s">
        <v>69</v>
      </c>
      <c r="G619">
        <v>9</v>
      </c>
      <c r="H619">
        <v>2000</v>
      </c>
      <c r="I619">
        <v>8</v>
      </c>
      <c r="J619">
        <v>132019</v>
      </c>
      <c r="K619">
        <v>9</v>
      </c>
      <c r="L619">
        <v>2</v>
      </c>
      <c r="M619" t="str">
        <f>VLOOKUP(Sales_Data!F619,Product_Master!$A$2:$D$11,2)</f>
        <v>Headset</v>
      </c>
      <c r="N619" t="str">
        <f>VLOOKUP(F619,Product_Master!$A$2:$C$11,3)</f>
        <v>Accessories</v>
      </c>
      <c r="O619">
        <f>VLOOKUP(F619,Product_Master!$A$2:$D$11,4,FALSE)</f>
        <v>1500</v>
      </c>
      <c r="P619">
        <f t="shared" si="90"/>
        <v>18000</v>
      </c>
      <c r="Q619">
        <f t="shared" si="91"/>
        <v>1440</v>
      </c>
      <c r="R619">
        <f t="shared" si="92"/>
        <v>16560</v>
      </c>
      <c r="S619">
        <f t="shared" si="93"/>
        <v>3060</v>
      </c>
      <c r="T619" t="str">
        <f>_xlfn.CONCAT(Sales_Data!C619,"-",Sales_Data!E619,"-",Sales_Data!A619)</f>
        <v>North-C1043-1618</v>
      </c>
      <c r="U619" t="str">
        <f t="shared" si="94"/>
        <v>Regular</v>
      </c>
      <c r="V619" t="str" cm="1">
        <f t="array" ref="V619">_xlfn.IFS(R619&gt;=100000,"Excellent",R619&gt;=50000,"Good",R619&gt;=20000,"Average",TRUE,"Poor")</f>
        <v>Poor</v>
      </c>
      <c r="W619">
        <f t="shared" si="95"/>
        <v>2</v>
      </c>
      <c r="X619" t="str">
        <f t="shared" si="96"/>
        <v>May</v>
      </c>
      <c r="Y619">
        <f>HLOOKUP("Q"&amp;W619,Bonus_HLookup!$A$1:$E$2,2,FALSE)</f>
        <v>0.04</v>
      </c>
      <c r="Z619">
        <f t="shared" si="97"/>
        <v>23763.42</v>
      </c>
      <c r="AA619" s="1">
        <f t="shared" si="98"/>
        <v>6031.2539909541529</v>
      </c>
      <c r="AB619">
        <f t="shared" si="99"/>
        <v>508</v>
      </c>
    </row>
    <row r="620" spans="1:28" x14ac:dyDescent="0.3">
      <c r="A620">
        <v>1619</v>
      </c>
      <c r="B620" t="s">
        <v>307</v>
      </c>
      <c r="C620" t="s">
        <v>13</v>
      </c>
      <c r="D620" t="s">
        <v>14</v>
      </c>
      <c r="E620" t="s">
        <v>73</v>
      </c>
      <c r="F620" t="s">
        <v>74</v>
      </c>
      <c r="G620">
        <v>1</v>
      </c>
      <c r="H620">
        <v>35000</v>
      </c>
      <c r="I620">
        <v>15</v>
      </c>
      <c r="J620">
        <v>499222</v>
      </c>
      <c r="K620">
        <v>11</v>
      </c>
      <c r="L620">
        <v>4</v>
      </c>
      <c r="M620" t="str">
        <f>VLOOKUP(Sales_Data!F620,Product_Master!$A$2:$D$11,2)</f>
        <v>Tablet</v>
      </c>
      <c r="N620" t="str">
        <f>VLOOKUP(F620,Product_Master!$A$2:$C$11,3)</f>
        <v>Electronics</v>
      </c>
      <c r="O620">
        <f>VLOOKUP(F620,Product_Master!$A$2:$D$11,4,FALSE)</f>
        <v>29000</v>
      </c>
      <c r="P620">
        <f t="shared" si="90"/>
        <v>35000</v>
      </c>
      <c r="Q620">
        <f t="shared" si="91"/>
        <v>5250</v>
      </c>
      <c r="R620">
        <f t="shared" si="92"/>
        <v>29750</v>
      </c>
      <c r="S620">
        <f t="shared" si="93"/>
        <v>750</v>
      </c>
      <c r="T620" t="str">
        <f>_xlfn.CONCAT(Sales_Data!C620,"-",Sales_Data!E620,"-",Sales_Data!A620)</f>
        <v>West-C1014-1619</v>
      </c>
      <c r="U620" t="str">
        <f t="shared" si="94"/>
        <v>Regular</v>
      </c>
      <c r="V620" t="str" cm="1">
        <f t="array" ref="V620">_xlfn.IFS(R620&gt;=100000,"Excellent",R620&gt;=50000,"Good",R620&gt;=20000,"Average",TRUE,"Poor")</f>
        <v>Average</v>
      </c>
      <c r="W620">
        <f t="shared" si="95"/>
        <v>2</v>
      </c>
      <c r="X620" t="str">
        <f t="shared" si="96"/>
        <v>April</v>
      </c>
      <c r="Y620">
        <f>HLOOKUP("Q"&amp;W620,Bonus_HLookup!$A$1:$E$2,2,FALSE)</f>
        <v>0.04</v>
      </c>
      <c r="Z620">
        <f t="shared" si="97"/>
        <v>219657.68</v>
      </c>
      <c r="AA620" s="1">
        <f t="shared" si="98"/>
        <v>12902.653489134696</v>
      </c>
      <c r="AB620">
        <f t="shared" si="99"/>
        <v>380</v>
      </c>
    </row>
    <row r="621" spans="1:28" x14ac:dyDescent="0.3">
      <c r="A621">
        <v>1620</v>
      </c>
      <c r="B621" t="s">
        <v>347</v>
      </c>
      <c r="C621" t="s">
        <v>18</v>
      </c>
      <c r="D621" t="s">
        <v>46</v>
      </c>
      <c r="E621" t="s">
        <v>85</v>
      </c>
      <c r="F621" t="s">
        <v>21</v>
      </c>
      <c r="G621">
        <v>9</v>
      </c>
      <c r="H621">
        <v>12000</v>
      </c>
      <c r="I621">
        <v>2</v>
      </c>
      <c r="J621">
        <v>181037</v>
      </c>
      <c r="K621">
        <v>11</v>
      </c>
      <c r="L621">
        <v>3</v>
      </c>
      <c r="M621" t="str">
        <f>VLOOKUP(Sales_Data!F621,Product_Master!$A$2:$D$11,2)</f>
        <v>Monitor</v>
      </c>
      <c r="N621" t="str">
        <f>VLOOKUP(F621,Product_Master!$A$2:$C$11,3)</f>
        <v>Electronics</v>
      </c>
      <c r="O621">
        <f>VLOOKUP(F621,Product_Master!$A$2:$D$11,4,FALSE)</f>
        <v>9000</v>
      </c>
      <c r="P621">
        <f t="shared" si="90"/>
        <v>108000</v>
      </c>
      <c r="Q621">
        <f t="shared" si="91"/>
        <v>2160</v>
      </c>
      <c r="R621">
        <f t="shared" si="92"/>
        <v>105840</v>
      </c>
      <c r="S621">
        <f t="shared" si="93"/>
        <v>24840</v>
      </c>
      <c r="T621" t="str">
        <f>_xlfn.CONCAT(Sales_Data!C621,"-",Sales_Data!E621,"-",Sales_Data!A621)</f>
        <v>North-C1005-1620</v>
      </c>
      <c r="U621" t="str">
        <f t="shared" si="94"/>
        <v>High Value</v>
      </c>
      <c r="V621" t="str" cm="1">
        <f t="array" ref="V621">_xlfn.IFS(R621&gt;=100000,"Excellent",R621&gt;=50000,"Good",R621&gt;=20000,"Average",TRUE,"Poor")</f>
        <v>Excellent</v>
      </c>
      <c r="W621">
        <f t="shared" si="95"/>
        <v>3</v>
      </c>
      <c r="X621" t="str">
        <f t="shared" si="96"/>
        <v>July</v>
      </c>
      <c r="Y621">
        <f>HLOOKUP("Q"&amp;W621,Bonus_HLookup!$A$1:$E$2,2,FALSE)</f>
        <v>0.06</v>
      </c>
      <c r="Z621">
        <f t="shared" si="97"/>
        <v>59742.21</v>
      </c>
      <c r="AA621" s="1">
        <f t="shared" si="98"/>
        <v>5926.9191307106985</v>
      </c>
      <c r="AB621">
        <f t="shared" si="99"/>
        <v>158</v>
      </c>
    </row>
    <row r="622" spans="1:28" x14ac:dyDescent="0.3">
      <c r="A622">
        <v>1621</v>
      </c>
      <c r="B622" t="s">
        <v>253</v>
      </c>
      <c r="C622" t="s">
        <v>62</v>
      </c>
      <c r="D622" t="s">
        <v>23</v>
      </c>
      <c r="E622" t="s">
        <v>41</v>
      </c>
      <c r="F622" t="s">
        <v>25</v>
      </c>
      <c r="G622">
        <v>8</v>
      </c>
      <c r="H622">
        <v>1500</v>
      </c>
      <c r="I622">
        <v>15</v>
      </c>
      <c r="J622">
        <v>183050</v>
      </c>
      <c r="K622">
        <v>12</v>
      </c>
      <c r="L622">
        <v>2</v>
      </c>
      <c r="M622" t="str">
        <f>VLOOKUP(Sales_Data!F622,Product_Master!$A$2:$D$11,2)</f>
        <v>Keyboard</v>
      </c>
      <c r="N622" t="str">
        <f>VLOOKUP(F622,Product_Master!$A$2:$C$11,3)</f>
        <v>Accessories</v>
      </c>
      <c r="O622">
        <f>VLOOKUP(F622,Product_Master!$A$2:$D$11,4,FALSE)</f>
        <v>1200</v>
      </c>
      <c r="P622">
        <f t="shared" si="90"/>
        <v>12000</v>
      </c>
      <c r="Q622">
        <f t="shared" si="91"/>
        <v>1800</v>
      </c>
      <c r="R622">
        <f t="shared" si="92"/>
        <v>10200</v>
      </c>
      <c r="S622">
        <f t="shared" si="93"/>
        <v>600</v>
      </c>
      <c r="T622" t="str">
        <f>_xlfn.CONCAT(Sales_Data!C622,"-",Sales_Data!E622,"-",Sales_Data!A622)</f>
        <v>East-C1023-1621</v>
      </c>
      <c r="U622" t="str">
        <f t="shared" si="94"/>
        <v>Regular</v>
      </c>
      <c r="V622" t="str" cm="1">
        <f t="array" ref="V622">_xlfn.IFS(R622&gt;=100000,"Excellent",R622&gt;=50000,"Good",R622&gt;=20000,"Average",TRUE,"Poor")</f>
        <v>Poor</v>
      </c>
      <c r="W622">
        <f t="shared" si="95"/>
        <v>3</v>
      </c>
      <c r="X622" t="str">
        <f t="shared" si="96"/>
        <v>September</v>
      </c>
      <c r="Y622">
        <f>HLOOKUP("Q"&amp;W622,Bonus_HLookup!$A$1:$E$2,2,FALSE)</f>
        <v>0.06</v>
      </c>
      <c r="Z622">
        <f t="shared" si="97"/>
        <v>43932</v>
      </c>
      <c r="AA622" s="1">
        <f t="shared" si="98"/>
        <v>8616.7990904686048</v>
      </c>
      <c r="AB622">
        <f t="shared" si="99"/>
        <v>630</v>
      </c>
    </row>
    <row r="623" spans="1:28" x14ac:dyDescent="0.3">
      <c r="A623">
        <v>1622</v>
      </c>
      <c r="B623" t="s">
        <v>369</v>
      </c>
      <c r="C623" t="s">
        <v>13</v>
      </c>
      <c r="D623" t="s">
        <v>14</v>
      </c>
      <c r="E623" t="s">
        <v>196</v>
      </c>
      <c r="F623" t="s">
        <v>52</v>
      </c>
      <c r="G623">
        <v>9</v>
      </c>
      <c r="H623">
        <v>500</v>
      </c>
      <c r="I623">
        <v>0</v>
      </c>
      <c r="J623">
        <v>76182</v>
      </c>
      <c r="K623">
        <v>11</v>
      </c>
      <c r="L623">
        <v>3</v>
      </c>
      <c r="M623" t="str">
        <f>VLOOKUP(Sales_Data!F623,Product_Master!$A$2:$D$11,2)</f>
        <v>Mouse</v>
      </c>
      <c r="N623" t="str">
        <f>VLOOKUP(F623,Product_Master!$A$2:$C$11,3)</f>
        <v>Accessories</v>
      </c>
      <c r="O623">
        <f>VLOOKUP(F623,Product_Master!$A$2:$D$11,4,FALSE)</f>
        <v>350</v>
      </c>
      <c r="P623">
        <f t="shared" si="90"/>
        <v>4500</v>
      </c>
      <c r="Q623">
        <f t="shared" si="91"/>
        <v>0</v>
      </c>
      <c r="R623">
        <f t="shared" si="92"/>
        <v>4500</v>
      </c>
      <c r="S623">
        <f t="shared" si="93"/>
        <v>1350</v>
      </c>
      <c r="T623" t="str">
        <f>_xlfn.CONCAT(Sales_Data!C623,"-",Sales_Data!E623,"-",Sales_Data!A623)</f>
        <v>West-C1032-1622</v>
      </c>
      <c r="U623" t="str">
        <f t="shared" si="94"/>
        <v>Regular</v>
      </c>
      <c r="V623" t="str" cm="1">
        <f t="array" ref="V623">_xlfn.IFS(R623&gt;=100000,"Excellent",R623&gt;=50000,"Good",R623&gt;=20000,"Average",TRUE,"Poor")</f>
        <v>Poor</v>
      </c>
      <c r="W623">
        <f t="shared" si="95"/>
        <v>4</v>
      </c>
      <c r="X623" t="str">
        <f t="shared" si="96"/>
        <v>November</v>
      </c>
      <c r="Y623">
        <f>HLOOKUP("Q"&amp;W623,Bonus_HLookup!$A$1:$E$2,2,FALSE)</f>
        <v>0.08</v>
      </c>
      <c r="Z623">
        <f t="shared" si="97"/>
        <v>25140.06</v>
      </c>
      <c r="AA623" s="1">
        <f t="shared" si="98"/>
        <v>2494.1009474074494</v>
      </c>
      <c r="AB623">
        <f t="shared" si="99"/>
        <v>805</v>
      </c>
    </row>
    <row r="624" spans="1:28" x14ac:dyDescent="0.3">
      <c r="A624">
        <v>1623</v>
      </c>
      <c r="B624" t="s">
        <v>104</v>
      </c>
      <c r="C624" t="s">
        <v>62</v>
      </c>
      <c r="D624" t="s">
        <v>59</v>
      </c>
      <c r="E624" t="s">
        <v>68</v>
      </c>
      <c r="F624" t="s">
        <v>42</v>
      </c>
      <c r="G624">
        <v>2</v>
      </c>
      <c r="H624">
        <v>8000</v>
      </c>
      <c r="I624">
        <v>5</v>
      </c>
      <c r="J624">
        <v>290616</v>
      </c>
      <c r="K624">
        <v>7</v>
      </c>
      <c r="L624">
        <v>3</v>
      </c>
      <c r="M624" t="str">
        <f>VLOOKUP(Sales_Data!F624,Product_Master!$A$2:$D$11,2)</f>
        <v>Printer</v>
      </c>
      <c r="N624" t="str">
        <f>VLOOKUP(F624,Product_Master!$A$2:$C$11,3)</f>
        <v>Electronics</v>
      </c>
      <c r="O624">
        <f>VLOOKUP(F624,Product_Master!$A$2:$D$11,4,FALSE)</f>
        <v>6500</v>
      </c>
      <c r="P624">
        <f t="shared" si="90"/>
        <v>16000</v>
      </c>
      <c r="Q624">
        <f t="shared" si="91"/>
        <v>800</v>
      </c>
      <c r="R624">
        <f t="shared" si="92"/>
        <v>15200</v>
      </c>
      <c r="S624">
        <f t="shared" si="93"/>
        <v>2200</v>
      </c>
      <c r="T624" t="str">
        <f>_xlfn.CONCAT(Sales_Data!C624,"-",Sales_Data!E624,"-",Sales_Data!A624)</f>
        <v>East-C1043-1623</v>
      </c>
      <c r="U624" t="str">
        <f t="shared" si="94"/>
        <v>Regular</v>
      </c>
      <c r="V624" t="str" cm="1">
        <f t="array" ref="V624">_xlfn.IFS(R624&gt;=100000,"Excellent",R624&gt;=50000,"Good",R624&gt;=20000,"Average",TRUE,"Poor")</f>
        <v>Poor</v>
      </c>
      <c r="W624">
        <f t="shared" si="95"/>
        <v>1</v>
      </c>
      <c r="X624" t="str">
        <f t="shared" si="96"/>
        <v>February</v>
      </c>
      <c r="Y624">
        <f>HLOOKUP("Q"&amp;W624,Bonus_HLookup!$A$1:$E$2,2,FALSE)</f>
        <v>0.02</v>
      </c>
      <c r="Z624">
        <f t="shared" si="97"/>
        <v>61029.36</v>
      </c>
      <c r="AA624" s="1">
        <f t="shared" si="98"/>
        <v>8973.3783826269319</v>
      </c>
      <c r="AB624">
        <f t="shared" si="99"/>
        <v>521</v>
      </c>
    </row>
    <row r="625" spans="1:28" x14ac:dyDescent="0.3">
      <c r="A625">
        <v>1624</v>
      </c>
      <c r="B625" t="s">
        <v>65</v>
      </c>
      <c r="C625" t="s">
        <v>62</v>
      </c>
      <c r="D625" t="s">
        <v>19</v>
      </c>
      <c r="E625" t="s">
        <v>115</v>
      </c>
      <c r="F625" t="s">
        <v>36</v>
      </c>
      <c r="G625">
        <v>10</v>
      </c>
      <c r="H625">
        <v>55000</v>
      </c>
      <c r="I625">
        <v>15</v>
      </c>
      <c r="J625">
        <v>192445</v>
      </c>
      <c r="K625">
        <v>10</v>
      </c>
      <c r="L625">
        <v>2</v>
      </c>
      <c r="M625" t="str">
        <f>VLOOKUP(Sales_Data!F625,Product_Master!$A$2:$D$11,2)</f>
        <v>Laptop</v>
      </c>
      <c r="N625" t="str">
        <f>VLOOKUP(F625,Product_Master!$A$2:$C$11,3)</f>
        <v>Electronics</v>
      </c>
      <c r="O625">
        <f>VLOOKUP(F625,Product_Master!$A$2:$D$11,4,FALSE)</f>
        <v>45000</v>
      </c>
      <c r="P625">
        <f t="shared" si="90"/>
        <v>550000</v>
      </c>
      <c r="Q625">
        <f t="shared" si="91"/>
        <v>82500</v>
      </c>
      <c r="R625">
        <f t="shared" si="92"/>
        <v>467500</v>
      </c>
      <c r="S625">
        <f t="shared" si="93"/>
        <v>17500</v>
      </c>
      <c r="T625" t="str">
        <f>_xlfn.CONCAT(Sales_Data!C625,"-",Sales_Data!E625,"-",Sales_Data!A625)</f>
        <v>East-C1026-1624</v>
      </c>
      <c r="U625" t="str">
        <f t="shared" si="94"/>
        <v>High Value</v>
      </c>
      <c r="V625" t="str" cm="1">
        <f t="array" ref="V625">_xlfn.IFS(R625&gt;=100000,"Excellent",R625&gt;=50000,"Good",R625&gt;=20000,"Average",TRUE,"Poor")</f>
        <v>Excellent</v>
      </c>
      <c r="W625">
        <f t="shared" si="95"/>
        <v>4</v>
      </c>
      <c r="X625" t="str">
        <f t="shared" si="96"/>
        <v>December</v>
      </c>
      <c r="Y625">
        <f>HLOOKUP("Q"&amp;W625,Bonus_HLookup!$A$1:$E$2,2,FALSE)</f>
        <v>0.08</v>
      </c>
      <c r="Z625">
        <f t="shared" si="97"/>
        <v>38489</v>
      </c>
      <c r="AA625" s="1">
        <f t="shared" si="98"/>
        <v>8880.3603490233636</v>
      </c>
      <c r="AB625">
        <f t="shared" si="99"/>
        <v>13</v>
      </c>
    </row>
    <row r="626" spans="1:28" x14ac:dyDescent="0.3">
      <c r="A626">
        <v>1625</v>
      </c>
      <c r="B626" t="s">
        <v>120</v>
      </c>
      <c r="C626" t="s">
        <v>30</v>
      </c>
      <c r="D626" t="s">
        <v>33</v>
      </c>
      <c r="E626" t="s">
        <v>73</v>
      </c>
      <c r="F626" t="s">
        <v>39</v>
      </c>
      <c r="G626">
        <v>5</v>
      </c>
      <c r="H626">
        <v>7000</v>
      </c>
      <c r="I626">
        <v>8</v>
      </c>
      <c r="J626">
        <v>219119</v>
      </c>
      <c r="K626">
        <v>7</v>
      </c>
      <c r="L626">
        <v>3</v>
      </c>
      <c r="M626" t="str">
        <f>VLOOKUP(Sales_Data!F626,Product_Master!$A$2:$D$11,2)</f>
        <v>Router</v>
      </c>
      <c r="N626" t="str">
        <f>VLOOKUP(F626,Product_Master!$A$2:$C$11,3)</f>
        <v>Electronics</v>
      </c>
      <c r="O626">
        <f>VLOOKUP(F626,Product_Master!$A$2:$D$11,4,FALSE)</f>
        <v>5000</v>
      </c>
      <c r="P626">
        <f t="shared" si="90"/>
        <v>35000</v>
      </c>
      <c r="Q626">
        <f t="shared" si="91"/>
        <v>2800</v>
      </c>
      <c r="R626">
        <f t="shared" si="92"/>
        <v>32200</v>
      </c>
      <c r="S626">
        <f t="shared" si="93"/>
        <v>7200</v>
      </c>
      <c r="T626" t="str">
        <f>_xlfn.CONCAT(Sales_Data!C626,"-",Sales_Data!E626,"-",Sales_Data!A626)</f>
        <v>South-C1014-1625</v>
      </c>
      <c r="U626" t="str">
        <f t="shared" si="94"/>
        <v>Regular</v>
      </c>
      <c r="V626" t="str" cm="1">
        <f t="array" ref="V626">_xlfn.IFS(R626&gt;=100000,"Excellent",R626&gt;=50000,"Good",R626&gt;=20000,"Average",TRUE,"Poor")</f>
        <v>Average</v>
      </c>
      <c r="W626">
        <f t="shared" si="95"/>
        <v>2</v>
      </c>
      <c r="X626" t="str">
        <f t="shared" si="96"/>
        <v>May</v>
      </c>
      <c r="Y626">
        <f>HLOOKUP("Q"&amp;W626,Bonus_HLookup!$A$1:$E$2,2,FALSE)</f>
        <v>0.04</v>
      </c>
      <c r="Z626">
        <f t="shared" si="97"/>
        <v>46014.99</v>
      </c>
      <c r="AA626" s="1">
        <f t="shared" si="98"/>
        <v>6765.7585880434353</v>
      </c>
      <c r="AB626">
        <f t="shared" si="99"/>
        <v>359</v>
      </c>
    </row>
    <row r="627" spans="1:28" x14ac:dyDescent="0.3">
      <c r="A627">
        <v>1626</v>
      </c>
      <c r="B627" t="s">
        <v>207</v>
      </c>
      <c r="C627" t="s">
        <v>62</v>
      </c>
      <c r="D627" t="s">
        <v>33</v>
      </c>
      <c r="E627" t="s">
        <v>71</v>
      </c>
      <c r="F627" t="s">
        <v>25</v>
      </c>
      <c r="G627">
        <v>4</v>
      </c>
      <c r="H627">
        <v>1500</v>
      </c>
      <c r="I627">
        <v>12</v>
      </c>
      <c r="J627">
        <v>485197</v>
      </c>
      <c r="K627">
        <v>12</v>
      </c>
      <c r="L627">
        <v>5</v>
      </c>
      <c r="M627" t="str">
        <f>VLOOKUP(Sales_Data!F627,Product_Master!$A$2:$D$11,2)</f>
        <v>Keyboard</v>
      </c>
      <c r="N627" t="str">
        <f>VLOOKUP(F627,Product_Master!$A$2:$C$11,3)</f>
        <v>Accessories</v>
      </c>
      <c r="O627">
        <f>VLOOKUP(F627,Product_Master!$A$2:$D$11,4,FALSE)</f>
        <v>1200</v>
      </c>
      <c r="P627">
        <f t="shared" si="90"/>
        <v>6000</v>
      </c>
      <c r="Q627">
        <f t="shared" si="91"/>
        <v>720</v>
      </c>
      <c r="R627">
        <f t="shared" si="92"/>
        <v>5280</v>
      </c>
      <c r="S627">
        <f t="shared" si="93"/>
        <v>480</v>
      </c>
      <c r="T627" t="str">
        <f>_xlfn.CONCAT(Sales_Data!C627,"-",Sales_Data!E627,"-",Sales_Data!A627)</f>
        <v>East-C1019-1626</v>
      </c>
      <c r="U627" t="str">
        <f t="shared" si="94"/>
        <v>Regular</v>
      </c>
      <c r="V627" t="str" cm="1">
        <f t="array" ref="V627">_xlfn.IFS(R627&gt;=100000,"Excellent",R627&gt;=50000,"Good",R627&gt;=20000,"Average",TRUE,"Poor")</f>
        <v>Poor</v>
      </c>
      <c r="W627">
        <f t="shared" si="95"/>
        <v>1</v>
      </c>
      <c r="X627" t="str">
        <f t="shared" si="96"/>
        <v>January</v>
      </c>
      <c r="Y627">
        <f>HLOOKUP("Q"&amp;W627,Bonus_HLookup!$A$1:$E$2,2,FALSE)</f>
        <v>0.02</v>
      </c>
      <c r="Z627">
        <f t="shared" si="97"/>
        <v>291118.2</v>
      </c>
      <c r="AA627" s="1">
        <f t="shared" si="98"/>
        <v>10792.939283371286</v>
      </c>
      <c r="AB627">
        <f t="shared" si="99"/>
        <v>779</v>
      </c>
    </row>
    <row r="628" spans="1:28" x14ac:dyDescent="0.3">
      <c r="A628">
        <v>1627</v>
      </c>
      <c r="B628" t="s">
        <v>281</v>
      </c>
      <c r="C628" t="s">
        <v>13</v>
      </c>
      <c r="D628" t="s">
        <v>23</v>
      </c>
      <c r="E628" t="s">
        <v>15</v>
      </c>
      <c r="F628" t="s">
        <v>74</v>
      </c>
      <c r="G628">
        <v>8</v>
      </c>
      <c r="H628">
        <v>35000</v>
      </c>
      <c r="I628">
        <v>10</v>
      </c>
      <c r="J628">
        <v>345019</v>
      </c>
      <c r="K628">
        <v>12</v>
      </c>
      <c r="L628">
        <v>4</v>
      </c>
      <c r="M628" t="str">
        <f>VLOOKUP(Sales_Data!F628,Product_Master!$A$2:$D$11,2)</f>
        <v>Tablet</v>
      </c>
      <c r="N628" t="str">
        <f>VLOOKUP(F628,Product_Master!$A$2:$C$11,3)</f>
        <v>Electronics</v>
      </c>
      <c r="O628">
        <f>VLOOKUP(F628,Product_Master!$A$2:$D$11,4,FALSE)</f>
        <v>29000</v>
      </c>
      <c r="P628">
        <f t="shared" si="90"/>
        <v>280000</v>
      </c>
      <c r="Q628">
        <f t="shared" si="91"/>
        <v>28000</v>
      </c>
      <c r="R628">
        <f t="shared" si="92"/>
        <v>252000</v>
      </c>
      <c r="S628">
        <f t="shared" si="93"/>
        <v>20000</v>
      </c>
      <c r="T628" t="str">
        <f>_xlfn.CONCAT(Sales_Data!C628,"-",Sales_Data!E628,"-",Sales_Data!A628)</f>
        <v>West-C1016-1627</v>
      </c>
      <c r="U628" t="str">
        <f t="shared" si="94"/>
        <v>High Value</v>
      </c>
      <c r="V628" t="str" cm="1">
        <f t="array" ref="V628">_xlfn.IFS(R628&gt;=100000,"Excellent",R628&gt;=50000,"Good",R628&gt;=20000,"Average",TRUE,"Poor")</f>
        <v>Excellent</v>
      </c>
      <c r="W628">
        <f t="shared" si="95"/>
        <v>4</v>
      </c>
      <c r="X628" t="str">
        <f t="shared" si="96"/>
        <v>October</v>
      </c>
      <c r="Y628">
        <f>HLOOKUP("Q"&amp;W628,Bonus_HLookup!$A$1:$E$2,2,FALSE)</f>
        <v>0.08</v>
      </c>
      <c r="Z628">
        <f t="shared" si="97"/>
        <v>165609.12</v>
      </c>
      <c r="AA628" s="1">
        <f t="shared" si="98"/>
        <v>9085.6735668882866</v>
      </c>
      <c r="AB628">
        <f t="shared" si="99"/>
        <v>76</v>
      </c>
    </row>
    <row r="629" spans="1:28" x14ac:dyDescent="0.3">
      <c r="A629">
        <v>1628</v>
      </c>
      <c r="B629" t="s">
        <v>377</v>
      </c>
      <c r="C629" t="s">
        <v>62</v>
      </c>
      <c r="D629" t="s">
        <v>50</v>
      </c>
      <c r="E629" t="s">
        <v>57</v>
      </c>
      <c r="F629" t="s">
        <v>36</v>
      </c>
      <c r="G629">
        <v>10</v>
      </c>
      <c r="H629">
        <v>55000</v>
      </c>
      <c r="I629">
        <v>5</v>
      </c>
      <c r="J629">
        <v>57880</v>
      </c>
      <c r="K629">
        <v>7</v>
      </c>
      <c r="L629">
        <v>5</v>
      </c>
      <c r="M629" t="str">
        <f>VLOOKUP(Sales_Data!F629,Product_Master!$A$2:$D$11,2)</f>
        <v>Laptop</v>
      </c>
      <c r="N629" t="str">
        <f>VLOOKUP(F629,Product_Master!$A$2:$C$11,3)</f>
        <v>Electronics</v>
      </c>
      <c r="O629">
        <f>VLOOKUP(F629,Product_Master!$A$2:$D$11,4,FALSE)</f>
        <v>45000</v>
      </c>
      <c r="P629">
        <f t="shared" si="90"/>
        <v>550000</v>
      </c>
      <c r="Q629">
        <f t="shared" si="91"/>
        <v>27500</v>
      </c>
      <c r="R629">
        <f t="shared" si="92"/>
        <v>522500</v>
      </c>
      <c r="S629">
        <f t="shared" si="93"/>
        <v>72500</v>
      </c>
      <c r="T629" t="str">
        <f>_xlfn.CONCAT(Sales_Data!C629,"-",Sales_Data!E629,"-",Sales_Data!A629)</f>
        <v>East-C1012-1628</v>
      </c>
      <c r="U629" t="str">
        <f t="shared" si="94"/>
        <v>High Value</v>
      </c>
      <c r="V629" t="str" cm="1">
        <f t="array" ref="V629">_xlfn.IFS(R629&gt;=100000,"Excellent",R629&gt;=50000,"Good",R629&gt;=20000,"Average",TRUE,"Poor")</f>
        <v>Excellent</v>
      </c>
      <c r="W629">
        <f t="shared" si="95"/>
        <v>3</v>
      </c>
      <c r="X629" t="str">
        <f t="shared" si="96"/>
        <v>July</v>
      </c>
      <c r="Y629">
        <f>HLOOKUP("Q"&amp;W629,Bonus_HLookup!$A$1:$E$2,2,FALSE)</f>
        <v>0.06</v>
      </c>
      <c r="Z629">
        <f t="shared" si="97"/>
        <v>20258</v>
      </c>
      <c r="AA629" s="1">
        <f t="shared" si="98"/>
        <v>1146.093371515431</v>
      </c>
      <c r="AB629">
        <f t="shared" si="99"/>
        <v>2</v>
      </c>
    </row>
    <row r="630" spans="1:28" x14ac:dyDescent="0.3">
      <c r="A630">
        <v>1629</v>
      </c>
      <c r="B630" t="s">
        <v>384</v>
      </c>
      <c r="C630" t="s">
        <v>18</v>
      </c>
      <c r="D630" t="s">
        <v>33</v>
      </c>
      <c r="E630" t="s">
        <v>169</v>
      </c>
      <c r="F630" t="s">
        <v>25</v>
      </c>
      <c r="G630">
        <v>7</v>
      </c>
      <c r="H630">
        <v>1500</v>
      </c>
      <c r="I630">
        <v>5</v>
      </c>
      <c r="J630">
        <v>441666</v>
      </c>
      <c r="K630">
        <v>9</v>
      </c>
      <c r="L630">
        <v>5</v>
      </c>
      <c r="M630" t="str">
        <f>VLOOKUP(Sales_Data!F630,Product_Master!$A$2:$D$11,2)</f>
        <v>Keyboard</v>
      </c>
      <c r="N630" t="str">
        <f>VLOOKUP(F630,Product_Master!$A$2:$C$11,3)</f>
        <v>Accessories</v>
      </c>
      <c r="O630">
        <f>VLOOKUP(F630,Product_Master!$A$2:$D$11,4,FALSE)</f>
        <v>1200</v>
      </c>
      <c r="P630">
        <f t="shared" si="90"/>
        <v>10500</v>
      </c>
      <c r="Q630">
        <f t="shared" si="91"/>
        <v>525</v>
      </c>
      <c r="R630">
        <f t="shared" si="92"/>
        <v>9975</v>
      </c>
      <c r="S630">
        <f t="shared" si="93"/>
        <v>1575</v>
      </c>
      <c r="T630" t="str">
        <f>_xlfn.CONCAT(Sales_Data!C630,"-",Sales_Data!E630,"-",Sales_Data!A630)</f>
        <v>North-C1038-1629</v>
      </c>
      <c r="U630" t="str">
        <f t="shared" si="94"/>
        <v>Regular</v>
      </c>
      <c r="V630" t="str" cm="1">
        <f t="array" ref="V630">_xlfn.IFS(R630&gt;=100000,"Excellent",R630&gt;=50000,"Good",R630&gt;=20000,"Average",TRUE,"Poor")</f>
        <v>Poor</v>
      </c>
      <c r="W630">
        <f t="shared" si="95"/>
        <v>2</v>
      </c>
      <c r="X630" t="str">
        <f t="shared" si="96"/>
        <v>June</v>
      </c>
      <c r="Y630">
        <f>HLOOKUP("Q"&amp;W630,Bonus_HLookup!$A$1:$E$2,2,FALSE)</f>
        <v>0.04</v>
      </c>
      <c r="Z630">
        <f t="shared" si="97"/>
        <v>198749.7</v>
      </c>
      <c r="AA630" s="1">
        <f t="shared" si="98"/>
        <v>9168.2597194028695</v>
      </c>
      <c r="AB630">
        <f t="shared" si="99"/>
        <v>643</v>
      </c>
    </row>
    <row r="631" spans="1:28" x14ac:dyDescent="0.3">
      <c r="A631">
        <v>1630</v>
      </c>
      <c r="B631" t="s">
        <v>385</v>
      </c>
      <c r="C631" t="s">
        <v>30</v>
      </c>
      <c r="D631" t="s">
        <v>14</v>
      </c>
      <c r="E631" t="s">
        <v>82</v>
      </c>
      <c r="F631" t="s">
        <v>69</v>
      </c>
      <c r="G631">
        <v>10</v>
      </c>
      <c r="H631">
        <v>2000</v>
      </c>
      <c r="I631">
        <v>0</v>
      </c>
      <c r="J631">
        <v>206820</v>
      </c>
      <c r="K631">
        <v>8</v>
      </c>
      <c r="L631">
        <v>1</v>
      </c>
      <c r="M631" t="str">
        <f>VLOOKUP(Sales_Data!F631,Product_Master!$A$2:$D$11,2)</f>
        <v>Headset</v>
      </c>
      <c r="N631" t="str">
        <f>VLOOKUP(F631,Product_Master!$A$2:$C$11,3)</f>
        <v>Accessories</v>
      </c>
      <c r="O631">
        <f>VLOOKUP(F631,Product_Master!$A$2:$D$11,4,FALSE)</f>
        <v>1500</v>
      </c>
      <c r="P631">
        <f t="shared" si="90"/>
        <v>20000</v>
      </c>
      <c r="Q631">
        <f t="shared" si="91"/>
        <v>0</v>
      </c>
      <c r="R631">
        <f t="shared" si="92"/>
        <v>20000</v>
      </c>
      <c r="S631">
        <f t="shared" si="93"/>
        <v>5000</v>
      </c>
      <c r="T631" t="str">
        <f>_xlfn.CONCAT(Sales_Data!C631,"-",Sales_Data!E631,"-",Sales_Data!A631)</f>
        <v>South-C1045-1630</v>
      </c>
      <c r="U631" t="str">
        <f t="shared" si="94"/>
        <v>Regular</v>
      </c>
      <c r="V631" t="str" cm="1">
        <f t="array" ref="V631">_xlfn.IFS(R631&gt;=100000,"Excellent",R631&gt;=50000,"Good",R631&gt;=20000,"Average",TRUE,"Poor")</f>
        <v>Average</v>
      </c>
      <c r="W631">
        <f t="shared" si="95"/>
        <v>4</v>
      </c>
      <c r="X631" t="str">
        <f t="shared" si="96"/>
        <v>December</v>
      </c>
      <c r="Y631">
        <f>HLOOKUP("Q"&amp;W631,Bonus_HLookup!$A$1:$E$2,2,FALSE)</f>
        <v>0.08</v>
      </c>
      <c r="Z631">
        <f t="shared" si="97"/>
        <v>16545.599999999999</v>
      </c>
      <c r="AA631" s="1">
        <f t="shared" si="98"/>
        <v>17990.946903446784</v>
      </c>
      <c r="AB631">
        <f t="shared" si="99"/>
        <v>453</v>
      </c>
    </row>
    <row r="632" spans="1:28" x14ac:dyDescent="0.3">
      <c r="A632">
        <v>1631</v>
      </c>
      <c r="B632" t="s">
        <v>386</v>
      </c>
      <c r="C632" t="s">
        <v>13</v>
      </c>
      <c r="D632" t="s">
        <v>91</v>
      </c>
      <c r="E632" t="s">
        <v>31</v>
      </c>
      <c r="F632" t="s">
        <v>39</v>
      </c>
      <c r="G632">
        <v>5</v>
      </c>
      <c r="H632">
        <v>7000</v>
      </c>
      <c r="I632">
        <v>2</v>
      </c>
      <c r="J632">
        <v>90075</v>
      </c>
      <c r="K632">
        <v>9</v>
      </c>
      <c r="L632">
        <v>5</v>
      </c>
      <c r="M632" t="str">
        <f>VLOOKUP(Sales_Data!F632,Product_Master!$A$2:$D$11,2)</f>
        <v>Router</v>
      </c>
      <c r="N632" t="str">
        <f>VLOOKUP(F632,Product_Master!$A$2:$C$11,3)</f>
        <v>Electronics</v>
      </c>
      <c r="O632">
        <f>VLOOKUP(F632,Product_Master!$A$2:$D$11,4,FALSE)</f>
        <v>5000</v>
      </c>
      <c r="P632">
        <f t="shared" si="90"/>
        <v>35000</v>
      </c>
      <c r="Q632">
        <f t="shared" si="91"/>
        <v>700</v>
      </c>
      <c r="R632">
        <f t="shared" si="92"/>
        <v>34300</v>
      </c>
      <c r="S632">
        <f t="shared" si="93"/>
        <v>9300</v>
      </c>
      <c r="T632" t="str">
        <f>_xlfn.CONCAT(Sales_Data!C632,"-",Sales_Data!E632,"-",Sales_Data!A632)</f>
        <v>West-C1025-1631</v>
      </c>
      <c r="U632" t="str">
        <f t="shared" si="94"/>
        <v>Regular</v>
      </c>
      <c r="V632" t="str" cm="1">
        <f t="array" ref="V632">_xlfn.IFS(R632&gt;=100000,"Excellent",R632&gt;=50000,"Good",R632&gt;=20000,"Average",TRUE,"Poor")</f>
        <v>Average</v>
      </c>
      <c r="W632">
        <f t="shared" si="95"/>
        <v>2</v>
      </c>
      <c r="X632" t="str">
        <f t="shared" si="96"/>
        <v>April</v>
      </c>
      <c r="Y632">
        <f>HLOOKUP("Q"&amp;W632,Bonus_HLookup!$A$1:$E$2,2,FALSE)</f>
        <v>0.04</v>
      </c>
      <c r="Z632">
        <f t="shared" si="97"/>
        <v>40533.75</v>
      </c>
      <c r="AA632" s="1">
        <f t="shared" si="98"/>
        <v>1869.8088470138373</v>
      </c>
      <c r="AB632">
        <f t="shared" si="99"/>
        <v>354</v>
      </c>
    </row>
    <row r="633" spans="1:28" x14ac:dyDescent="0.3">
      <c r="A633">
        <v>1632</v>
      </c>
      <c r="B633" t="s">
        <v>387</v>
      </c>
      <c r="C633" t="s">
        <v>13</v>
      </c>
      <c r="D633" t="s">
        <v>33</v>
      </c>
      <c r="E633" t="s">
        <v>44</v>
      </c>
      <c r="F633" t="s">
        <v>16</v>
      </c>
      <c r="G633">
        <v>3</v>
      </c>
      <c r="H633">
        <v>2500</v>
      </c>
      <c r="I633">
        <v>15</v>
      </c>
      <c r="J633">
        <v>464756</v>
      </c>
      <c r="K633">
        <v>9</v>
      </c>
      <c r="L633">
        <v>2</v>
      </c>
      <c r="M633" t="str">
        <f>VLOOKUP(Sales_Data!F633,Product_Master!$A$2:$D$11,2)</f>
        <v>Speaker</v>
      </c>
      <c r="N633" t="str">
        <f>VLOOKUP(F633,Product_Master!$A$2:$C$11,3)</f>
        <v>Accessories</v>
      </c>
      <c r="O633">
        <f>VLOOKUP(F633,Product_Master!$A$2:$D$11,4,FALSE)</f>
        <v>1800</v>
      </c>
      <c r="P633">
        <f t="shared" si="90"/>
        <v>7500</v>
      </c>
      <c r="Q633">
        <f t="shared" si="91"/>
        <v>1125</v>
      </c>
      <c r="R633">
        <f t="shared" si="92"/>
        <v>6375</v>
      </c>
      <c r="S633">
        <f t="shared" si="93"/>
        <v>975</v>
      </c>
      <c r="T633" t="str">
        <f>_xlfn.CONCAT(Sales_Data!C633,"-",Sales_Data!E633,"-",Sales_Data!A633)</f>
        <v>West-C1028-1632</v>
      </c>
      <c r="U633" t="str">
        <f t="shared" si="94"/>
        <v>Regular</v>
      </c>
      <c r="V633" t="str" cm="1">
        <f t="array" ref="V633">_xlfn.IFS(R633&gt;=100000,"Excellent",R633&gt;=50000,"Good",R633&gt;=20000,"Average",TRUE,"Poor")</f>
        <v>Poor</v>
      </c>
      <c r="W633">
        <f t="shared" si="95"/>
        <v>2</v>
      </c>
      <c r="X633" t="str">
        <f t="shared" si="96"/>
        <v>June</v>
      </c>
      <c r="Y633">
        <f>HLOOKUP("Q"&amp;W633,Bonus_HLookup!$A$1:$E$2,2,FALSE)</f>
        <v>0.04</v>
      </c>
      <c r="Z633">
        <f t="shared" si="97"/>
        <v>83656.08</v>
      </c>
      <c r="AA633" s="1">
        <f t="shared" si="98"/>
        <v>21232.258082699369</v>
      </c>
      <c r="AB633">
        <f t="shared" si="99"/>
        <v>748</v>
      </c>
    </row>
    <row r="634" spans="1:28" x14ac:dyDescent="0.3">
      <c r="A634">
        <v>1633</v>
      </c>
      <c r="B634" t="s">
        <v>188</v>
      </c>
      <c r="C634" t="s">
        <v>18</v>
      </c>
      <c r="D634" t="s">
        <v>33</v>
      </c>
      <c r="E634" t="s">
        <v>68</v>
      </c>
      <c r="F634" t="s">
        <v>52</v>
      </c>
      <c r="G634">
        <v>9</v>
      </c>
      <c r="H634">
        <v>500</v>
      </c>
      <c r="I634">
        <v>12</v>
      </c>
      <c r="J634">
        <v>465776</v>
      </c>
      <c r="K634">
        <v>12</v>
      </c>
      <c r="L634">
        <v>1</v>
      </c>
      <c r="M634" t="str">
        <f>VLOOKUP(Sales_Data!F634,Product_Master!$A$2:$D$11,2)</f>
        <v>Mouse</v>
      </c>
      <c r="N634" t="str">
        <f>VLOOKUP(F634,Product_Master!$A$2:$C$11,3)</f>
        <v>Accessories</v>
      </c>
      <c r="O634">
        <f>VLOOKUP(F634,Product_Master!$A$2:$D$11,4,FALSE)</f>
        <v>350</v>
      </c>
      <c r="P634">
        <f t="shared" si="90"/>
        <v>4500</v>
      </c>
      <c r="Q634">
        <f t="shared" si="91"/>
        <v>540</v>
      </c>
      <c r="R634">
        <f t="shared" si="92"/>
        <v>3960</v>
      </c>
      <c r="S634">
        <f t="shared" si="93"/>
        <v>810</v>
      </c>
      <c r="T634" t="str">
        <f>_xlfn.CONCAT(Sales_Data!C634,"-",Sales_Data!E634,"-",Sales_Data!A634)</f>
        <v>North-C1043-1633</v>
      </c>
      <c r="U634" t="str">
        <f t="shared" si="94"/>
        <v>Regular</v>
      </c>
      <c r="V634" t="str" cm="1">
        <f t="array" ref="V634">_xlfn.IFS(R634&gt;=100000,"Excellent",R634&gt;=50000,"Good",R634&gt;=20000,"Average",TRUE,"Poor")</f>
        <v>Poor</v>
      </c>
      <c r="W634">
        <f t="shared" si="95"/>
        <v>4</v>
      </c>
      <c r="X634" t="str">
        <f t="shared" si="96"/>
        <v>November</v>
      </c>
      <c r="Y634">
        <f>HLOOKUP("Q"&amp;W634,Bonus_HLookup!$A$1:$E$2,2,FALSE)</f>
        <v>0.08</v>
      </c>
      <c r="Z634">
        <f t="shared" si="97"/>
        <v>55893.120000000003</v>
      </c>
      <c r="AA634" s="1">
        <f t="shared" si="98"/>
        <v>41383.633395443278</v>
      </c>
      <c r="AB634">
        <f t="shared" si="99"/>
        <v>840</v>
      </c>
    </row>
    <row r="635" spans="1:28" x14ac:dyDescent="0.3">
      <c r="A635">
        <v>1634</v>
      </c>
      <c r="B635" t="s">
        <v>249</v>
      </c>
      <c r="C635" t="s">
        <v>62</v>
      </c>
      <c r="D635" t="s">
        <v>33</v>
      </c>
      <c r="E635" t="s">
        <v>131</v>
      </c>
      <c r="F635" t="s">
        <v>69</v>
      </c>
      <c r="G635">
        <v>1</v>
      </c>
      <c r="H635">
        <v>2000</v>
      </c>
      <c r="I635">
        <v>0</v>
      </c>
      <c r="J635">
        <v>85775</v>
      </c>
      <c r="K635">
        <v>8</v>
      </c>
      <c r="L635">
        <v>4</v>
      </c>
      <c r="M635" t="str">
        <f>VLOOKUP(Sales_Data!F635,Product_Master!$A$2:$D$11,2)</f>
        <v>Headset</v>
      </c>
      <c r="N635" t="str">
        <f>VLOOKUP(F635,Product_Master!$A$2:$C$11,3)</f>
        <v>Accessories</v>
      </c>
      <c r="O635">
        <f>VLOOKUP(F635,Product_Master!$A$2:$D$11,4,FALSE)</f>
        <v>1500</v>
      </c>
      <c r="P635">
        <f t="shared" si="90"/>
        <v>2000</v>
      </c>
      <c r="Q635">
        <f t="shared" si="91"/>
        <v>0</v>
      </c>
      <c r="R635">
        <f t="shared" si="92"/>
        <v>2000</v>
      </c>
      <c r="S635">
        <f t="shared" si="93"/>
        <v>500</v>
      </c>
      <c r="T635" t="str">
        <f>_xlfn.CONCAT(Sales_Data!C635,"-",Sales_Data!E635,"-",Sales_Data!A635)</f>
        <v>East-C1047-1634</v>
      </c>
      <c r="U635" t="str">
        <f t="shared" si="94"/>
        <v>Regular</v>
      </c>
      <c r="V635" t="str" cm="1">
        <f t="array" ref="V635">_xlfn.IFS(R635&gt;=100000,"Excellent",R635&gt;=50000,"Good",R635&gt;=20000,"Average",TRUE,"Poor")</f>
        <v>Poor</v>
      </c>
      <c r="W635">
        <f t="shared" si="95"/>
        <v>4</v>
      </c>
      <c r="X635" t="str">
        <f t="shared" si="96"/>
        <v>December</v>
      </c>
      <c r="Y635">
        <f>HLOOKUP("Q"&amp;W635,Bonus_HLookup!$A$1:$E$2,2,FALSE)</f>
        <v>0.08</v>
      </c>
      <c r="Z635">
        <f t="shared" si="97"/>
        <v>27448</v>
      </c>
      <c r="AA635" s="1">
        <f t="shared" si="98"/>
        <v>2094.0184138423756</v>
      </c>
      <c r="AB635">
        <f t="shared" si="99"/>
        <v>926</v>
      </c>
    </row>
    <row r="636" spans="1:28" x14ac:dyDescent="0.3">
      <c r="A636">
        <v>1635</v>
      </c>
      <c r="B636" t="s">
        <v>271</v>
      </c>
      <c r="C636" t="s">
        <v>62</v>
      </c>
      <c r="D636" t="s">
        <v>19</v>
      </c>
      <c r="E636" t="s">
        <v>31</v>
      </c>
      <c r="F636" t="s">
        <v>16</v>
      </c>
      <c r="G636">
        <v>3</v>
      </c>
      <c r="H636">
        <v>2500</v>
      </c>
      <c r="I636">
        <v>10</v>
      </c>
      <c r="J636">
        <v>288750</v>
      </c>
      <c r="K636">
        <v>9</v>
      </c>
      <c r="L636">
        <v>2</v>
      </c>
      <c r="M636" t="str">
        <f>VLOOKUP(Sales_Data!F636,Product_Master!$A$2:$D$11,2)</f>
        <v>Speaker</v>
      </c>
      <c r="N636" t="str">
        <f>VLOOKUP(F636,Product_Master!$A$2:$C$11,3)</f>
        <v>Accessories</v>
      </c>
      <c r="O636">
        <f>VLOOKUP(F636,Product_Master!$A$2:$D$11,4,FALSE)</f>
        <v>1800</v>
      </c>
      <c r="P636">
        <f t="shared" si="90"/>
        <v>7500</v>
      </c>
      <c r="Q636">
        <f t="shared" si="91"/>
        <v>750</v>
      </c>
      <c r="R636">
        <f t="shared" si="92"/>
        <v>6750</v>
      </c>
      <c r="S636">
        <f t="shared" si="93"/>
        <v>1350</v>
      </c>
      <c r="T636" t="str">
        <f>_xlfn.CONCAT(Sales_Data!C636,"-",Sales_Data!E636,"-",Sales_Data!A636)</f>
        <v>East-C1025-1635</v>
      </c>
      <c r="U636" t="str">
        <f t="shared" si="94"/>
        <v>Regular</v>
      </c>
      <c r="V636" t="str" cm="1">
        <f t="array" ref="V636">_xlfn.IFS(R636&gt;=100000,"Excellent",R636&gt;=50000,"Good",R636&gt;=20000,"Average",TRUE,"Poor")</f>
        <v>Poor</v>
      </c>
      <c r="W636">
        <f t="shared" si="95"/>
        <v>3</v>
      </c>
      <c r="X636" t="str">
        <f t="shared" si="96"/>
        <v>September</v>
      </c>
      <c r="Y636">
        <f>HLOOKUP("Q"&amp;W636,Bonus_HLookup!$A$1:$E$2,2,FALSE)</f>
        <v>0.06</v>
      </c>
      <c r="Z636">
        <f t="shared" si="97"/>
        <v>51975</v>
      </c>
      <c r="AA636" s="1">
        <f t="shared" si="98"/>
        <v>13191.46933311123</v>
      </c>
      <c r="AB636">
        <f t="shared" si="99"/>
        <v>731</v>
      </c>
    </row>
    <row r="637" spans="1:28" x14ac:dyDescent="0.3">
      <c r="A637">
        <v>1636</v>
      </c>
      <c r="B637" t="s">
        <v>322</v>
      </c>
      <c r="C637" t="s">
        <v>18</v>
      </c>
      <c r="D637" t="s">
        <v>50</v>
      </c>
      <c r="E637" t="s">
        <v>44</v>
      </c>
      <c r="F637" t="s">
        <v>69</v>
      </c>
      <c r="G637">
        <v>10</v>
      </c>
      <c r="H637">
        <v>2000</v>
      </c>
      <c r="I637">
        <v>5</v>
      </c>
      <c r="J637">
        <v>390047</v>
      </c>
      <c r="K637">
        <v>12</v>
      </c>
      <c r="L637">
        <v>5</v>
      </c>
      <c r="M637" t="str">
        <f>VLOOKUP(Sales_Data!F637,Product_Master!$A$2:$D$11,2)</f>
        <v>Headset</v>
      </c>
      <c r="N637" t="str">
        <f>VLOOKUP(F637,Product_Master!$A$2:$C$11,3)</f>
        <v>Accessories</v>
      </c>
      <c r="O637">
        <f>VLOOKUP(F637,Product_Master!$A$2:$D$11,4,FALSE)</f>
        <v>1500</v>
      </c>
      <c r="P637">
        <f t="shared" si="90"/>
        <v>20000</v>
      </c>
      <c r="Q637">
        <f t="shared" si="91"/>
        <v>1000</v>
      </c>
      <c r="R637">
        <f t="shared" si="92"/>
        <v>19000</v>
      </c>
      <c r="S637">
        <f t="shared" si="93"/>
        <v>4000</v>
      </c>
      <c r="T637" t="str">
        <f>_xlfn.CONCAT(Sales_Data!C637,"-",Sales_Data!E637,"-",Sales_Data!A637)</f>
        <v>North-C1028-1636</v>
      </c>
      <c r="U637" t="str">
        <f t="shared" si="94"/>
        <v>Regular</v>
      </c>
      <c r="V637" t="str" cm="1">
        <f t="array" ref="V637">_xlfn.IFS(R637&gt;=100000,"Excellent",R637&gt;=50000,"Good",R637&gt;=20000,"Average",TRUE,"Poor")</f>
        <v>Poor</v>
      </c>
      <c r="W637">
        <f t="shared" si="95"/>
        <v>4</v>
      </c>
      <c r="X637" t="str">
        <f t="shared" si="96"/>
        <v>October</v>
      </c>
      <c r="Y637">
        <f>HLOOKUP("Q"&amp;W637,Bonus_HLookup!$A$1:$E$2,2,FALSE)</f>
        <v>0.08</v>
      </c>
      <c r="Z637">
        <f t="shared" si="97"/>
        <v>234028.2</v>
      </c>
      <c r="AA637" s="1">
        <f t="shared" si="98"/>
        <v>8676.3800861528816</v>
      </c>
      <c r="AB637">
        <f t="shared" si="99"/>
        <v>465</v>
      </c>
    </row>
    <row r="638" spans="1:28" x14ac:dyDescent="0.3">
      <c r="A638">
        <v>1637</v>
      </c>
      <c r="B638" t="s">
        <v>134</v>
      </c>
      <c r="C638" t="s">
        <v>13</v>
      </c>
      <c r="D638" t="s">
        <v>46</v>
      </c>
      <c r="E638" t="s">
        <v>133</v>
      </c>
      <c r="F638" t="s">
        <v>16</v>
      </c>
      <c r="G638">
        <v>7</v>
      </c>
      <c r="H638">
        <v>2500</v>
      </c>
      <c r="I638">
        <v>15</v>
      </c>
      <c r="J638">
        <v>475155</v>
      </c>
      <c r="K638">
        <v>8</v>
      </c>
      <c r="L638">
        <v>2</v>
      </c>
      <c r="M638" t="str">
        <f>VLOOKUP(Sales_Data!F638,Product_Master!$A$2:$D$11,2)</f>
        <v>Speaker</v>
      </c>
      <c r="N638" t="str">
        <f>VLOOKUP(F638,Product_Master!$A$2:$C$11,3)</f>
        <v>Accessories</v>
      </c>
      <c r="O638">
        <f>VLOOKUP(F638,Product_Master!$A$2:$D$11,4,FALSE)</f>
        <v>1800</v>
      </c>
      <c r="P638">
        <f t="shared" si="90"/>
        <v>17500</v>
      </c>
      <c r="Q638">
        <f t="shared" si="91"/>
        <v>2625</v>
      </c>
      <c r="R638">
        <f t="shared" si="92"/>
        <v>14875</v>
      </c>
      <c r="S638">
        <f t="shared" si="93"/>
        <v>2275</v>
      </c>
      <c r="T638" t="str">
        <f>_xlfn.CONCAT(Sales_Data!C638,"-",Sales_Data!E638,"-",Sales_Data!A638)</f>
        <v>West-C1021-1637</v>
      </c>
      <c r="U638" t="str">
        <f t="shared" si="94"/>
        <v>Regular</v>
      </c>
      <c r="V638" t="str" cm="1">
        <f t="array" ref="V638">_xlfn.IFS(R638&gt;=100000,"Excellent",R638&gt;=50000,"Good",R638&gt;=20000,"Average",TRUE,"Poor")</f>
        <v>Poor</v>
      </c>
      <c r="W638">
        <f t="shared" si="95"/>
        <v>4</v>
      </c>
      <c r="X638" t="str">
        <f t="shared" si="96"/>
        <v>October</v>
      </c>
      <c r="Y638">
        <f>HLOOKUP("Q"&amp;W638,Bonus_HLookup!$A$1:$E$2,2,FALSE)</f>
        <v>0.08</v>
      </c>
      <c r="Z638">
        <f t="shared" si="97"/>
        <v>76024.800000000003</v>
      </c>
      <c r="AA638" s="1">
        <f t="shared" si="98"/>
        <v>21489.973671863179</v>
      </c>
      <c r="AB638">
        <f t="shared" si="99"/>
        <v>531</v>
      </c>
    </row>
    <row r="639" spans="1:28" x14ac:dyDescent="0.3">
      <c r="A639">
        <v>1638</v>
      </c>
      <c r="B639" t="s">
        <v>388</v>
      </c>
      <c r="C639" t="s">
        <v>18</v>
      </c>
      <c r="D639" t="s">
        <v>50</v>
      </c>
      <c r="E639" t="s">
        <v>174</v>
      </c>
      <c r="F639" t="s">
        <v>16</v>
      </c>
      <c r="G639">
        <v>5</v>
      </c>
      <c r="H639">
        <v>2500</v>
      </c>
      <c r="I639">
        <v>0</v>
      </c>
      <c r="J639">
        <v>409429</v>
      </c>
      <c r="K639">
        <v>12</v>
      </c>
      <c r="L639">
        <v>2</v>
      </c>
      <c r="M639" t="str">
        <f>VLOOKUP(Sales_Data!F639,Product_Master!$A$2:$D$11,2)</f>
        <v>Speaker</v>
      </c>
      <c r="N639" t="str">
        <f>VLOOKUP(F639,Product_Master!$A$2:$C$11,3)</f>
        <v>Accessories</v>
      </c>
      <c r="O639">
        <f>VLOOKUP(F639,Product_Master!$A$2:$D$11,4,FALSE)</f>
        <v>1800</v>
      </c>
      <c r="P639">
        <f t="shared" si="90"/>
        <v>12500</v>
      </c>
      <c r="Q639">
        <f t="shared" si="91"/>
        <v>0</v>
      </c>
      <c r="R639">
        <f t="shared" si="92"/>
        <v>12500</v>
      </c>
      <c r="S639">
        <f t="shared" si="93"/>
        <v>3500</v>
      </c>
      <c r="T639" t="str">
        <f>_xlfn.CONCAT(Sales_Data!C639,"-",Sales_Data!E639,"-",Sales_Data!A639)</f>
        <v>North-C1044-1638</v>
      </c>
      <c r="U639" t="str">
        <f t="shared" si="94"/>
        <v>Regular</v>
      </c>
      <c r="V639" t="str" cm="1">
        <f t="array" ref="V639">_xlfn.IFS(R639&gt;=100000,"Excellent",R639&gt;=50000,"Good",R639&gt;=20000,"Average",TRUE,"Poor")</f>
        <v>Poor</v>
      </c>
      <c r="W639">
        <f t="shared" si="95"/>
        <v>3</v>
      </c>
      <c r="X639" t="str">
        <f t="shared" si="96"/>
        <v>September</v>
      </c>
      <c r="Y639">
        <f>HLOOKUP("Q"&amp;W639,Bonus_HLookup!$A$1:$E$2,2,FALSE)</f>
        <v>0.06</v>
      </c>
      <c r="Z639">
        <f t="shared" si="97"/>
        <v>98262.96</v>
      </c>
      <c r="AA639" s="1">
        <f t="shared" si="98"/>
        <v>19273.244658899046</v>
      </c>
      <c r="AB639">
        <f t="shared" si="99"/>
        <v>581</v>
      </c>
    </row>
    <row r="640" spans="1:28" x14ac:dyDescent="0.3">
      <c r="A640">
        <v>1639</v>
      </c>
      <c r="B640" t="s">
        <v>211</v>
      </c>
      <c r="C640" t="s">
        <v>62</v>
      </c>
      <c r="D640" t="s">
        <v>14</v>
      </c>
      <c r="E640" t="s">
        <v>172</v>
      </c>
      <c r="F640" t="s">
        <v>36</v>
      </c>
      <c r="G640">
        <v>6</v>
      </c>
      <c r="H640">
        <v>55000</v>
      </c>
      <c r="I640">
        <v>15</v>
      </c>
      <c r="J640">
        <v>183192</v>
      </c>
      <c r="K640">
        <v>9</v>
      </c>
      <c r="L640">
        <v>3</v>
      </c>
      <c r="M640" t="str">
        <f>VLOOKUP(Sales_Data!F640,Product_Master!$A$2:$D$11,2)</f>
        <v>Laptop</v>
      </c>
      <c r="N640" t="str">
        <f>VLOOKUP(F640,Product_Master!$A$2:$C$11,3)</f>
        <v>Electronics</v>
      </c>
      <c r="O640">
        <f>VLOOKUP(F640,Product_Master!$A$2:$D$11,4,FALSE)</f>
        <v>45000</v>
      </c>
      <c r="P640">
        <f t="shared" si="90"/>
        <v>330000</v>
      </c>
      <c r="Q640">
        <f t="shared" si="91"/>
        <v>49500</v>
      </c>
      <c r="R640">
        <f t="shared" si="92"/>
        <v>280500</v>
      </c>
      <c r="S640">
        <f t="shared" si="93"/>
        <v>10500</v>
      </c>
      <c r="T640" t="str">
        <f>_xlfn.CONCAT(Sales_Data!C640,"-",Sales_Data!E640,"-",Sales_Data!A640)</f>
        <v>East-C1033-1639</v>
      </c>
      <c r="U640" t="str">
        <f t="shared" si="94"/>
        <v>High Value</v>
      </c>
      <c r="V640" t="str" cm="1">
        <f t="array" ref="V640">_xlfn.IFS(R640&gt;=100000,"Excellent",R640&gt;=50000,"Good",R640&gt;=20000,"Average",TRUE,"Poor")</f>
        <v>Excellent</v>
      </c>
      <c r="W640">
        <f t="shared" si="95"/>
        <v>3</v>
      </c>
      <c r="X640" t="str">
        <f t="shared" si="96"/>
        <v>September</v>
      </c>
      <c r="Y640">
        <f>HLOOKUP("Q"&amp;W640,Bonus_HLookup!$A$1:$E$2,2,FALSE)</f>
        <v>0.06</v>
      </c>
      <c r="Z640">
        <f t="shared" si="97"/>
        <v>49461.84</v>
      </c>
      <c r="AA640" s="1">
        <f t="shared" si="98"/>
        <v>5825.4566254398542</v>
      </c>
      <c r="AB640">
        <f t="shared" si="99"/>
        <v>59</v>
      </c>
    </row>
    <row r="641" spans="1:28" x14ac:dyDescent="0.3">
      <c r="A641">
        <v>1640</v>
      </c>
      <c r="B641" t="s">
        <v>37</v>
      </c>
      <c r="C641" t="s">
        <v>13</v>
      </c>
      <c r="D641" t="s">
        <v>14</v>
      </c>
      <c r="E641" t="s">
        <v>174</v>
      </c>
      <c r="F641" t="s">
        <v>16</v>
      </c>
      <c r="G641">
        <v>9</v>
      </c>
      <c r="H641">
        <v>2500</v>
      </c>
      <c r="I641">
        <v>8</v>
      </c>
      <c r="J641">
        <v>368863</v>
      </c>
      <c r="K641">
        <v>8</v>
      </c>
      <c r="L641">
        <v>4</v>
      </c>
      <c r="M641" t="str">
        <f>VLOOKUP(Sales_Data!F641,Product_Master!$A$2:$D$11,2)</f>
        <v>Speaker</v>
      </c>
      <c r="N641" t="str">
        <f>VLOOKUP(F641,Product_Master!$A$2:$C$11,3)</f>
        <v>Accessories</v>
      </c>
      <c r="O641">
        <f>VLOOKUP(F641,Product_Master!$A$2:$D$11,4,FALSE)</f>
        <v>1800</v>
      </c>
      <c r="P641">
        <f t="shared" si="90"/>
        <v>22500</v>
      </c>
      <c r="Q641">
        <f t="shared" si="91"/>
        <v>1800</v>
      </c>
      <c r="R641">
        <f t="shared" si="92"/>
        <v>20700</v>
      </c>
      <c r="S641">
        <f t="shared" si="93"/>
        <v>4500</v>
      </c>
      <c r="T641" t="str">
        <f>_xlfn.CONCAT(Sales_Data!C641,"-",Sales_Data!E641,"-",Sales_Data!A641)</f>
        <v>West-C1044-1640</v>
      </c>
      <c r="U641" t="str">
        <f t="shared" si="94"/>
        <v>Regular</v>
      </c>
      <c r="V641" t="str" cm="1">
        <f t="array" ref="V641">_xlfn.IFS(R641&gt;=100000,"Excellent",R641&gt;=50000,"Good",R641&gt;=20000,"Average",TRUE,"Poor")</f>
        <v>Average</v>
      </c>
      <c r="W641">
        <f t="shared" si="95"/>
        <v>4</v>
      </c>
      <c r="X641" t="str">
        <f t="shared" si="96"/>
        <v>November</v>
      </c>
      <c r="Y641">
        <f>HLOOKUP("Q"&amp;W641,Bonus_HLookup!$A$1:$E$2,2,FALSE)</f>
        <v>0.08</v>
      </c>
      <c r="Z641">
        <f t="shared" si="97"/>
        <v>118036.16</v>
      </c>
      <c r="AA641" s="1">
        <f t="shared" si="98"/>
        <v>9005.023773653631</v>
      </c>
      <c r="AB641">
        <f t="shared" si="99"/>
        <v>438</v>
      </c>
    </row>
    <row r="642" spans="1:28" x14ac:dyDescent="0.3">
      <c r="A642">
        <v>1641</v>
      </c>
      <c r="B642" t="s">
        <v>389</v>
      </c>
      <c r="C642" t="s">
        <v>62</v>
      </c>
      <c r="D642" t="s">
        <v>19</v>
      </c>
      <c r="E642" t="s">
        <v>47</v>
      </c>
      <c r="F642" t="s">
        <v>74</v>
      </c>
      <c r="G642">
        <v>4</v>
      </c>
      <c r="H642">
        <v>35000</v>
      </c>
      <c r="I642">
        <v>8</v>
      </c>
      <c r="J642">
        <v>333751</v>
      </c>
      <c r="K642">
        <v>9</v>
      </c>
      <c r="L642">
        <v>3</v>
      </c>
      <c r="M642" t="str">
        <f>VLOOKUP(Sales_Data!F642,Product_Master!$A$2:$D$11,2)</f>
        <v>Tablet</v>
      </c>
      <c r="N642" t="str">
        <f>VLOOKUP(F642,Product_Master!$A$2:$C$11,3)</f>
        <v>Electronics</v>
      </c>
      <c r="O642">
        <f>VLOOKUP(F642,Product_Master!$A$2:$D$11,4,FALSE)</f>
        <v>29000</v>
      </c>
      <c r="P642">
        <f t="shared" si="90"/>
        <v>140000</v>
      </c>
      <c r="Q642">
        <f t="shared" si="91"/>
        <v>11200</v>
      </c>
      <c r="R642">
        <f t="shared" si="92"/>
        <v>128800</v>
      </c>
      <c r="S642">
        <f t="shared" si="93"/>
        <v>12800</v>
      </c>
      <c r="T642" t="str">
        <f>_xlfn.CONCAT(Sales_Data!C642,"-",Sales_Data!E642,"-",Sales_Data!A642)</f>
        <v>East-C1030-1641</v>
      </c>
      <c r="U642" t="str">
        <f t="shared" si="94"/>
        <v>High Value</v>
      </c>
      <c r="V642" t="str" cm="1">
        <f t="array" ref="V642">_xlfn.IFS(R642&gt;=100000,"Excellent",R642&gt;=50000,"Good",R642&gt;=20000,"Average",TRUE,"Poor")</f>
        <v>Excellent</v>
      </c>
      <c r="W642">
        <f t="shared" si="95"/>
        <v>1</v>
      </c>
      <c r="X642" t="str">
        <f t="shared" si="96"/>
        <v>January</v>
      </c>
      <c r="Y642">
        <f>HLOOKUP("Q"&amp;W642,Bonus_HLookup!$A$1:$E$2,2,FALSE)</f>
        <v>0.02</v>
      </c>
      <c r="Z642">
        <f t="shared" si="97"/>
        <v>90112.77</v>
      </c>
      <c r="AA642" s="1">
        <f t="shared" si="98"/>
        <v>10613.192574987865</v>
      </c>
      <c r="AB642">
        <f t="shared" si="99"/>
        <v>141</v>
      </c>
    </row>
    <row r="643" spans="1:28" x14ac:dyDescent="0.3">
      <c r="A643">
        <v>1642</v>
      </c>
      <c r="B643" t="s">
        <v>211</v>
      </c>
      <c r="C643" t="s">
        <v>18</v>
      </c>
      <c r="D643" t="s">
        <v>46</v>
      </c>
      <c r="E643" t="s">
        <v>125</v>
      </c>
      <c r="F643" t="s">
        <v>36</v>
      </c>
      <c r="G643">
        <v>2</v>
      </c>
      <c r="H643">
        <v>55000</v>
      </c>
      <c r="I643">
        <v>15</v>
      </c>
      <c r="J643">
        <v>423012</v>
      </c>
      <c r="K643">
        <v>12</v>
      </c>
      <c r="L643">
        <v>4</v>
      </c>
      <c r="M643" t="str">
        <f>VLOOKUP(Sales_Data!F643,Product_Master!$A$2:$D$11,2)</f>
        <v>Laptop</v>
      </c>
      <c r="N643" t="str">
        <f>VLOOKUP(F643,Product_Master!$A$2:$C$11,3)</f>
        <v>Electronics</v>
      </c>
      <c r="O643">
        <f>VLOOKUP(F643,Product_Master!$A$2:$D$11,4,FALSE)</f>
        <v>45000</v>
      </c>
      <c r="P643">
        <f t="shared" ref="P643:P706" si="100">H643*G643</f>
        <v>110000</v>
      </c>
      <c r="Q643">
        <f t="shared" ref="Q643:Q706" si="101">P643*(I643/100)</f>
        <v>16500</v>
      </c>
      <c r="R643">
        <f t="shared" ref="R643:R706" si="102">P643-Q643</f>
        <v>93500</v>
      </c>
      <c r="S643">
        <f t="shared" ref="S643:S706" si="103">R643-(G643*O643)</f>
        <v>3500</v>
      </c>
      <c r="T643" t="str">
        <f>_xlfn.CONCAT(Sales_Data!C643,"-",Sales_Data!E643,"-",Sales_Data!A643)</f>
        <v>North-C1039-1642</v>
      </c>
      <c r="U643" t="str">
        <f t="shared" ref="U643:U706" si="104">IF(R643&gt;=50000,"High Value","Regular")</f>
        <v>High Value</v>
      </c>
      <c r="V643" t="str" cm="1">
        <f t="array" ref="V643">_xlfn.IFS(R643&gt;=100000,"Excellent",R643&gt;=50000,"Good",R643&gt;=20000,"Average",TRUE,"Poor")</f>
        <v>Good</v>
      </c>
      <c r="W643">
        <f t="shared" ref="W643:W706" si="105">ROUNDUP(MONTH(B643)/3,0)</f>
        <v>3</v>
      </c>
      <c r="X643" t="str">
        <f t="shared" ref="X643:X706" si="106">TEXT(B643,"mmmm")</f>
        <v>September</v>
      </c>
      <c r="Y643">
        <f>HLOOKUP("Q"&amp;W643,Bonus_HLookup!$A$1:$E$2,2,FALSE)</f>
        <v>0.06</v>
      </c>
      <c r="Z643">
        <f t="shared" ref="Z643:Z706" si="107">(J643*K643*L643)/100</f>
        <v>203045.76000000001</v>
      </c>
      <c r="AA643" s="1">
        <f t="shared" ref="AA643:AA706" si="108">PMT(K643/1200,L643*12,-J643)</f>
        <v>11139.528393730629</v>
      </c>
      <c r="AB643">
        <f t="shared" ref="AB643:AB706" si="109">RANK(R643,$R$2:$R$1001)</f>
        <v>179</v>
      </c>
    </row>
    <row r="644" spans="1:28" x14ac:dyDescent="0.3">
      <c r="A644">
        <v>1643</v>
      </c>
      <c r="B644" t="s">
        <v>104</v>
      </c>
      <c r="C644" t="s">
        <v>13</v>
      </c>
      <c r="D644" t="s">
        <v>19</v>
      </c>
      <c r="E644" t="s">
        <v>140</v>
      </c>
      <c r="F644" t="s">
        <v>16</v>
      </c>
      <c r="G644">
        <v>2</v>
      </c>
      <c r="H644">
        <v>2500</v>
      </c>
      <c r="I644">
        <v>15</v>
      </c>
      <c r="J644">
        <v>71013</v>
      </c>
      <c r="K644">
        <v>8</v>
      </c>
      <c r="L644">
        <v>3</v>
      </c>
      <c r="M644" t="str">
        <f>VLOOKUP(Sales_Data!F644,Product_Master!$A$2:$D$11,2)</f>
        <v>Speaker</v>
      </c>
      <c r="N644" t="str">
        <f>VLOOKUP(F644,Product_Master!$A$2:$C$11,3)</f>
        <v>Accessories</v>
      </c>
      <c r="O644">
        <f>VLOOKUP(F644,Product_Master!$A$2:$D$11,4,FALSE)</f>
        <v>1800</v>
      </c>
      <c r="P644">
        <f t="shared" si="100"/>
        <v>5000</v>
      </c>
      <c r="Q644">
        <f t="shared" si="101"/>
        <v>750</v>
      </c>
      <c r="R644">
        <f t="shared" si="102"/>
        <v>4250</v>
      </c>
      <c r="S644">
        <f t="shared" si="103"/>
        <v>650</v>
      </c>
      <c r="T644" t="str">
        <f>_xlfn.CONCAT(Sales_Data!C644,"-",Sales_Data!E644,"-",Sales_Data!A644)</f>
        <v>West-C1011-1643</v>
      </c>
      <c r="U644" t="str">
        <f t="shared" si="104"/>
        <v>Regular</v>
      </c>
      <c r="V644" t="str" cm="1">
        <f t="array" ref="V644">_xlfn.IFS(R644&gt;=100000,"Excellent",R644&gt;=50000,"Good",R644&gt;=20000,"Average",TRUE,"Poor")</f>
        <v>Poor</v>
      </c>
      <c r="W644">
        <f t="shared" si="105"/>
        <v>1</v>
      </c>
      <c r="X644" t="str">
        <f t="shared" si="106"/>
        <v>February</v>
      </c>
      <c r="Y644">
        <f>HLOOKUP("Q"&amp;W644,Bonus_HLookup!$A$1:$E$2,2,FALSE)</f>
        <v>0.02</v>
      </c>
      <c r="Z644">
        <f t="shared" si="107"/>
        <v>17043.12</v>
      </c>
      <c r="AA644" s="1">
        <f t="shared" si="108"/>
        <v>2225.2893205125893</v>
      </c>
      <c r="AB644">
        <f t="shared" si="109"/>
        <v>825</v>
      </c>
    </row>
    <row r="645" spans="1:28" x14ac:dyDescent="0.3">
      <c r="A645">
        <v>1644</v>
      </c>
      <c r="B645" t="s">
        <v>178</v>
      </c>
      <c r="C645" t="s">
        <v>30</v>
      </c>
      <c r="D645" t="s">
        <v>33</v>
      </c>
      <c r="E645" t="s">
        <v>71</v>
      </c>
      <c r="F645" t="s">
        <v>52</v>
      </c>
      <c r="G645">
        <v>9</v>
      </c>
      <c r="H645">
        <v>500</v>
      </c>
      <c r="I645">
        <v>10</v>
      </c>
      <c r="J645">
        <v>296087</v>
      </c>
      <c r="K645">
        <v>7</v>
      </c>
      <c r="L645">
        <v>2</v>
      </c>
      <c r="M645" t="str">
        <f>VLOOKUP(Sales_Data!F645,Product_Master!$A$2:$D$11,2)</f>
        <v>Mouse</v>
      </c>
      <c r="N645" t="str">
        <f>VLOOKUP(F645,Product_Master!$A$2:$C$11,3)</f>
        <v>Accessories</v>
      </c>
      <c r="O645">
        <f>VLOOKUP(F645,Product_Master!$A$2:$D$11,4,FALSE)</f>
        <v>350</v>
      </c>
      <c r="P645">
        <f t="shared" si="100"/>
        <v>4500</v>
      </c>
      <c r="Q645">
        <f t="shared" si="101"/>
        <v>450</v>
      </c>
      <c r="R645">
        <f t="shared" si="102"/>
        <v>4050</v>
      </c>
      <c r="S645">
        <f t="shared" si="103"/>
        <v>900</v>
      </c>
      <c r="T645" t="str">
        <f>_xlfn.CONCAT(Sales_Data!C645,"-",Sales_Data!E645,"-",Sales_Data!A645)</f>
        <v>South-C1019-1644</v>
      </c>
      <c r="U645" t="str">
        <f t="shared" si="104"/>
        <v>Regular</v>
      </c>
      <c r="V645" t="str" cm="1">
        <f t="array" ref="V645">_xlfn.IFS(R645&gt;=100000,"Excellent",R645&gt;=50000,"Good",R645&gt;=20000,"Average",TRUE,"Poor")</f>
        <v>Poor</v>
      </c>
      <c r="W645">
        <f t="shared" si="105"/>
        <v>2</v>
      </c>
      <c r="X645" t="str">
        <f t="shared" si="106"/>
        <v>June</v>
      </c>
      <c r="Y645">
        <f>HLOOKUP("Q"&amp;W645,Bonus_HLookup!$A$1:$E$2,2,FALSE)</f>
        <v>0.04</v>
      </c>
      <c r="Z645">
        <f t="shared" si="107"/>
        <v>41452.18</v>
      </c>
      <c r="AA645" s="1">
        <f t="shared" si="108"/>
        <v>13256.578628913017</v>
      </c>
      <c r="AB645">
        <f t="shared" si="109"/>
        <v>832</v>
      </c>
    </row>
    <row r="646" spans="1:28" x14ac:dyDescent="0.3">
      <c r="A646">
        <v>1645</v>
      </c>
      <c r="B646" t="s">
        <v>100</v>
      </c>
      <c r="C646" t="s">
        <v>62</v>
      </c>
      <c r="D646" t="s">
        <v>33</v>
      </c>
      <c r="E646" t="s">
        <v>57</v>
      </c>
      <c r="F646" t="s">
        <v>21</v>
      </c>
      <c r="G646">
        <v>7</v>
      </c>
      <c r="H646">
        <v>12000</v>
      </c>
      <c r="I646">
        <v>15</v>
      </c>
      <c r="J646">
        <v>352760</v>
      </c>
      <c r="K646">
        <v>12</v>
      </c>
      <c r="L646">
        <v>2</v>
      </c>
      <c r="M646" t="str">
        <f>VLOOKUP(Sales_Data!F646,Product_Master!$A$2:$D$11,2)</f>
        <v>Monitor</v>
      </c>
      <c r="N646" t="str">
        <f>VLOOKUP(F646,Product_Master!$A$2:$C$11,3)</f>
        <v>Electronics</v>
      </c>
      <c r="O646">
        <f>VLOOKUP(F646,Product_Master!$A$2:$D$11,4,FALSE)</f>
        <v>9000</v>
      </c>
      <c r="P646">
        <f t="shared" si="100"/>
        <v>84000</v>
      </c>
      <c r="Q646">
        <f t="shared" si="101"/>
        <v>12600</v>
      </c>
      <c r="R646">
        <f t="shared" si="102"/>
        <v>71400</v>
      </c>
      <c r="S646">
        <f t="shared" si="103"/>
        <v>8400</v>
      </c>
      <c r="T646" t="str">
        <f>_xlfn.CONCAT(Sales_Data!C646,"-",Sales_Data!E646,"-",Sales_Data!A646)</f>
        <v>East-C1012-1645</v>
      </c>
      <c r="U646" t="str">
        <f t="shared" si="104"/>
        <v>High Value</v>
      </c>
      <c r="V646" t="str" cm="1">
        <f t="array" ref="V646">_xlfn.IFS(R646&gt;=100000,"Excellent",R646&gt;=50000,"Good",R646&gt;=20000,"Average",TRUE,"Poor")</f>
        <v>Good</v>
      </c>
      <c r="W646">
        <f t="shared" si="105"/>
        <v>2</v>
      </c>
      <c r="X646" t="str">
        <f t="shared" si="106"/>
        <v>April</v>
      </c>
      <c r="Y646">
        <f>HLOOKUP("Q"&amp;W646,Bonus_HLookup!$A$1:$E$2,2,FALSE)</f>
        <v>0.04</v>
      </c>
      <c r="Z646">
        <f t="shared" si="107"/>
        <v>84662.399999999994</v>
      </c>
      <c r="AA646" s="1">
        <f t="shared" si="108"/>
        <v>16605.638061478854</v>
      </c>
      <c r="AB646">
        <f t="shared" si="109"/>
        <v>213</v>
      </c>
    </row>
    <row r="647" spans="1:28" x14ac:dyDescent="0.3">
      <c r="A647">
        <v>1646</v>
      </c>
      <c r="B647" t="s">
        <v>22</v>
      </c>
      <c r="C647" t="s">
        <v>62</v>
      </c>
      <c r="D647" t="s">
        <v>14</v>
      </c>
      <c r="E647" t="s">
        <v>172</v>
      </c>
      <c r="F647" t="s">
        <v>36</v>
      </c>
      <c r="G647">
        <v>2</v>
      </c>
      <c r="H647">
        <v>55000</v>
      </c>
      <c r="I647">
        <v>10</v>
      </c>
      <c r="J647">
        <v>287271</v>
      </c>
      <c r="K647">
        <v>9</v>
      </c>
      <c r="L647">
        <v>5</v>
      </c>
      <c r="M647" t="str">
        <f>VLOOKUP(Sales_Data!F647,Product_Master!$A$2:$D$11,2)</f>
        <v>Laptop</v>
      </c>
      <c r="N647" t="str">
        <f>VLOOKUP(F647,Product_Master!$A$2:$C$11,3)</f>
        <v>Electronics</v>
      </c>
      <c r="O647">
        <f>VLOOKUP(F647,Product_Master!$A$2:$D$11,4,FALSE)</f>
        <v>45000</v>
      </c>
      <c r="P647">
        <f t="shared" si="100"/>
        <v>110000</v>
      </c>
      <c r="Q647">
        <f t="shared" si="101"/>
        <v>11000</v>
      </c>
      <c r="R647">
        <f t="shared" si="102"/>
        <v>99000</v>
      </c>
      <c r="S647">
        <f t="shared" si="103"/>
        <v>9000</v>
      </c>
      <c r="T647" t="str">
        <f>_xlfn.CONCAT(Sales_Data!C647,"-",Sales_Data!E647,"-",Sales_Data!A647)</f>
        <v>East-C1033-1646</v>
      </c>
      <c r="U647" t="str">
        <f t="shared" si="104"/>
        <v>High Value</v>
      </c>
      <c r="V647" t="str" cm="1">
        <f t="array" ref="V647">_xlfn.IFS(R647&gt;=100000,"Excellent",R647&gt;=50000,"Good",R647&gt;=20000,"Average",TRUE,"Poor")</f>
        <v>Good</v>
      </c>
      <c r="W647">
        <f t="shared" si="105"/>
        <v>1</v>
      </c>
      <c r="X647" t="str">
        <f t="shared" si="106"/>
        <v>January</v>
      </c>
      <c r="Y647">
        <f>HLOOKUP("Q"&amp;W647,Bonus_HLookup!$A$1:$E$2,2,FALSE)</f>
        <v>0.02</v>
      </c>
      <c r="Z647">
        <f t="shared" si="107"/>
        <v>129271.95</v>
      </c>
      <c r="AA647" s="1">
        <f t="shared" si="108"/>
        <v>5963.273464229942</v>
      </c>
      <c r="AB647">
        <f t="shared" si="109"/>
        <v>165</v>
      </c>
    </row>
    <row r="648" spans="1:28" x14ac:dyDescent="0.3">
      <c r="A648">
        <v>1647</v>
      </c>
      <c r="B648" t="s">
        <v>204</v>
      </c>
      <c r="C648" t="s">
        <v>62</v>
      </c>
      <c r="D648" t="s">
        <v>23</v>
      </c>
      <c r="E648" t="s">
        <v>24</v>
      </c>
      <c r="F648" t="s">
        <v>21</v>
      </c>
      <c r="G648">
        <v>1</v>
      </c>
      <c r="H648">
        <v>12000</v>
      </c>
      <c r="I648">
        <v>10</v>
      </c>
      <c r="J648">
        <v>128224</v>
      </c>
      <c r="K648">
        <v>10</v>
      </c>
      <c r="L648">
        <v>4</v>
      </c>
      <c r="M648" t="str">
        <f>VLOOKUP(Sales_Data!F648,Product_Master!$A$2:$D$11,2)</f>
        <v>Monitor</v>
      </c>
      <c r="N648" t="str">
        <f>VLOOKUP(F648,Product_Master!$A$2:$C$11,3)</f>
        <v>Electronics</v>
      </c>
      <c r="O648">
        <f>VLOOKUP(F648,Product_Master!$A$2:$D$11,4,FALSE)</f>
        <v>9000</v>
      </c>
      <c r="P648">
        <f t="shared" si="100"/>
        <v>12000</v>
      </c>
      <c r="Q648">
        <f t="shared" si="101"/>
        <v>1200</v>
      </c>
      <c r="R648">
        <f t="shared" si="102"/>
        <v>10800</v>
      </c>
      <c r="S648">
        <f t="shared" si="103"/>
        <v>1800</v>
      </c>
      <c r="T648" t="str">
        <f>_xlfn.CONCAT(Sales_Data!C648,"-",Sales_Data!E648,"-",Sales_Data!A648)</f>
        <v>East-C1029-1647</v>
      </c>
      <c r="U648" t="str">
        <f t="shared" si="104"/>
        <v>Regular</v>
      </c>
      <c r="V648" t="str" cm="1">
        <f t="array" ref="V648">_xlfn.IFS(R648&gt;=100000,"Excellent",R648&gt;=50000,"Good",R648&gt;=20000,"Average",TRUE,"Poor")</f>
        <v>Poor</v>
      </c>
      <c r="W648">
        <f t="shared" si="105"/>
        <v>4</v>
      </c>
      <c r="X648" t="str">
        <f t="shared" si="106"/>
        <v>November</v>
      </c>
      <c r="Y648">
        <f>HLOOKUP("Q"&amp;W648,Bonus_HLookup!$A$1:$E$2,2,FALSE)</f>
        <v>0.08</v>
      </c>
      <c r="Z648">
        <f t="shared" si="107"/>
        <v>51289.599999999999</v>
      </c>
      <c r="AA648" s="1">
        <f t="shared" si="108"/>
        <v>3252.0918983370234</v>
      </c>
      <c r="AB648">
        <f t="shared" si="109"/>
        <v>619</v>
      </c>
    </row>
    <row r="649" spans="1:28" x14ac:dyDescent="0.3">
      <c r="A649">
        <v>1648</v>
      </c>
      <c r="B649" t="s">
        <v>383</v>
      </c>
      <c r="C649" t="s">
        <v>30</v>
      </c>
      <c r="D649" t="s">
        <v>23</v>
      </c>
      <c r="E649" t="s">
        <v>106</v>
      </c>
      <c r="F649" t="s">
        <v>69</v>
      </c>
      <c r="G649">
        <v>1</v>
      </c>
      <c r="H649">
        <v>2000</v>
      </c>
      <c r="I649">
        <v>8</v>
      </c>
      <c r="J649">
        <v>238566</v>
      </c>
      <c r="K649">
        <v>9</v>
      </c>
      <c r="L649">
        <v>4</v>
      </c>
      <c r="M649" t="str">
        <f>VLOOKUP(Sales_Data!F649,Product_Master!$A$2:$D$11,2)</f>
        <v>Headset</v>
      </c>
      <c r="N649" t="str">
        <f>VLOOKUP(F649,Product_Master!$A$2:$C$11,3)</f>
        <v>Accessories</v>
      </c>
      <c r="O649">
        <f>VLOOKUP(F649,Product_Master!$A$2:$D$11,4,FALSE)</f>
        <v>1500</v>
      </c>
      <c r="P649">
        <f t="shared" si="100"/>
        <v>2000</v>
      </c>
      <c r="Q649">
        <f t="shared" si="101"/>
        <v>160</v>
      </c>
      <c r="R649">
        <f t="shared" si="102"/>
        <v>1840</v>
      </c>
      <c r="S649">
        <f t="shared" si="103"/>
        <v>340</v>
      </c>
      <c r="T649" t="str">
        <f>_xlfn.CONCAT(Sales_Data!C649,"-",Sales_Data!E649,"-",Sales_Data!A649)</f>
        <v>South-C1004-1648</v>
      </c>
      <c r="U649" t="str">
        <f t="shared" si="104"/>
        <v>Regular</v>
      </c>
      <c r="V649" t="str" cm="1">
        <f t="array" ref="V649">_xlfn.IFS(R649&gt;=100000,"Excellent",R649&gt;=50000,"Good",R649&gt;=20000,"Average",TRUE,"Poor")</f>
        <v>Poor</v>
      </c>
      <c r="W649">
        <f t="shared" si="105"/>
        <v>2</v>
      </c>
      <c r="X649" t="str">
        <f t="shared" si="106"/>
        <v>June</v>
      </c>
      <c r="Y649">
        <f>HLOOKUP("Q"&amp;W649,Bonus_HLookup!$A$1:$E$2,2,FALSE)</f>
        <v>0.04</v>
      </c>
      <c r="Z649">
        <f t="shared" si="107"/>
        <v>85883.76</v>
      </c>
      <c r="AA649" s="1">
        <f t="shared" si="108"/>
        <v>5936.7250189799888</v>
      </c>
      <c r="AB649">
        <f t="shared" si="109"/>
        <v>937</v>
      </c>
    </row>
    <row r="650" spans="1:28" x14ac:dyDescent="0.3">
      <c r="A650">
        <v>1649</v>
      </c>
      <c r="B650" t="s">
        <v>216</v>
      </c>
      <c r="C650" t="s">
        <v>13</v>
      </c>
      <c r="D650" t="s">
        <v>19</v>
      </c>
      <c r="E650" t="s">
        <v>57</v>
      </c>
      <c r="F650" t="s">
        <v>28</v>
      </c>
      <c r="G650">
        <v>5</v>
      </c>
      <c r="H650">
        <v>950</v>
      </c>
      <c r="I650">
        <v>2</v>
      </c>
      <c r="J650">
        <v>476586</v>
      </c>
      <c r="K650">
        <v>7</v>
      </c>
      <c r="L650">
        <v>2</v>
      </c>
      <c r="M650" t="str">
        <f>VLOOKUP(Sales_Data!F650,Product_Master!$A$2:$D$11,2)</f>
        <v>Webcam</v>
      </c>
      <c r="N650" t="str">
        <f>VLOOKUP(F650,Product_Master!$A$2:$C$11,3)</f>
        <v>Accessories</v>
      </c>
      <c r="O650">
        <f>VLOOKUP(F650,Product_Master!$A$2:$D$11,4,FALSE)</f>
        <v>700</v>
      </c>
      <c r="P650">
        <f t="shared" si="100"/>
        <v>4750</v>
      </c>
      <c r="Q650">
        <f t="shared" si="101"/>
        <v>95</v>
      </c>
      <c r="R650">
        <f t="shared" si="102"/>
        <v>4655</v>
      </c>
      <c r="S650">
        <f t="shared" si="103"/>
        <v>1155</v>
      </c>
      <c r="T650" t="str">
        <f>_xlfn.CONCAT(Sales_Data!C650,"-",Sales_Data!E650,"-",Sales_Data!A650)</f>
        <v>West-C1012-1649</v>
      </c>
      <c r="U650" t="str">
        <f t="shared" si="104"/>
        <v>Regular</v>
      </c>
      <c r="V650" t="str" cm="1">
        <f t="array" ref="V650">_xlfn.IFS(R650&gt;=100000,"Excellent",R650&gt;=50000,"Good",R650&gt;=20000,"Average",TRUE,"Poor")</f>
        <v>Poor</v>
      </c>
      <c r="W650">
        <f t="shared" si="105"/>
        <v>1</v>
      </c>
      <c r="X650" t="str">
        <f t="shared" si="106"/>
        <v>February</v>
      </c>
      <c r="Y650">
        <f>HLOOKUP("Q"&amp;W650,Bonus_HLookup!$A$1:$E$2,2,FALSE)</f>
        <v>0.02</v>
      </c>
      <c r="Z650">
        <f t="shared" si="107"/>
        <v>66722.039999999994</v>
      </c>
      <c r="AA650" s="1">
        <f t="shared" si="108"/>
        <v>21337.984384451662</v>
      </c>
      <c r="AB650">
        <f t="shared" si="109"/>
        <v>800</v>
      </c>
    </row>
    <row r="651" spans="1:28" x14ac:dyDescent="0.3">
      <c r="A651">
        <v>1650</v>
      </c>
      <c r="B651" t="s">
        <v>368</v>
      </c>
      <c r="C651" t="s">
        <v>13</v>
      </c>
      <c r="D651" t="s">
        <v>46</v>
      </c>
      <c r="E651" t="s">
        <v>41</v>
      </c>
      <c r="F651" t="s">
        <v>25</v>
      </c>
      <c r="G651">
        <v>7</v>
      </c>
      <c r="H651">
        <v>1500</v>
      </c>
      <c r="I651">
        <v>12</v>
      </c>
      <c r="J651">
        <v>473404</v>
      </c>
      <c r="K651">
        <v>8</v>
      </c>
      <c r="L651">
        <v>3</v>
      </c>
      <c r="M651" t="str">
        <f>VLOOKUP(Sales_Data!F651,Product_Master!$A$2:$D$11,2)</f>
        <v>Keyboard</v>
      </c>
      <c r="N651" t="str">
        <f>VLOOKUP(F651,Product_Master!$A$2:$C$11,3)</f>
        <v>Accessories</v>
      </c>
      <c r="O651">
        <f>VLOOKUP(F651,Product_Master!$A$2:$D$11,4,FALSE)</f>
        <v>1200</v>
      </c>
      <c r="P651">
        <f t="shared" si="100"/>
        <v>10500</v>
      </c>
      <c r="Q651">
        <f t="shared" si="101"/>
        <v>1260</v>
      </c>
      <c r="R651">
        <f t="shared" si="102"/>
        <v>9240</v>
      </c>
      <c r="S651">
        <f t="shared" si="103"/>
        <v>840</v>
      </c>
      <c r="T651" t="str">
        <f>_xlfn.CONCAT(Sales_Data!C651,"-",Sales_Data!E651,"-",Sales_Data!A651)</f>
        <v>West-C1023-1650</v>
      </c>
      <c r="U651" t="str">
        <f t="shared" si="104"/>
        <v>Regular</v>
      </c>
      <c r="V651" t="str" cm="1">
        <f t="array" ref="V651">_xlfn.IFS(R651&gt;=100000,"Excellent",R651&gt;=50000,"Good",R651&gt;=20000,"Average",TRUE,"Poor")</f>
        <v>Poor</v>
      </c>
      <c r="W651">
        <f t="shared" si="105"/>
        <v>4</v>
      </c>
      <c r="X651" t="str">
        <f t="shared" si="106"/>
        <v>November</v>
      </c>
      <c r="Y651">
        <f>HLOOKUP("Q"&amp;W651,Bonus_HLookup!$A$1:$E$2,2,FALSE)</f>
        <v>0.08</v>
      </c>
      <c r="Z651">
        <f t="shared" si="107"/>
        <v>113616.96000000001</v>
      </c>
      <c r="AA651" s="1">
        <f t="shared" si="108"/>
        <v>14834.760754903211</v>
      </c>
      <c r="AB651">
        <f t="shared" si="109"/>
        <v>655</v>
      </c>
    </row>
    <row r="652" spans="1:28" x14ac:dyDescent="0.3">
      <c r="A652">
        <v>1651</v>
      </c>
      <c r="B652" t="s">
        <v>135</v>
      </c>
      <c r="C652" t="s">
        <v>30</v>
      </c>
      <c r="D652" t="s">
        <v>91</v>
      </c>
      <c r="E652" t="s">
        <v>183</v>
      </c>
      <c r="F652" t="s">
        <v>28</v>
      </c>
      <c r="G652">
        <v>3</v>
      </c>
      <c r="H652">
        <v>950</v>
      </c>
      <c r="I652">
        <v>2</v>
      </c>
      <c r="J652">
        <v>263795</v>
      </c>
      <c r="K652">
        <v>7</v>
      </c>
      <c r="L652">
        <v>2</v>
      </c>
      <c r="M652" t="str">
        <f>VLOOKUP(Sales_Data!F652,Product_Master!$A$2:$D$11,2)</f>
        <v>Webcam</v>
      </c>
      <c r="N652" t="str">
        <f>VLOOKUP(F652,Product_Master!$A$2:$C$11,3)</f>
        <v>Accessories</v>
      </c>
      <c r="O652">
        <f>VLOOKUP(F652,Product_Master!$A$2:$D$11,4,FALSE)</f>
        <v>700</v>
      </c>
      <c r="P652">
        <f t="shared" si="100"/>
        <v>2850</v>
      </c>
      <c r="Q652">
        <f t="shared" si="101"/>
        <v>57</v>
      </c>
      <c r="R652">
        <f t="shared" si="102"/>
        <v>2793</v>
      </c>
      <c r="S652">
        <f t="shared" si="103"/>
        <v>693</v>
      </c>
      <c r="T652" t="str">
        <f>_xlfn.CONCAT(Sales_Data!C652,"-",Sales_Data!E652,"-",Sales_Data!A652)</f>
        <v>South-C1008-1651</v>
      </c>
      <c r="U652" t="str">
        <f t="shared" si="104"/>
        <v>Regular</v>
      </c>
      <c r="V652" t="str" cm="1">
        <f t="array" ref="V652">_xlfn.IFS(R652&gt;=100000,"Excellent",R652&gt;=50000,"Good",R652&gt;=20000,"Average",TRUE,"Poor")</f>
        <v>Poor</v>
      </c>
      <c r="W652">
        <f t="shared" si="105"/>
        <v>2</v>
      </c>
      <c r="X652" t="str">
        <f t="shared" si="106"/>
        <v>May</v>
      </c>
      <c r="Y652">
        <f>HLOOKUP("Q"&amp;W652,Bonus_HLookup!$A$1:$E$2,2,FALSE)</f>
        <v>0.04</v>
      </c>
      <c r="Z652">
        <f t="shared" si="107"/>
        <v>36931.300000000003</v>
      </c>
      <c r="AA652" s="1">
        <f t="shared" si="108"/>
        <v>11810.782504514245</v>
      </c>
      <c r="AB652">
        <f t="shared" si="109"/>
        <v>891</v>
      </c>
    </row>
    <row r="653" spans="1:28" x14ac:dyDescent="0.3">
      <c r="A653">
        <v>1652</v>
      </c>
      <c r="B653" t="s">
        <v>127</v>
      </c>
      <c r="C653" t="s">
        <v>30</v>
      </c>
      <c r="D653" t="s">
        <v>23</v>
      </c>
      <c r="E653" t="s">
        <v>131</v>
      </c>
      <c r="F653" t="s">
        <v>28</v>
      </c>
      <c r="G653">
        <v>6</v>
      </c>
      <c r="H653">
        <v>950</v>
      </c>
      <c r="I653">
        <v>0</v>
      </c>
      <c r="J653">
        <v>258815</v>
      </c>
      <c r="K653">
        <v>8</v>
      </c>
      <c r="L653">
        <v>1</v>
      </c>
      <c r="M653" t="str">
        <f>VLOOKUP(Sales_Data!F653,Product_Master!$A$2:$D$11,2)</f>
        <v>Webcam</v>
      </c>
      <c r="N653" t="str">
        <f>VLOOKUP(F653,Product_Master!$A$2:$C$11,3)</f>
        <v>Accessories</v>
      </c>
      <c r="O653">
        <f>VLOOKUP(F653,Product_Master!$A$2:$D$11,4,FALSE)</f>
        <v>700</v>
      </c>
      <c r="P653">
        <f t="shared" si="100"/>
        <v>5700</v>
      </c>
      <c r="Q653">
        <f t="shared" si="101"/>
        <v>0</v>
      </c>
      <c r="R653">
        <f t="shared" si="102"/>
        <v>5700</v>
      </c>
      <c r="S653">
        <f t="shared" si="103"/>
        <v>1500</v>
      </c>
      <c r="T653" t="str">
        <f>_xlfn.CONCAT(Sales_Data!C653,"-",Sales_Data!E653,"-",Sales_Data!A653)</f>
        <v>South-C1047-1652</v>
      </c>
      <c r="U653" t="str">
        <f t="shared" si="104"/>
        <v>Regular</v>
      </c>
      <c r="V653" t="str" cm="1">
        <f t="array" ref="V653">_xlfn.IFS(R653&gt;=100000,"Excellent",R653&gt;=50000,"Good",R653&gt;=20000,"Average",TRUE,"Poor")</f>
        <v>Poor</v>
      </c>
      <c r="W653">
        <f t="shared" si="105"/>
        <v>3</v>
      </c>
      <c r="X653" t="str">
        <f t="shared" si="106"/>
        <v>July</v>
      </c>
      <c r="Y653">
        <f>HLOOKUP("Q"&amp;W653,Bonus_HLookup!$A$1:$E$2,2,FALSE)</f>
        <v>0.06</v>
      </c>
      <c r="Z653">
        <f t="shared" si="107"/>
        <v>20705.2</v>
      </c>
      <c r="AA653" s="1">
        <f t="shared" si="108"/>
        <v>22513.910273743251</v>
      </c>
      <c r="AB653">
        <f t="shared" si="109"/>
        <v>767</v>
      </c>
    </row>
    <row r="654" spans="1:28" x14ac:dyDescent="0.3">
      <c r="A654">
        <v>1653</v>
      </c>
      <c r="B654" t="s">
        <v>390</v>
      </c>
      <c r="C654" t="s">
        <v>30</v>
      </c>
      <c r="D654" t="s">
        <v>91</v>
      </c>
      <c r="E654" t="s">
        <v>47</v>
      </c>
      <c r="F654" t="s">
        <v>25</v>
      </c>
      <c r="G654">
        <v>5</v>
      </c>
      <c r="H654">
        <v>1500</v>
      </c>
      <c r="I654">
        <v>0</v>
      </c>
      <c r="J654">
        <v>299730</v>
      </c>
      <c r="K654">
        <v>12</v>
      </c>
      <c r="L654">
        <v>1</v>
      </c>
      <c r="M654" t="str">
        <f>VLOOKUP(Sales_Data!F654,Product_Master!$A$2:$D$11,2)</f>
        <v>Keyboard</v>
      </c>
      <c r="N654" t="str">
        <f>VLOOKUP(F654,Product_Master!$A$2:$C$11,3)</f>
        <v>Accessories</v>
      </c>
      <c r="O654">
        <f>VLOOKUP(F654,Product_Master!$A$2:$D$11,4,FALSE)</f>
        <v>1200</v>
      </c>
      <c r="P654">
        <f t="shared" si="100"/>
        <v>7500</v>
      </c>
      <c r="Q654">
        <f t="shared" si="101"/>
        <v>0</v>
      </c>
      <c r="R654">
        <f t="shared" si="102"/>
        <v>7500</v>
      </c>
      <c r="S654">
        <f t="shared" si="103"/>
        <v>1500</v>
      </c>
      <c r="T654" t="str">
        <f>_xlfn.CONCAT(Sales_Data!C654,"-",Sales_Data!E654,"-",Sales_Data!A654)</f>
        <v>South-C1030-1653</v>
      </c>
      <c r="U654" t="str">
        <f t="shared" si="104"/>
        <v>Regular</v>
      </c>
      <c r="V654" t="str" cm="1">
        <f t="array" ref="V654">_xlfn.IFS(R654&gt;=100000,"Excellent",R654&gt;=50000,"Good",R654&gt;=20000,"Average",TRUE,"Poor")</f>
        <v>Poor</v>
      </c>
      <c r="W654">
        <f t="shared" si="105"/>
        <v>4</v>
      </c>
      <c r="X654" t="str">
        <f t="shared" si="106"/>
        <v>October</v>
      </c>
      <c r="Y654">
        <f>HLOOKUP("Q"&amp;W654,Bonus_HLookup!$A$1:$E$2,2,FALSE)</f>
        <v>0.08</v>
      </c>
      <c r="Z654">
        <f t="shared" si="107"/>
        <v>35967.599999999999</v>
      </c>
      <c r="AA654" s="1">
        <f t="shared" si="108"/>
        <v>26630.647430559355</v>
      </c>
      <c r="AB654">
        <f t="shared" si="109"/>
        <v>705</v>
      </c>
    </row>
    <row r="655" spans="1:28" x14ac:dyDescent="0.3">
      <c r="A655">
        <v>1654</v>
      </c>
      <c r="B655" t="s">
        <v>110</v>
      </c>
      <c r="C655" t="s">
        <v>30</v>
      </c>
      <c r="D655" t="s">
        <v>50</v>
      </c>
      <c r="E655" t="s">
        <v>27</v>
      </c>
      <c r="F655" t="s">
        <v>25</v>
      </c>
      <c r="G655">
        <v>10</v>
      </c>
      <c r="H655">
        <v>1500</v>
      </c>
      <c r="I655">
        <v>0</v>
      </c>
      <c r="J655">
        <v>278716</v>
      </c>
      <c r="K655">
        <v>11</v>
      </c>
      <c r="L655">
        <v>5</v>
      </c>
      <c r="M655" t="str">
        <f>VLOOKUP(Sales_Data!F655,Product_Master!$A$2:$D$11,2)</f>
        <v>Keyboard</v>
      </c>
      <c r="N655" t="str">
        <f>VLOOKUP(F655,Product_Master!$A$2:$C$11,3)</f>
        <v>Accessories</v>
      </c>
      <c r="O655">
        <f>VLOOKUP(F655,Product_Master!$A$2:$D$11,4,FALSE)</f>
        <v>1200</v>
      </c>
      <c r="P655">
        <f t="shared" si="100"/>
        <v>15000</v>
      </c>
      <c r="Q655">
        <f t="shared" si="101"/>
        <v>0</v>
      </c>
      <c r="R655">
        <f t="shared" si="102"/>
        <v>15000</v>
      </c>
      <c r="S655">
        <f t="shared" si="103"/>
        <v>3000</v>
      </c>
      <c r="T655" t="str">
        <f>_xlfn.CONCAT(Sales_Data!C655,"-",Sales_Data!E655,"-",Sales_Data!A655)</f>
        <v>South-C1007-1654</v>
      </c>
      <c r="U655" t="str">
        <f t="shared" si="104"/>
        <v>Regular</v>
      </c>
      <c r="V655" t="str" cm="1">
        <f t="array" ref="V655">_xlfn.IFS(R655&gt;=100000,"Excellent",R655&gt;=50000,"Good",R655&gt;=20000,"Average",TRUE,"Poor")</f>
        <v>Poor</v>
      </c>
      <c r="W655">
        <f t="shared" si="105"/>
        <v>2</v>
      </c>
      <c r="X655" t="str">
        <f t="shared" si="106"/>
        <v>June</v>
      </c>
      <c r="Y655">
        <f>HLOOKUP("Q"&amp;W655,Bonus_HLookup!$A$1:$E$2,2,FALSE)</f>
        <v>0.04</v>
      </c>
      <c r="Z655">
        <f t="shared" si="107"/>
        <v>153293.79999999999</v>
      </c>
      <c r="AA655" s="1">
        <f t="shared" si="108"/>
        <v>6059.9611891148525</v>
      </c>
      <c r="AB655">
        <f t="shared" si="109"/>
        <v>526</v>
      </c>
    </row>
    <row r="656" spans="1:28" x14ac:dyDescent="0.3">
      <c r="A656">
        <v>1655</v>
      </c>
      <c r="B656" t="s">
        <v>329</v>
      </c>
      <c r="C656" t="s">
        <v>18</v>
      </c>
      <c r="D656" t="s">
        <v>14</v>
      </c>
      <c r="E656" t="s">
        <v>85</v>
      </c>
      <c r="F656" t="s">
        <v>25</v>
      </c>
      <c r="G656">
        <v>3</v>
      </c>
      <c r="H656">
        <v>1500</v>
      </c>
      <c r="I656">
        <v>10</v>
      </c>
      <c r="J656">
        <v>484444</v>
      </c>
      <c r="K656">
        <v>12</v>
      </c>
      <c r="L656">
        <v>3</v>
      </c>
      <c r="M656" t="str">
        <f>VLOOKUP(Sales_Data!F656,Product_Master!$A$2:$D$11,2)</f>
        <v>Keyboard</v>
      </c>
      <c r="N656" t="str">
        <f>VLOOKUP(F656,Product_Master!$A$2:$C$11,3)</f>
        <v>Accessories</v>
      </c>
      <c r="O656">
        <f>VLOOKUP(F656,Product_Master!$A$2:$D$11,4,FALSE)</f>
        <v>1200</v>
      </c>
      <c r="P656">
        <f t="shared" si="100"/>
        <v>4500</v>
      </c>
      <c r="Q656">
        <f t="shared" si="101"/>
        <v>450</v>
      </c>
      <c r="R656">
        <f t="shared" si="102"/>
        <v>4050</v>
      </c>
      <c r="S656">
        <f t="shared" si="103"/>
        <v>450</v>
      </c>
      <c r="T656" t="str">
        <f>_xlfn.CONCAT(Sales_Data!C656,"-",Sales_Data!E656,"-",Sales_Data!A656)</f>
        <v>North-C1005-1655</v>
      </c>
      <c r="U656" t="str">
        <f t="shared" si="104"/>
        <v>Regular</v>
      </c>
      <c r="V656" t="str" cm="1">
        <f t="array" ref="V656">_xlfn.IFS(R656&gt;=100000,"Excellent",R656&gt;=50000,"Good",R656&gt;=20000,"Average",TRUE,"Poor")</f>
        <v>Poor</v>
      </c>
      <c r="W656">
        <f t="shared" si="105"/>
        <v>3</v>
      </c>
      <c r="X656" t="str">
        <f t="shared" si="106"/>
        <v>August</v>
      </c>
      <c r="Y656">
        <f>HLOOKUP("Q"&amp;W656,Bonus_HLookup!$A$1:$E$2,2,FALSE)</f>
        <v>0.06</v>
      </c>
      <c r="Z656">
        <f t="shared" si="107"/>
        <v>174399.84</v>
      </c>
      <c r="AA656" s="1">
        <f t="shared" si="108"/>
        <v>16090.473102976883</v>
      </c>
      <c r="AB656">
        <f t="shared" si="109"/>
        <v>832</v>
      </c>
    </row>
    <row r="657" spans="1:28" x14ac:dyDescent="0.3">
      <c r="A657">
        <v>1656</v>
      </c>
      <c r="B657" t="s">
        <v>180</v>
      </c>
      <c r="C657" t="s">
        <v>62</v>
      </c>
      <c r="D657" t="s">
        <v>33</v>
      </c>
      <c r="E657" t="s">
        <v>102</v>
      </c>
      <c r="F657" t="s">
        <v>74</v>
      </c>
      <c r="G657">
        <v>6</v>
      </c>
      <c r="H657">
        <v>35000</v>
      </c>
      <c r="I657">
        <v>8</v>
      </c>
      <c r="J657">
        <v>223656</v>
      </c>
      <c r="K657">
        <v>9</v>
      </c>
      <c r="L657">
        <v>1</v>
      </c>
      <c r="M657" t="str">
        <f>VLOOKUP(Sales_Data!F657,Product_Master!$A$2:$D$11,2)</f>
        <v>Tablet</v>
      </c>
      <c r="N657" t="str">
        <f>VLOOKUP(F657,Product_Master!$A$2:$C$11,3)</f>
        <v>Electronics</v>
      </c>
      <c r="O657">
        <f>VLOOKUP(F657,Product_Master!$A$2:$D$11,4,FALSE)</f>
        <v>29000</v>
      </c>
      <c r="P657">
        <f t="shared" si="100"/>
        <v>210000</v>
      </c>
      <c r="Q657">
        <f t="shared" si="101"/>
        <v>16800</v>
      </c>
      <c r="R657">
        <f t="shared" si="102"/>
        <v>193200</v>
      </c>
      <c r="S657">
        <f t="shared" si="103"/>
        <v>19200</v>
      </c>
      <c r="T657" t="str">
        <f>_xlfn.CONCAT(Sales_Data!C657,"-",Sales_Data!E657,"-",Sales_Data!A657)</f>
        <v>East-C1049-1656</v>
      </c>
      <c r="U657" t="str">
        <f t="shared" si="104"/>
        <v>High Value</v>
      </c>
      <c r="V657" t="str" cm="1">
        <f t="array" ref="V657">_xlfn.IFS(R657&gt;=100000,"Excellent",R657&gt;=50000,"Good",R657&gt;=20000,"Average",TRUE,"Poor")</f>
        <v>Excellent</v>
      </c>
      <c r="W657">
        <f t="shared" si="105"/>
        <v>2</v>
      </c>
      <c r="X657" t="str">
        <f t="shared" si="106"/>
        <v>June</v>
      </c>
      <c r="Y657">
        <f>HLOOKUP("Q"&amp;W657,Bonus_HLookup!$A$1:$E$2,2,FALSE)</f>
        <v>0.04</v>
      </c>
      <c r="Z657">
        <f t="shared" si="107"/>
        <v>20129.04</v>
      </c>
      <c r="AA657" s="1">
        <f t="shared" si="108"/>
        <v>19559.047488453547</v>
      </c>
      <c r="AB657">
        <f t="shared" si="109"/>
        <v>111</v>
      </c>
    </row>
    <row r="658" spans="1:28" x14ac:dyDescent="0.3">
      <c r="A658">
        <v>1657</v>
      </c>
      <c r="B658" t="s">
        <v>181</v>
      </c>
      <c r="C658" t="s">
        <v>62</v>
      </c>
      <c r="D658" t="s">
        <v>46</v>
      </c>
      <c r="E658" t="s">
        <v>20</v>
      </c>
      <c r="F658" t="s">
        <v>36</v>
      </c>
      <c r="G658">
        <v>7</v>
      </c>
      <c r="H658">
        <v>55000</v>
      </c>
      <c r="I658">
        <v>5</v>
      </c>
      <c r="J658">
        <v>83899</v>
      </c>
      <c r="K658">
        <v>10</v>
      </c>
      <c r="L658">
        <v>3</v>
      </c>
      <c r="M658" t="str">
        <f>VLOOKUP(Sales_Data!F658,Product_Master!$A$2:$D$11,2)</f>
        <v>Laptop</v>
      </c>
      <c r="N658" t="str">
        <f>VLOOKUP(F658,Product_Master!$A$2:$C$11,3)</f>
        <v>Electronics</v>
      </c>
      <c r="O658">
        <f>VLOOKUP(F658,Product_Master!$A$2:$D$11,4,FALSE)</f>
        <v>45000</v>
      </c>
      <c r="P658">
        <f t="shared" si="100"/>
        <v>385000</v>
      </c>
      <c r="Q658">
        <f t="shared" si="101"/>
        <v>19250</v>
      </c>
      <c r="R658">
        <f t="shared" si="102"/>
        <v>365750</v>
      </c>
      <c r="S658">
        <f t="shared" si="103"/>
        <v>50750</v>
      </c>
      <c r="T658" t="str">
        <f>_xlfn.CONCAT(Sales_Data!C658,"-",Sales_Data!E658,"-",Sales_Data!A658)</f>
        <v>East-C1003-1657</v>
      </c>
      <c r="U658" t="str">
        <f t="shared" si="104"/>
        <v>High Value</v>
      </c>
      <c r="V658" t="str" cm="1">
        <f t="array" ref="V658">_xlfn.IFS(R658&gt;=100000,"Excellent",R658&gt;=50000,"Good",R658&gt;=20000,"Average",TRUE,"Poor")</f>
        <v>Excellent</v>
      </c>
      <c r="W658">
        <f t="shared" si="105"/>
        <v>2</v>
      </c>
      <c r="X658" t="str">
        <f t="shared" si="106"/>
        <v>April</v>
      </c>
      <c r="Y658">
        <f>HLOOKUP("Q"&amp;W658,Bonus_HLookup!$A$1:$E$2,2,FALSE)</f>
        <v>0.04</v>
      </c>
      <c r="Z658">
        <f t="shared" si="107"/>
        <v>25169.7</v>
      </c>
      <c r="AA658" s="1">
        <f t="shared" si="108"/>
        <v>2707.1847383757713</v>
      </c>
      <c r="AB658">
        <f t="shared" si="109"/>
        <v>30</v>
      </c>
    </row>
    <row r="659" spans="1:28" x14ac:dyDescent="0.3">
      <c r="A659">
        <v>1658</v>
      </c>
      <c r="B659" t="s">
        <v>180</v>
      </c>
      <c r="C659" t="s">
        <v>30</v>
      </c>
      <c r="D659" t="s">
        <v>50</v>
      </c>
      <c r="E659" t="s">
        <v>44</v>
      </c>
      <c r="F659" t="s">
        <v>25</v>
      </c>
      <c r="G659">
        <v>4</v>
      </c>
      <c r="H659">
        <v>1500</v>
      </c>
      <c r="I659">
        <v>2</v>
      </c>
      <c r="J659">
        <v>205269</v>
      </c>
      <c r="K659">
        <v>10</v>
      </c>
      <c r="L659">
        <v>2</v>
      </c>
      <c r="M659" t="str">
        <f>VLOOKUP(Sales_Data!F659,Product_Master!$A$2:$D$11,2)</f>
        <v>Keyboard</v>
      </c>
      <c r="N659" t="str">
        <f>VLOOKUP(F659,Product_Master!$A$2:$C$11,3)</f>
        <v>Accessories</v>
      </c>
      <c r="O659">
        <f>VLOOKUP(F659,Product_Master!$A$2:$D$11,4,FALSE)</f>
        <v>1200</v>
      </c>
      <c r="P659">
        <f t="shared" si="100"/>
        <v>6000</v>
      </c>
      <c r="Q659">
        <f t="shared" si="101"/>
        <v>120</v>
      </c>
      <c r="R659">
        <f t="shared" si="102"/>
        <v>5880</v>
      </c>
      <c r="S659">
        <f t="shared" si="103"/>
        <v>1080</v>
      </c>
      <c r="T659" t="str">
        <f>_xlfn.CONCAT(Sales_Data!C659,"-",Sales_Data!E659,"-",Sales_Data!A659)</f>
        <v>South-C1028-1658</v>
      </c>
      <c r="U659" t="str">
        <f t="shared" si="104"/>
        <v>Regular</v>
      </c>
      <c r="V659" t="str" cm="1">
        <f t="array" ref="V659">_xlfn.IFS(R659&gt;=100000,"Excellent",R659&gt;=50000,"Good",R659&gt;=20000,"Average",TRUE,"Poor")</f>
        <v>Poor</v>
      </c>
      <c r="W659">
        <f t="shared" si="105"/>
        <v>2</v>
      </c>
      <c r="X659" t="str">
        <f t="shared" si="106"/>
        <v>June</v>
      </c>
      <c r="Y659">
        <f>HLOOKUP("Q"&amp;W659,Bonus_HLookup!$A$1:$E$2,2,FALSE)</f>
        <v>0.04</v>
      </c>
      <c r="Z659">
        <f t="shared" si="107"/>
        <v>41053.800000000003</v>
      </c>
      <c r="AA659" s="1">
        <f t="shared" si="108"/>
        <v>9472.1228843756762</v>
      </c>
      <c r="AB659">
        <f t="shared" si="109"/>
        <v>763</v>
      </c>
    </row>
    <row r="660" spans="1:28" x14ac:dyDescent="0.3">
      <c r="A660">
        <v>1659</v>
      </c>
      <c r="B660" t="s">
        <v>391</v>
      </c>
      <c r="C660" t="s">
        <v>62</v>
      </c>
      <c r="D660" t="s">
        <v>23</v>
      </c>
      <c r="E660" t="s">
        <v>77</v>
      </c>
      <c r="F660" t="s">
        <v>25</v>
      </c>
      <c r="G660">
        <v>3</v>
      </c>
      <c r="H660">
        <v>1500</v>
      </c>
      <c r="I660">
        <v>0</v>
      </c>
      <c r="J660">
        <v>444160</v>
      </c>
      <c r="K660">
        <v>11</v>
      </c>
      <c r="L660">
        <v>4</v>
      </c>
      <c r="M660" t="str">
        <f>VLOOKUP(Sales_Data!F660,Product_Master!$A$2:$D$11,2)</f>
        <v>Keyboard</v>
      </c>
      <c r="N660" t="str">
        <f>VLOOKUP(F660,Product_Master!$A$2:$C$11,3)</f>
        <v>Accessories</v>
      </c>
      <c r="O660">
        <f>VLOOKUP(F660,Product_Master!$A$2:$D$11,4,FALSE)</f>
        <v>1200</v>
      </c>
      <c r="P660">
        <f t="shared" si="100"/>
        <v>4500</v>
      </c>
      <c r="Q660">
        <f t="shared" si="101"/>
        <v>0</v>
      </c>
      <c r="R660">
        <f t="shared" si="102"/>
        <v>4500</v>
      </c>
      <c r="S660">
        <f t="shared" si="103"/>
        <v>900</v>
      </c>
      <c r="T660" t="str">
        <f>_xlfn.CONCAT(Sales_Data!C660,"-",Sales_Data!E660,"-",Sales_Data!A660)</f>
        <v>East-C1020-1659</v>
      </c>
      <c r="U660" t="str">
        <f t="shared" si="104"/>
        <v>Regular</v>
      </c>
      <c r="V660" t="str" cm="1">
        <f t="array" ref="V660">_xlfn.IFS(R660&gt;=100000,"Excellent",R660&gt;=50000,"Good",R660&gt;=20000,"Average",TRUE,"Poor")</f>
        <v>Poor</v>
      </c>
      <c r="W660">
        <f t="shared" si="105"/>
        <v>4</v>
      </c>
      <c r="X660" t="str">
        <f t="shared" si="106"/>
        <v>November</v>
      </c>
      <c r="Y660">
        <f>HLOOKUP("Q"&amp;W660,Bonus_HLookup!$A$1:$E$2,2,FALSE)</f>
        <v>0.08</v>
      </c>
      <c r="Z660">
        <f t="shared" si="107"/>
        <v>195430.39999999999</v>
      </c>
      <c r="AA660" s="1">
        <f t="shared" si="108"/>
        <v>11479.547323102881</v>
      </c>
      <c r="AB660">
        <f t="shared" si="109"/>
        <v>805</v>
      </c>
    </row>
    <row r="661" spans="1:28" x14ac:dyDescent="0.3">
      <c r="A661">
        <v>1660</v>
      </c>
      <c r="B661" t="s">
        <v>198</v>
      </c>
      <c r="C661" t="s">
        <v>30</v>
      </c>
      <c r="D661" t="s">
        <v>50</v>
      </c>
      <c r="E661" t="s">
        <v>85</v>
      </c>
      <c r="F661" t="s">
        <v>69</v>
      </c>
      <c r="G661">
        <v>4</v>
      </c>
      <c r="H661">
        <v>2000</v>
      </c>
      <c r="I661">
        <v>10</v>
      </c>
      <c r="J661">
        <v>308056</v>
      </c>
      <c r="K661">
        <v>8</v>
      </c>
      <c r="L661">
        <v>2</v>
      </c>
      <c r="M661" t="str">
        <f>VLOOKUP(Sales_Data!F661,Product_Master!$A$2:$D$11,2)</f>
        <v>Headset</v>
      </c>
      <c r="N661" t="str">
        <f>VLOOKUP(F661,Product_Master!$A$2:$C$11,3)</f>
        <v>Accessories</v>
      </c>
      <c r="O661">
        <f>VLOOKUP(F661,Product_Master!$A$2:$D$11,4,FALSE)</f>
        <v>1500</v>
      </c>
      <c r="P661">
        <f t="shared" si="100"/>
        <v>8000</v>
      </c>
      <c r="Q661">
        <f t="shared" si="101"/>
        <v>800</v>
      </c>
      <c r="R661">
        <f t="shared" si="102"/>
        <v>7200</v>
      </c>
      <c r="S661">
        <f t="shared" si="103"/>
        <v>1200</v>
      </c>
      <c r="T661" t="str">
        <f>_xlfn.CONCAT(Sales_Data!C661,"-",Sales_Data!E661,"-",Sales_Data!A661)</f>
        <v>South-C1005-1660</v>
      </c>
      <c r="U661" t="str">
        <f t="shared" si="104"/>
        <v>Regular</v>
      </c>
      <c r="V661" t="str" cm="1">
        <f t="array" ref="V661">_xlfn.IFS(R661&gt;=100000,"Excellent",R661&gt;=50000,"Good",R661&gt;=20000,"Average",TRUE,"Poor")</f>
        <v>Poor</v>
      </c>
      <c r="W661">
        <f t="shared" si="105"/>
        <v>2</v>
      </c>
      <c r="X661" t="str">
        <f t="shared" si="106"/>
        <v>May</v>
      </c>
      <c r="Y661">
        <f>HLOOKUP("Q"&amp;W661,Bonus_HLookup!$A$1:$E$2,2,FALSE)</f>
        <v>0.04</v>
      </c>
      <c r="Z661">
        <f t="shared" si="107"/>
        <v>49288.959999999999</v>
      </c>
      <c r="AA661" s="1">
        <f t="shared" si="108"/>
        <v>13932.538496826266</v>
      </c>
      <c r="AB661">
        <f t="shared" si="109"/>
        <v>716</v>
      </c>
    </row>
    <row r="662" spans="1:28" x14ac:dyDescent="0.3">
      <c r="A662">
        <v>1661</v>
      </c>
      <c r="B662" t="s">
        <v>26</v>
      </c>
      <c r="C662" t="s">
        <v>30</v>
      </c>
      <c r="D662" t="s">
        <v>23</v>
      </c>
      <c r="E662" t="s">
        <v>146</v>
      </c>
      <c r="F662" t="s">
        <v>16</v>
      </c>
      <c r="G662">
        <v>5</v>
      </c>
      <c r="H662">
        <v>2500</v>
      </c>
      <c r="I662">
        <v>15</v>
      </c>
      <c r="J662">
        <v>198676</v>
      </c>
      <c r="K662">
        <v>10</v>
      </c>
      <c r="L662">
        <v>3</v>
      </c>
      <c r="M662" t="str">
        <f>VLOOKUP(Sales_Data!F662,Product_Master!$A$2:$D$11,2)</f>
        <v>Speaker</v>
      </c>
      <c r="N662" t="str">
        <f>VLOOKUP(F662,Product_Master!$A$2:$C$11,3)</f>
        <v>Accessories</v>
      </c>
      <c r="O662">
        <f>VLOOKUP(F662,Product_Master!$A$2:$D$11,4,FALSE)</f>
        <v>1800</v>
      </c>
      <c r="P662">
        <f t="shared" si="100"/>
        <v>12500</v>
      </c>
      <c r="Q662">
        <f t="shared" si="101"/>
        <v>1875</v>
      </c>
      <c r="R662">
        <f t="shared" si="102"/>
        <v>10625</v>
      </c>
      <c r="S662">
        <f t="shared" si="103"/>
        <v>1625</v>
      </c>
      <c r="T662" t="str">
        <f>_xlfn.CONCAT(Sales_Data!C662,"-",Sales_Data!E662,"-",Sales_Data!A662)</f>
        <v>South-C1017-1661</v>
      </c>
      <c r="U662" t="str">
        <f t="shared" si="104"/>
        <v>Regular</v>
      </c>
      <c r="V662" t="str" cm="1">
        <f t="array" ref="V662">_xlfn.IFS(R662&gt;=100000,"Excellent",R662&gt;=50000,"Good",R662&gt;=20000,"Average",TRUE,"Poor")</f>
        <v>Poor</v>
      </c>
      <c r="W662">
        <f t="shared" si="105"/>
        <v>2</v>
      </c>
      <c r="X662" t="str">
        <f t="shared" si="106"/>
        <v>June</v>
      </c>
      <c r="Y662">
        <f>HLOOKUP("Q"&amp;W662,Bonus_HLookup!$A$1:$E$2,2,FALSE)</f>
        <v>0.04</v>
      </c>
      <c r="Z662">
        <f t="shared" si="107"/>
        <v>59602.8</v>
      </c>
      <c r="AA662" s="1">
        <f t="shared" si="108"/>
        <v>6410.715682922857</v>
      </c>
      <c r="AB662">
        <f t="shared" si="109"/>
        <v>626</v>
      </c>
    </row>
    <row r="663" spans="1:28" x14ac:dyDescent="0.3">
      <c r="A663">
        <v>1662</v>
      </c>
      <c r="B663" t="s">
        <v>317</v>
      </c>
      <c r="C663" t="s">
        <v>18</v>
      </c>
      <c r="D663" t="s">
        <v>33</v>
      </c>
      <c r="E663" t="s">
        <v>68</v>
      </c>
      <c r="F663" t="s">
        <v>74</v>
      </c>
      <c r="G663">
        <v>1</v>
      </c>
      <c r="H663">
        <v>35000</v>
      </c>
      <c r="I663">
        <v>15</v>
      </c>
      <c r="J663">
        <v>144879</v>
      </c>
      <c r="K663">
        <v>8</v>
      </c>
      <c r="L663">
        <v>3</v>
      </c>
      <c r="M663" t="str">
        <f>VLOOKUP(Sales_Data!F663,Product_Master!$A$2:$D$11,2)</f>
        <v>Tablet</v>
      </c>
      <c r="N663" t="str">
        <f>VLOOKUP(F663,Product_Master!$A$2:$C$11,3)</f>
        <v>Electronics</v>
      </c>
      <c r="O663">
        <f>VLOOKUP(F663,Product_Master!$A$2:$D$11,4,FALSE)</f>
        <v>29000</v>
      </c>
      <c r="P663">
        <f t="shared" si="100"/>
        <v>35000</v>
      </c>
      <c r="Q663">
        <f t="shared" si="101"/>
        <v>5250</v>
      </c>
      <c r="R663">
        <f t="shared" si="102"/>
        <v>29750</v>
      </c>
      <c r="S663">
        <f t="shared" si="103"/>
        <v>750</v>
      </c>
      <c r="T663" t="str">
        <f>_xlfn.CONCAT(Sales_Data!C663,"-",Sales_Data!E663,"-",Sales_Data!A663)</f>
        <v>North-C1043-1662</v>
      </c>
      <c r="U663" t="str">
        <f t="shared" si="104"/>
        <v>Regular</v>
      </c>
      <c r="V663" t="str" cm="1">
        <f t="array" ref="V663">_xlfn.IFS(R663&gt;=100000,"Excellent",R663&gt;=50000,"Good",R663&gt;=20000,"Average",TRUE,"Poor")</f>
        <v>Average</v>
      </c>
      <c r="W663">
        <f t="shared" si="105"/>
        <v>1</v>
      </c>
      <c r="X663" t="str">
        <f t="shared" si="106"/>
        <v>January</v>
      </c>
      <c r="Y663">
        <f>HLOOKUP("Q"&amp;W663,Bonus_HLookup!$A$1:$E$2,2,FALSE)</f>
        <v>0.02</v>
      </c>
      <c r="Z663">
        <f t="shared" si="107"/>
        <v>34770.959999999999</v>
      </c>
      <c r="AA663" s="1">
        <f t="shared" si="108"/>
        <v>4539.9812916866395</v>
      </c>
      <c r="AB663">
        <f t="shared" si="109"/>
        <v>380</v>
      </c>
    </row>
    <row r="664" spans="1:28" x14ac:dyDescent="0.3">
      <c r="A664">
        <v>1663</v>
      </c>
      <c r="B664" t="s">
        <v>334</v>
      </c>
      <c r="C664" t="s">
        <v>13</v>
      </c>
      <c r="D664" t="s">
        <v>91</v>
      </c>
      <c r="E664" t="s">
        <v>99</v>
      </c>
      <c r="F664" t="s">
        <v>25</v>
      </c>
      <c r="G664">
        <v>8</v>
      </c>
      <c r="H664">
        <v>1500</v>
      </c>
      <c r="I664">
        <v>10</v>
      </c>
      <c r="J664">
        <v>133395</v>
      </c>
      <c r="K664">
        <v>11</v>
      </c>
      <c r="L664">
        <v>2</v>
      </c>
      <c r="M664" t="str">
        <f>VLOOKUP(Sales_Data!F664,Product_Master!$A$2:$D$11,2)</f>
        <v>Keyboard</v>
      </c>
      <c r="N664" t="str">
        <f>VLOOKUP(F664,Product_Master!$A$2:$C$11,3)</f>
        <v>Accessories</v>
      </c>
      <c r="O664">
        <f>VLOOKUP(F664,Product_Master!$A$2:$D$11,4,FALSE)</f>
        <v>1200</v>
      </c>
      <c r="P664">
        <f t="shared" si="100"/>
        <v>12000</v>
      </c>
      <c r="Q664">
        <f t="shared" si="101"/>
        <v>1200</v>
      </c>
      <c r="R664">
        <f t="shared" si="102"/>
        <v>10800</v>
      </c>
      <c r="S664">
        <f t="shared" si="103"/>
        <v>1200</v>
      </c>
      <c r="T664" t="str">
        <f>_xlfn.CONCAT(Sales_Data!C664,"-",Sales_Data!E664,"-",Sales_Data!A664)</f>
        <v>West-C1050-1663</v>
      </c>
      <c r="U664" t="str">
        <f t="shared" si="104"/>
        <v>Regular</v>
      </c>
      <c r="V664" t="str" cm="1">
        <f t="array" ref="V664">_xlfn.IFS(R664&gt;=100000,"Excellent",R664&gt;=50000,"Good",R664&gt;=20000,"Average",TRUE,"Poor")</f>
        <v>Poor</v>
      </c>
      <c r="W664">
        <f t="shared" si="105"/>
        <v>3</v>
      </c>
      <c r="X664" t="str">
        <f t="shared" si="106"/>
        <v>July</v>
      </c>
      <c r="Y664">
        <f>HLOOKUP("Q"&amp;W664,Bonus_HLookup!$A$1:$E$2,2,FALSE)</f>
        <v>0.06</v>
      </c>
      <c r="Z664">
        <f t="shared" si="107"/>
        <v>29346.9</v>
      </c>
      <c r="AA664" s="1">
        <f t="shared" si="108"/>
        <v>6217.2525762254609</v>
      </c>
      <c r="AB664">
        <f t="shared" si="109"/>
        <v>619</v>
      </c>
    </row>
    <row r="665" spans="1:28" x14ac:dyDescent="0.3">
      <c r="A665">
        <v>1664</v>
      </c>
      <c r="B665" t="s">
        <v>372</v>
      </c>
      <c r="C665" t="s">
        <v>18</v>
      </c>
      <c r="D665" t="s">
        <v>33</v>
      </c>
      <c r="E665" t="s">
        <v>99</v>
      </c>
      <c r="F665" t="s">
        <v>69</v>
      </c>
      <c r="G665">
        <v>1</v>
      </c>
      <c r="H665">
        <v>2000</v>
      </c>
      <c r="I665">
        <v>5</v>
      </c>
      <c r="J665">
        <v>473720</v>
      </c>
      <c r="K665">
        <v>11</v>
      </c>
      <c r="L665">
        <v>3</v>
      </c>
      <c r="M665" t="str">
        <f>VLOOKUP(Sales_Data!F665,Product_Master!$A$2:$D$11,2)</f>
        <v>Headset</v>
      </c>
      <c r="N665" t="str">
        <f>VLOOKUP(F665,Product_Master!$A$2:$C$11,3)</f>
        <v>Accessories</v>
      </c>
      <c r="O665">
        <f>VLOOKUP(F665,Product_Master!$A$2:$D$11,4,FALSE)</f>
        <v>1500</v>
      </c>
      <c r="P665">
        <f t="shared" si="100"/>
        <v>2000</v>
      </c>
      <c r="Q665">
        <f t="shared" si="101"/>
        <v>100</v>
      </c>
      <c r="R665">
        <f t="shared" si="102"/>
        <v>1900</v>
      </c>
      <c r="S665">
        <f t="shared" si="103"/>
        <v>400</v>
      </c>
      <c r="T665" t="str">
        <f>_xlfn.CONCAT(Sales_Data!C665,"-",Sales_Data!E665,"-",Sales_Data!A665)</f>
        <v>North-C1050-1664</v>
      </c>
      <c r="U665" t="str">
        <f t="shared" si="104"/>
        <v>Regular</v>
      </c>
      <c r="V665" t="str" cm="1">
        <f t="array" ref="V665">_xlfn.IFS(R665&gt;=100000,"Excellent",R665&gt;=50000,"Good",R665&gt;=20000,"Average",TRUE,"Poor")</f>
        <v>Poor</v>
      </c>
      <c r="W665">
        <f t="shared" si="105"/>
        <v>3</v>
      </c>
      <c r="X665" t="str">
        <f t="shared" si="106"/>
        <v>August</v>
      </c>
      <c r="Y665">
        <f>HLOOKUP("Q"&amp;W665,Bonus_HLookup!$A$1:$E$2,2,FALSE)</f>
        <v>0.06</v>
      </c>
      <c r="Z665">
        <f t="shared" si="107"/>
        <v>156327.6</v>
      </c>
      <c r="AA665" s="1">
        <f t="shared" si="108"/>
        <v>15508.985072666208</v>
      </c>
      <c r="AB665">
        <f t="shared" si="109"/>
        <v>934</v>
      </c>
    </row>
    <row r="666" spans="1:28" x14ac:dyDescent="0.3">
      <c r="A666">
        <v>1665</v>
      </c>
      <c r="B666" t="s">
        <v>200</v>
      </c>
      <c r="C666" t="s">
        <v>18</v>
      </c>
      <c r="D666" t="s">
        <v>50</v>
      </c>
      <c r="E666" t="s">
        <v>99</v>
      </c>
      <c r="F666" t="s">
        <v>16</v>
      </c>
      <c r="G666">
        <v>4</v>
      </c>
      <c r="H666">
        <v>2500</v>
      </c>
      <c r="I666">
        <v>2</v>
      </c>
      <c r="J666">
        <v>464216</v>
      </c>
      <c r="K666">
        <v>8</v>
      </c>
      <c r="L666">
        <v>5</v>
      </c>
      <c r="M666" t="str">
        <f>VLOOKUP(Sales_Data!F666,Product_Master!$A$2:$D$11,2)</f>
        <v>Speaker</v>
      </c>
      <c r="N666" t="str">
        <f>VLOOKUP(F666,Product_Master!$A$2:$C$11,3)</f>
        <v>Accessories</v>
      </c>
      <c r="O666">
        <f>VLOOKUP(F666,Product_Master!$A$2:$D$11,4,FALSE)</f>
        <v>1800</v>
      </c>
      <c r="P666">
        <f t="shared" si="100"/>
        <v>10000</v>
      </c>
      <c r="Q666">
        <f t="shared" si="101"/>
        <v>200</v>
      </c>
      <c r="R666">
        <f t="shared" si="102"/>
        <v>9800</v>
      </c>
      <c r="S666">
        <f t="shared" si="103"/>
        <v>2600</v>
      </c>
      <c r="T666" t="str">
        <f>_xlfn.CONCAT(Sales_Data!C666,"-",Sales_Data!E666,"-",Sales_Data!A666)</f>
        <v>North-C1050-1665</v>
      </c>
      <c r="U666" t="str">
        <f t="shared" si="104"/>
        <v>Regular</v>
      </c>
      <c r="V666" t="str" cm="1">
        <f t="array" ref="V666">_xlfn.IFS(R666&gt;=100000,"Excellent",R666&gt;=50000,"Good",R666&gt;=20000,"Average",TRUE,"Poor")</f>
        <v>Poor</v>
      </c>
      <c r="W666">
        <f t="shared" si="105"/>
        <v>2</v>
      </c>
      <c r="X666" t="str">
        <f t="shared" si="106"/>
        <v>May</v>
      </c>
      <c r="Y666">
        <f>HLOOKUP("Q"&amp;W666,Bonus_HLookup!$A$1:$E$2,2,FALSE)</f>
        <v>0.04</v>
      </c>
      <c r="Z666">
        <f t="shared" si="107"/>
        <v>185686.39999999999</v>
      </c>
      <c r="AA666" s="1">
        <f t="shared" si="108"/>
        <v>9412.6266509902453</v>
      </c>
      <c r="AB666">
        <f t="shared" si="109"/>
        <v>645</v>
      </c>
    </row>
    <row r="667" spans="1:28" x14ac:dyDescent="0.3">
      <c r="A667">
        <v>1666</v>
      </c>
      <c r="B667" t="s">
        <v>176</v>
      </c>
      <c r="C667" t="s">
        <v>13</v>
      </c>
      <c r="D667" t="s">
        <v>59</v>
      </c>
      <c r="E667" t="s">
        <v>15</v>
      </c>
      <c r="F667" t="s">
        <v>69</v>
      </c>
      <c r="G667">
        <v>9</v>
      </c>
      <c r="H667">
        <v>2000</v>
      </c>
      <c r="I667">
        <v>2</v>
      </c>
      <c r="J667">
        <v>342016</v>
      </c>
      <c r="K667">
        <v>10</v>
      </c>
      <c r="L667">
        <v>1</v>
      </c>
      <c r="M667" t="str">
        <f>VLOOKUP(Sales_Data!F667,Product_Master!$A$2:$D$11,2)</f>
        <v>Headset</v>
      </c>
      <c r="N667" t="str">
        <f>VLOOKUP(F667,Product_Master!$A$2:$C$11,3)</f>
        <v>Accessories</v>
      </c>
      <c r="O667">
        <f>VLOOKUP(F667,Product_Master!$A$2:$D$11,4,FALSE)</f>
        <v>1500</v>
      </c>
      <c r="P667">
        <f t="shared" si="100"/>
        <v>18000</v>
      </c>
      <c r="Q667">
        <f t="shared" si="101"/>
        <v>360</v>
      </c>
      <c r="R667">
        <f t="shared" si="102"/>
        <v>17640</v>
      </c>
      <c r="S667">
        <f t="shared" si="103"/>
        <v>4140</v>
      </c>
      <c r="T667" t="str">
        <f>_xlfn.CONCAT(Sales_Data!C667,"-",Sales_Data!E667,"-",Sales_Data!A667)</f>
        <v>West-C1016-1666</v>
      </c>
      <c r="U667" t="str">
        <f t="shared" si="104"/>
        <v>Regular</v>
      </c>
      <c r="V667" t="str" cm="1">
        <f t="array" ref="V667">_xlfn.IFS(R667&gt;=100000,"Excellent",R667&gt;=50000,"Good",R667&gt;=20000,"Average",TRUE,"Poor")</f>
        <v>Poor</v>
      </c>
      <c r="W667">
        <f t="shared" si="105"/>
        <v>1</v>
      </c>
      <c r="X667" t="str">
        <f t="shared" si="106"/>
        <v>January</v>
      </c>
      <c r="Y667">
        <f>HLOOKUP("Q"&amp;W667,Bonus_HLookup!$A$1:$E$2,2,FALSE)</f>
        <v>0.02</v>
      </c>
      <c r="Z667">
        <f t="shared" si="107"/>
        <v>34201.599999999999</v>
      </c>
      <c r="AA667" s="1">
        <f t="shared" si="108"/>
        <v>30068.640086858959</v>
      </c>
      <c r="AB667">
        <f t="shared" si="109"/>
        <v>487</v>
      </c>
    </row>
    <row r="668" spans="1:28" x14ac:dyDescent="0.3">
      <c r="A668">
        <v>1667</v>
      </c>
      <c r="B668" t="s">
        <v>356</v>
      </c>
      <c r="C668" t="s">
        <v>30</v>
      </c>
      <c r="D668" t="s">
        <v>33</v>
      </c>
      <c r="E668" t="s">
        <v>27</v>
      </c>
      <c r="F668" t="s">
        <v>39</v>
      </c>
      <c r="G668">
        <v>8</v>
      </c>
      <c r="H668">
        <v>7000</v>
      </c>
      <c r="I668">
        <v>12</v>
      </c>
      <c r="J668">
        <v>370201</v>
      </c>
      <c r="K668">
        <v>8</v>
      </c>
      <c r="L668">
        <v>3</v>
      </c>
      <c r="M668" t="str">
        <f>VLOOKUP(Sales_Data!F668,Product_Master!$A$2:$D$11,2)</f>
        <v>Router</v>
      </c>
      <c r="N668" t="str">
        <f>VLOOKUP(F668,Product_Master!$A$2:$C$11,3)</f>
        <v>Electronics</v>
      </c>
      <c r="O668">
        <f>VLOOKUP(F668,Product_Master!$A$2:$D$11,4,FALSE)</f>
        <v>5000</v>
      </c>
      <c r="P668">
        <f t="shared" si="100"/>
        <v>56000</v>
      </c>
      <c r="Q668">
        <f t="shared" si="101"/>
        <v>6720</v>
      </c>
      <c r="R668">
        <f t="shared" si="102"/>
        <v>49280</v>
      </c>
      <c r="S668">
        <f t="shared" si="103"/>
        <v>9280</v>
      </c>
      <c r="T668" t="str">
        <f>_xlfn.CONCAT(Sales_Data!C668,"-",Sales_Data!E668,"-",Sales_Data!A668)</f>
        <v>South-C1007-1667</v>
      </c>
      <c r="U668" t="str">
        <f t="shared" si="104"/>
        <v>Regular</v>
      </c>
      <c r="V668" t="str" cm="1">
        <f t="array" ref="V668">_xlfn.IFS(R668&gt;=100000,"Excellent",R668&gt;=50000,"Good",R668&gt;=20000,"Average",TRUE,"Poor")</f>
        <v>Average</v>
      </c>
      <c r="W668">
        <f t="shared" si="105"/>
        <v>1</v>
      </c>
      <c r="X668" t="str">
        <f t="shared" si="106"/>
        <v>March</v>
      </c>
      <c r="Y668">
        <f>HLOOKUP("Q"&amp;W668,Bonus_HLookup!$A$1:$E$2,2,FALSE)</f>
        <v>0.02</v>
      </c>
      <c r="Z668">
        <f t="shared" si="107"/>
        <v>88848.24</v>
      </c>
      <c r="AA668" s="1">
        <f t="shared" si="108"/>
        <v>11600.753830187161</v>
      </c>
      <c r="AB668">
        <f t="shared" si="109"/>
        <v>297</v>
      </c>
    </row>
    <row r="669" spans="1:28" x14ac:dyDescent="0.3">
      <c r="A669">
        <v>1668</v>
      </c>
      <c r="B669" t="s">
        <v>43</v>
      </c>
      <c r="C669" t="s">
        <v>13</v>
      </c>
      <c r="D669" t="s">
        <v>14</v>
      </c>
      <c r="E669" t="s">
        <v>122</v>
      </c>
      <c r="F669" t="s">
        <v>42</v>
      </c>
      <c r="G669">
        <v>2</v>
      </c>
      <c r="H669">
        <v>8000</v>
      </c>
      <c r="I669">
        <v>10</v>
      </c>
      <c r="J669">
        <v>100812</v>
      </c>
      <c r="K669">
        <v>12</v>
      </c>
      <c r="L669">
        <v>5</v>
      </c>
      <c r="M669" t="str">
        <f>VLOOKUP(Sales_Data!F669,Product_Master!$A$2:$D$11,2)</f>
        <v>Printer</v>
      </c>
      <c r="N669" t="str">
        <f>VLOOKUP(F669,Product_Master!$A$2:$C$11,3)</f>
        <v>Electronics</v>
      </c>
      <c r="O669">
        <f>VLOOKUP(F669,Product_Master!$A$2:$D$11,4,FALSE)</f>
        <v>6500</v>
      </c>
      <c r="P669">
        <f t="shared" si="100"/>
        <v>16000</v>
      </c>
      <c r="Q669">
        <f t="shared" si="101"/>
        <v>1600</v>
      </c>
      <c r="R669">
        <f t="shared" si="102"/>
        <v>14400</v>
      </c>
      <c r="S669">
        <f t="shared" si="103"/>
        <v>1400</v>
      </c>
      <c r="T669" t="str">
        <f>_xlfn.CONCAT(Sales_Data!C669,"-",Sales_Data!E669,"-",Sales_Data!A669)</f>
        <v>West-C1046-1668</v>
      </c>
      <c r="U669" t="str">
        <f t="shared" si="104"/>
        <v>Regular</v>
      </c>
      <c r="V669" t="str" cm="1">
        <f t="array" ref="V669">_xlfn.IFS(R669&gt;=100000,"Excellent",R669&gt;=50000,"Good",R669&gt;=20000,"Average",TRUE,"Poor")</f>
        <v>Poor</v>
      </c>
      <c r="W669">
        <f t="shared" si="105"/>
        <v>4</v>
      </c>
      <c r="X669" t="str">
        <f t="shared" si="106"/>
        <v>December</v>
      </c>
      <c r="Y669">
        <f>HLOOKUP("Q"&amp;W669,Bonus_HLookup!$A$1:$E$2,2,FALSE)</f>
        <v>0.08</v>
      </c>
      <c r="Z669">
        <f t="shared" si="107"/>
        <v>60487.199999999997</v>
      </c>
      <c r="AA669" s="1">
        <f t="shared" si="108"/>
        <v>2242.5072600103176</v>
      </c>
      <c r="AB669">
        <f t="shared" si="109"/>
        <v>534</v>
      </c>
    </row>
    <row r="670" spans="1:28" x14ac:dyDescent="0.3">
      <c r="A670">
        <v>1669</v>
      </c>
      <c r="B670" t="s">
        <v>212</v>
      </c>
      <c r="C670" t="s">
        <v>30</v>
      </c>
      <c r="D670" t="s">
        <v>59</v>
      </c>
      <c r="E670" t="s">
        <v>115</v>
      </c>
      <c r="F670" t="s">
        <v>39</v>
      </c>
      <c r="G670">
        <v>7</v>
      </c>
      <c r="H670">
        <v>7000</v>
      </c>
      <c r="I670">
        <v>0</v>
      </c>
      <c r="J670">
        <v>457708</v>
      </c>
      <c r="K670">
        <v>10</v>
      </c>
      <c r="L670">
        <v>5</v>
      </c>
      <c r="M670" t="str">
        <f>VLOOKUP(Sales_Data!F670,Product_Master!$A$2:$D$11,2)</f>
        <v>Router</v>
      </c>
      <c r="N670" t="str">
        <f>VLOOKUP(F670,Product_Master!$A$2:$C$11,3)</f>
        <v>Electronics</v>
      </c>
      <c r="O670">
        <f>VLOOKUP(F670,Product_Master!$A$2:$D$11,4,FALSE)</f>
        <v>5000</v>
      </c>
      <c r="P670">
        <f t="shared" si="100"/>
        <v>49000</v>
      </c>
      <c r="Q670">
        <f t="shared" si="101"/>
        <v>0</v>
      </c>
      <c r="R670">
        <f t="shared" si="102"/>
        <v>49000</v>
      </c>
      <c r="S670">
        <f t="shared" si="103"/>
        <v>14000</v>
      </c>
      <c r="T670" t="str">
        <f>_xlfn.CONCAT(Sales_Data!C670,"-",Sales_Data!E670,"-",Sales_Data!A670)</f>
        <v>South-C1026-1669</v>
      </c>
      <c r="U670" t="str">
        <f t="shared" si="104"/>
        <v>Regular</v>
      </c>
      <c r="V670" t="str" cm="1">
        <f t="array" ref="V670">_xlfn.IFS(R670&gt;=100000,"Excellent",R670&gt;=50000,"Good",R670&gt;=20000,"Average",TRUE,"Poor")</f>
        <v>Average</v>
      </c>
      <c r="W670">
        <f t="shared" si="105"/>
        <v>3</v>
      </c>
      <c r="X670" t="str">
        <f t="shared" si="106"/>
        <v>September</v>
      </c>
      <c r="Y670">
        <f>HLOOKUP("Q"&amp;W670,Bonus_HLookup!$A$1:$E$2,2,FALSE)</f>
        <v>0.06</v>
      </c>
      <c r="Z670">
        <f t="shared" si="107"/>
        <v>228854</v>
      </c>
      <c r="AA670" s="1">
        <f t="shared" si="108"/>
        <v>9724.94234070518</v>
      </c>
      <c r="AB670">
        <f t="shared" si="109"/>
        <v>302</v>
      </c>
    </row>
    <row r="671" spans="1:28" x14ac:dyDescent="0.3">
      <c r="A671">
        <v>1670</v>
      </c>
      <c r="B671" t="s">
        <v>97</v>
      </c>
      <c r="C671" t="s">
        <v>62</v>
      </c>
      <c r="D671" t="s">
        <v>46</v>
      </c>
      <c r="E671" t="s">
        <v>131</v>
      </c>
      <c r="F671" t="s">
        <v>42</v>
      </c>
      <c r="G671">
        <v>5</v>
      </c>
      <c r="H671">
        <v>8000</v>
      </c>
      <c r="I671">
        <v>10</v>
      </c>
      <c r="J671">
        <v>142554</v>
      </c>
      <c r="K671">
        <v>11</v>
      </c>
      <c r="L671">
        <v>3</v>
      </c>
      <c r="M671" t="str">
        <f>VLOOKUP(Sales_Data!F671,Product_Master!$A$2:$D$11,2)</f>
        <v>Printer</v>
      </c>
      <c r="N671" t="str">
        <f>VLOOKUP(F671,Product_Master!$A$2:$C$11,3)</f>
        <v>Electronics</v>
      </c>
      <c r="O671">
        <f>VLOOKUP(F671,Product_Master!$A$2:$D$11,4,FALSE)</f>
        <v>6500</v>
      </c>
      <c r="P671">
        <f t="shared" si="100"/>
        <v>40000</v>
      </c>
      <c r="Q671">
        <f t="shared" si="101"/>
        <v>4000</v>
      </c>
      <c r="R671">
        <f t="shared" si="102"/>
        <v>36000</v>
      </c>
      <c r="S671">
        <f t="shared" si="103"/>
        <v>3500</v>
      </c>
      <c r="T671" t="str">
        <f>_xlfn.CONCAT(Sales_Data!C671,"-",Sales_Data!E671,"-",Sales_Data!A671)</f>
        <v>East-C1047-1670</v>
      </c>
      <c r="U671" t="str">
        <f t="shared" si="104"/>
        <v>Regular</v>
      </c>
      <c r="V671" t="str" cm="1">
        <f t="array" ref="V671">_xlfn.IFS(R671&gt;=100000,"Excellent",R671&gt;=50000,"Good",R671&gt;=20000,"Average",TRUE,"Poor")</f>
        <v>Average</v>
      </c>
      <c r="W671">
        <f t="shared" si="105"/>
        <v>3</v>
      </c>
      <c r="X671" t="str">
        <f t="shared" si="106"/>
        <v>July</v>
      </c>
      <c r="Y671">
        <f>HLOOKUP("Q"&amp;W671,Bonus_HLookup!$A$1:$E$2,2,FALSE)</f>
        <v>0.06</v>
      </c>
      <c r="Z671">
        <f t="shared" si="107"/>
        <v>47042.82</v>
      </c>
      <c r="AA671" s="1">
        <f t="shared" si="108"/>
        <v>4667.0350798971085</v>
      </c>
      <c r="AB671">
        <f t="shared" si="109"/>
        <v>344</v>
      </c>
    </row>
    <row r="672" spans="1:28" x14ac:dyDescent="0.3">
      <c r="A672">
        <v>1671</v>
      </c>
      <c r="B672" t="s">
        <v>256</v>
      </c>
      <c r="C672" t="s">
        <v>13</v>
      </c>
      <c r="D672" t="s">
        <v>50</v>
      </c>
      <c r="E672" t="s">
        <v>122</v>
      </c>
      <c r="F672" t="s">
        <v>69</v>
      </c>
      <c r="G672">
        <v>7</v>
      </c>
      <c r="H672">
        <v>2000</v>
      </c>
      <c r="I672">
        <v>15</v>
      </c>
      <c r="J672">
        <v>57898</v>
      </c>
      <c r="K672">
        <v>10</v>
      </c>
      <c r="L672">
        <v>5</v>
      </c>
      <c r="M672" t="str">
        <f>VLOOKUP(Sales_Data!F672,Product_Master!$A$2:$D$11,2)</f>
        <v>Headset</v>
      </c>
      <c r="N672" t="str">
        <f>VLOOKUP(F672,Product_Master!$A$2:$C$11,3)</f>
        <v>Accessories</v>
      </c>
      <c r="O672">
        <f>VLOOKUP(F672,Product_Master!$A$2:$D$11,4,FALSE)</f>
        <v>1500</v>
      </c>
      <c r="P672">
        <f t="shared" si="100"/>
        <v>14000</v>
      </c>
      <c r="Q672">
        <f t="shared" si="101"/>
        <v>2100</v>
      </c>
      <c r="R672">
        <f t="shared" si="102"/>
        <v>11900</v>
      </c>
      <c r="S672">
        <f t="shared" si="103"/>
        <v>1400</v>
      </c>
      <c r="T672" t="str">
        <f>_xlfn.CONCAT(Sales_Data!C672,"-",Sales_Data!E672,"-",Sales_Data!A672)</f>
        <v>West-C1046-1671</v>
      </c>
      <c r="U672" t="str">
        <f t="shared" si="104"/>
        <v>Regular</v>
      </c>
      <c r="V672" t="str" cm="1">
        <f t="array" ref="V672">_xlfn.IFS(R672&gt;=100000,"Excellent",R672&gt;=50000,"Good",R672&gt;=20000,"Average",TRUE,"Poor")</f>
        <v>Poor</v>
      </c>
      <c r="W672">
        <f t="shared" si="105"/>
        <v>2</v>
      </c>
      <c r="X672" t="str">
        <f t="shared" si="106"/>
        <v>June</v>
      </c>
      <c r="Y672">
        <f>HLOOKUP("Q"&amp;W672,Bonus_HLookup!$A$1:$E$2,2,FALSE)</f>
        <v>0.04</v>
      </c>
      <c r="Z672">
        <f t="shared" si="107"/>
        <v>28949</v>
      </c>
      <c r="AA672" s="1">
        <f t="shared" si="108"/>
        <v>1230.1613946930108</v>
      </c>
      <c r="AB672">
        <f t="shared" si="109"/>
        <v>592</v>
      </c>
    </row>
    <row r="673" spans="1:28" x14ac:dyDescent="0.3">
      <c r="A673">
        <v>1672</v>
      </c>
      <c r="B673" t="s">
        <v>250</v>
      </c>
      <c r="C673" t="s">
        <v>18</v>
      </c>
      <c r="D673" t="s">
        <v>59</v>
      </c>
      <c r="E673" t="s">
        <v>122</v>
      </c>
      <c r="F673" t="s">
        <v>25</v>
      </c>
      <c r="G673">
        <v>5</v>
      </c>
      <c r="H673">
        <v>1500</v>
      </c>
      <c r="I673">
        <v>15</v>
      </c>
      <c r="J673">
        <v>468092</v>
      </c>
      <c r="K673">
        <v>12</v>
      </c>
      <c r="L673">
        <v>5</v>
      </c>
      <c r="M673" t="str">
        <f>VLOOKUP(Sales_Data!F673,Product_Master!$A$2:$D$11,2)</f>
        <v>Keyboard</v>
      </c>
      <c r="N673" t="str">
        <f>VLOOKUP(F673,Product_Master!$A$2:$C$11,3)</f>
        <v>Accessories</v>
      </c>
      <c r="O673">
        <f>VLOOKUP(F673,Product_Master!$A$2:$D$11,4,FALSE)</f>
        <v>1200</v>
      </c>
      <c r="P673">
        <f t="shared" si="100"/>
        <v>7500</v>
      </c>
      <c r="Q673">
        <f t="shared" si="101"/>
        <v>1125</v>
      </c>
      <c r="R673">
        <f t="shared" si="102"/>
        <v>6375</v>
      </c>
      <c r="S673">
        <f t="shared" si="103"/>
        <v>375</v>
      </c>
      <c r="T673" t="str">
        <f>_xlfn.CONCAT(Sales_Data!C673,"-",Sales_Data!E673,"-",Sales_Data!A673)</f>
        <v>North-C1046-1672</v>
      </c>
      <c r="U673" t="str">
        <f t="shared" si="104"/>
        <v>Regular</v>
      </c>
      <c r="V673" t="str" cm="1">
        <f t="array" ref="V673">_xlfn.IFS(R673&gt;=100000,"Excellent",R673&gt;=50000,"Good",R673&gt;=20000,"Average",TRUE,"Poor")</f>
        <v>Poor</v>
      </c>
      <c r="W673">
        <f t="shared" si="105"/>
        <v>2</v>
      </c>
      <c r="X673" t="str">
        <f t="shared" si="106"/>
        <v>April</v>
      </c>
      <c r="Y673">
        <f>HLOOKUP("Q"&amp;W673,Bonus_HLookup!$A$1:$E$2,2,FALSE)</f>
        <v>0.04</v>
      </c>
      <c r="Z673">
        <f t="shared" si="107"/>
        <v>280855.2</v>
      </c>
      <c r="AA673" s="1">
        <f t="shared" si="108"/>
        <v>10412.44800572104</v>
      </c>
      <c r="AB673">
        <f t="shared" si="109"/>
        <v>748</v>
      </c>
    </row>
    <row r="674" spans="1:28" x14ac:dyDescent="0.3">
      <c r="A674">
        <v>1673</v>
      </c>
      <c r="B674" t="s">
        <v>245</v>
      </c>
      <c r="C674" t="s">
        <v>18</v>
      </c>
      <c r="D674" t="s">
        <v>23</v>
      </c>
      <c r="E674" t="s">
        <v>187</v>
      </c>
      <c r="F674" t="s">
        <v>74</v>
      </c>
      <c r="G674">
        <v>2</v>
      </c>
      <c r="H674">
        <v>35000</v>
      </c>
      <c r="I674">
        <v>2</v>
      </c>
      <c r="J674">
        <v>465216</v>
      </c>
      <c r="K674">
        <v>9</v>
      </c>
      <c r="L674">
        <v>1</v>
      </c>
      <c r="M674" t="str">
        <f>VLOOKUP(Sales_Data!F674,Product_Master!$A$2:$D$11,2)</f>
        <v>Tablet</v>
      </c>
      <c r="N674" t="str">
        <f>VLOOKUP(F674,Product_Master!$A$2:$C$11,3)</f>
        <v>Electronics</v>
      </c>
      <c r="O674">
        <f>VLOOKUP(F674,Product_Master!$A$2:$D$11,4,FALSE)</f>
        <v>29000</v>
      </c>
      <c r="P674">
        <f t="shared" si="100"/>
        <v>70000</v>
      </c>
      <c r="Q674">
        <f t="shared" si="101"/>
        <v>1400</v>
      </c>
      <c r="R674">
        <f t="shared" si="102"/>
        <v>68600</v>
      </c>
      <c r="S674">
        <f t="shared" si="103"/>
        <v>10600</v>
      </c>
      <c r="T674" t="str">
        <f>_xlfn.CONCAT(Sales_Data!C674,"-",Sales_Data!E674,"-",Sales_Data!A674)</f>
        <v>North-C1041-1673</v>
      </c>
      <c r="U674" t="str">
        <f t="shared" si="104"/>
        <v>High Value</v>
      </c>
      <c r="V674" t="str" cm="1">
        <f t="array" ref="V674">_xlfn.IFS(R674&gt;=100000,"Excellent",R674&gt;=50000,"Good",R674&gt;=20000,"Average",TRUE,"Poor")</f>
        <v>Good</v>
      </c>
      <c r="W674">
        <f t="shared" si="105"/>
        <v>1</v>
      </c>
      <c r="X674" t="str">
        <f t="shared" si="106"/>
        <v>February</v>
      </c>
      <c r="Y674">
        <f>HLOOKUP("Q"&amp;W674,Bonus_HLookup!$A$1:$E$2,2,FALSE)</f>
        <v>0.02</v>
      </c>
      <c r="Z674">
        <f t="shared" si="107"/>
        <v>41869.440000000002</v>
      </c>
      <c r="AA674" s="1">
        <f t="shared" si="108"/>
        <v>40683.826216995767</v>
      </c>
      <c r="AB674">
        <f t="shared" si="109"/>
        <v>221</v>
      </c>
    </row>
    <row r="675" spans="1:28" x14ac:dyDescent="0.3">
      <c r="A675">
        <v>1674</v>
      </c>
      <c r="B675" t="s">
        <v>43</v>
      </c>
      <c r="C675" t="s">
        <v>18</v>
      </c>
      <c r="D675" t="s">
        <v>50</v>
      </c>
      <c r="E675" t="s">
        <v>125</v>
      </c>
      <c r="F675" t="s">
        <v>36</v>
      </c>
      <c r="G675">
        <v>9</v>
      </c>
      <c r="H675">
        <v>55000</v>
      </c>
      <c r="I675">
        <v>2</v>
      </c>
      <c r="J675">
        <v>86773</v>
      </c>
      <c r="K675">
        <v>9</v>
      </c>
      <c r="L675">
        <v>1</v>
      </c>
      <c r="M675" t="str">
        <f>VLOOKUP(Sales_Data!F675,Product_Master!$A$2:$D$11,2)</f>
        <v>Laptop</v>
      </c>
      <c r="N675" t="str">
        <f>VLOOKUP(F675,Product_Master!$A$2:$C$11,3)</f>
        <v>Electronics</v>
      </c>
      <c r="O675">
        <f>VLOOKUP(F675,Product_Master!$A$2:$D$11,4,FALSE)</f>
        <v>45000</v>
      </c>
      <c r="P675">
        <f t="shared" si="100"/>
        <v>495000</v>
      </c>
      <c r="Q675">
        <f t="shared" si="101"/>
        <v>9900</v>
      </c>
      <c r="R675">
        <f t="shared" si="102"/>
        <v>485100</v>
      </c>
      <c r="S675">
        <f t="shared" si="103"/>
        <v>80100</v>
      </c>
      <c r="T675" t="str">
        <f>_xlfn.CONCAT(Sales_Data!C675,"-",Sales_Data!E675,"-",Sales_Data!A675)</f>
        <v>North-C1039-1674</v>
      </c>
      <c r="U675" t="str">
        <f t="shared" si="104"/>
        <v>High Value</v>
      </c>
      <c r="V675" t="str" cm="1">
        <f t="array" ref="V675">_xlfn.IFS(R675&gt;=100000,"Excellent",R675&gt;=50000,"Good",R675&gt;=20000,"Average",TRUE,"Poor")</f>
        <v>Excellent</v>
      </c>
      <c r="W675">
        <f t="shared" si="105"/>
        <v>4</v>
      </c>
      <c r="X675" t="str">
        <f t="shared" si="106"/>
        <v>December</v>
      </c>
      <c r="Y675">
        <f>HLOOKUP("Q"&amp;W675,Bonus_HLookup!$A$1:$E$2,2,FALSE)</f>
        <v>0.08</v>
      </c>
      <c r="Z675">
        <f t="shared" si="107"/>
        <v>7809.57</v>
      </c>
      <c r="AA675" s="1">
        <f t="shared" si="108"/>
        <v>7588.4269937563922</v>
      </c>
      <c r="AB675">
        <f t="shared" si="109"/>
        <v>8</v>
      </c>
    </row>
    <row r="676" spans="1:28" x14ac:dyDescent="0.3">
      <c r="A676">
        <v>1675</v>
      </c>
      <c r="B676" t="s">
        <v>81</v>
      </c>
      <c r="C676" t="s">
        <v>18</v>
      </c>
      <c r="D676" t="s">
        <v>14</v>
      </c>
      <c r="E676" t="s">
        <v>85</v>
      </c>
      <c r="F676" t="s">
        <v>36</v>
      </c>
      <c r="G676">
        <v>10</v>
      </c>
      <c r="H676">
        <v>55000</v>
      </c>
      <c r="I676">
        <v>12</v>
      </c>
      <c r="J676">
        <v>113413</v>
      </c>
      <c r="K676">
        <v>12</v>
      </c>
      <c r="L676">
        <v>4</v>
      </c>
      <c r="M676" t="str">
        <f>VLOOKUP(Sales_Data!F676,Product_Master!$A$2:$D$11,2)</f>
        <v>Laptop</v>
      </c>
      <c r="N676" t="str">
        <f>VLOOKUP(F676,Product_Master!$A$2:$C$11,3)</f>
        <v>Electronics</v>
      </c>
      <c r="O676">
        <f>VLOOKUP(F676,Product_Master!$A$2:$D$11,4,FALSE)</f>
        <v>45000</v>
      </c>
      <c r="P676">
        <f t="shared" si="100"/>
        <v>550000</v>
      </c>
      <c r="Q676">
        <f t="shared" si="101"/>
        <v>66000</v>
      </c>
      <c r="R676">
        <f t="shared" si="102"/>
        <v>484000</v>
      </c>
      <c r="S676">
        <f t="shared" si="103"/>
        <v>34000</v>
      </c>
      <c r="T676" t="str">
        <f>_xlfn.CONCAT(Sales_Data!C676,"-",Sales_Data!E676,"-",Sales_Data!A676)</f>
        <v>North-C1005-1675</v>
      </c>
      <c r="U676" t="str">
        <f t="shared" si="104"/>
        <v>High Value</v>
      </c>
      <c r="V676" t="str" cm="1">
        <f t="array" ref="V676">_xlfn.IFS(R676&gt;=100000,"Excellent",R676&gt;=50000,"Good",R676&gt;=20000,"Average",TRUE,"Poor")</f>
        <v>Excellent</v>
      </c>
      <c r="W676">
        <f t="shared" si="105"/>
        <v>4</v>
      </c>
      <c r="X676" t="str">
        <f t="shared" si="106"/>
        <v>December</v>
      </c>
      <c r="Y676">
        <f>HLOOKUP("Q"&amp;W676,Bonus_HLookup!$A$1:$E$2,2,FALSE)</f>
        <v>0.08</v>
      </c>
      <c r="Z676">
        <f t="shared" si="107"/>
        <v>54438.239999999998</v>
      </c>
      <c r="AA676" s="1">
        <f t="shared" si="108"/>
        <v>2986.5992778412237</v>
      </c>
      <c r="AB676">
        <f t="shared" si="109"/>
        <v>10</v>
      </c>
    </row>
    <row r="677" spans="1:28" x14ac:dyDescent="0.3">
      <c r="A677">
        <v>1676</v>
      </c>
      <c r="B677" t="s">
        <v>64</v>
      </c>
      <c r="C677" t="s">
        <v>62</v>
      </c>
      <c r="D677" t="s">
        <v>59</v>
      </c>
      <c r="E677" t="s">
        <v>196</v>
      </c>
      <c r="F677" t="s">
        <v>69</v>
      </c>
      <c r="G677">
        <v>8</v>
      </c>
      <c r="H677">
        <v>2000</v>
      </c>
      <c r="I677">
        <v>12</v>
      </c>
      <c r="J677">
        <v>153572</v>
      </c>
      <c r="K677">
        <v>7</v>
      </c>
      <c r="L677">
        <v>4</v>
      </c>
      <c r="M677" t="str">
        <f>VLOOKUP(Sales_Data!F677,Product_Master!$A$2:$D$11,2)</f>
        <v>Headset</v>
      </c>
      <c r="N677" t="str">
        <f>VLOOKUP(F677,Product_Master!$A$2:$C$11,3)</f>
        <v>Accessories</v>
      </c>
      <c r="O677">
        <f>VLOOKUP(F677,Product_Master!$A$2:$D$11,4,FALSE)</f>
        <v>1500</v>
      </c>
      <c r="P677">
        <f t="shared" si="100"/>
        <v>16000</v>
      </c>
      <c r="Q677">
        <f t="shared" si="101"/>
        <v>1920</v>
      </c>
      <c r="R677">
        <f t="shared" si="102"/>
        <v>14080</v>
      </c>
      <c r="S677">
        <f t="shared" si="103"/>
        <v>2080</v>
      </c>
      <c r="T677" t="str">
        <f>_xlfn.CONCAT(Sales_Data!C677,"-",Sales_Data!E677,"-",Sales_Data!A677)</f>
        <v>East-C1032-1676</v>
      </c>
      <c r="U677" t="str">
        <f t="shared" si="104"/>
        <v>Regular</v>
      </c>
      <c r="V677" t="str" cm="1">
        <f t="array" ref="V677">_xlfn.IFS(R677&gt;=100000,"Excellent",R677&gt;=50000,"Good",R677&gt;=20000,"Average",TRUE,"Poor")</f>
        <v>Poor</v>
      </c>
      <c r="W677">
        <f t="shared" si="105"/>
        <v>2</v>
      </c>
      <c r="X677" t="str">
        <f t="shared" si="106"/>
        <v>April</v>
      </c>
      <c r="Y677">
        <f>HLOOKUP("Q"&amp;W677,Bonus_HLookup!$A$1:$E$2,2,FALSE)</f>
        <v>0.04</v>
      </c>
      <c r="Z677">
        <f t="shared" si="107"/>
        <v>43000.160000000003</v>
      </c>
      <c r="AA677" s="1">
        <f t="shared" si="108"/>
        <v>3677.4726853006819</v>
      </c>
      <c r="AB677">
        <f t="shared" si="109"/>
        <v>537</v>
      </c>
    </row>
    <row r="678" spans="1:28" x14ac:dyDescent="0.3">
      <c r="A678">
        <v>1677</v>
      </c>
      <c r="B678" t="s">
        <v>392</v>
      </c>
      <c r="C678" t="s">
        <v>62</v>
      </c>
      <c r="D678" t="s">
        <v>46</v>
      </c>
      <c r="E678" t="s">
        <v>165</v>
      </c>
      <c r="F678" t="s">
        <v>42</v>
      </c>
      <c r="G678">
        <v>4</v>
      </c>
      <c r="H678">
        <v>8000</v>
      </c>
      <c r="I678">
        <v>2</v>
      </c>
      <c r="J678">
        <v>245179</v>
      </c>
      <c r="K678">
        <v>12</v>
      </c>
      <c r="L678">
        <v>5</v>
      </c>
      <c r="M678" t="str">
        <f>VLOOKUP(Sales_Data!F678,Product_Master!$A$2:$D$11,2)</f>
        <v>Printer</v>
      </c>
      <c r="N678" t="str">
        <f>VLOOKUP(F678,Product_Master!$A$2:$C$11,3)</f>
        <v>Electronics</v>
      </c>
      <c r="O678">
        <f>VLOOKUP(F678,Product_Master!$A$2:$D$11,4,FALSE)</f>
        <v>6500</v>
      </c>
      <c r="P678">
        <f t="shared" si="100"/>
        <v>32000</v>
      </c>
      <c r="Q678">
        <f t="shared" si="101"/>
        <v>640</v>
      </c>
      <c r="R678">
        <f t="shared" si="102"/>
        <v>31360</v>
      </c>
      <c r="S678">
        <f t="shared" si="103"/>
        <v>5360</v>
      </c>
      <c r="T678" t="str">
        <f>_xlfn.CONCAT(Sales_Data!C678,"-",Sales_Data!E678,"-",Sales_Data!A678)</f>
        <v>East-C1042-1677</v>
      </c>
      <c r="U678" t="str">
        <f t="shared" si="104"/>
        <v>Regular</v>
      </c>
      <c r="V678" t="str" cm="1">
        <f t="array" ref="V678">_xlfn.IFS(R678&gt;=100000,"Excellent",R678&gt;=50000,"Good",R678&gt;=20000,"Average",TRUE,"Poor")</f>
        <v>Average</v>
      </c>
      <c r="W678">
        <f t="shared" si="105"/>
        <v>4</v>
      </c>
      <c r="X678" t="str">
        <f t="shared" si="106"/>
        <v>October</v>
      </c>
      <c r="Y678">
        <f>HLOOKUP("Q"&amp;W678,Bonus_HLookup!$A$1:$E$2,2,FALSE)</f>
        <v>0.08</v>
      </c>
      <c r="Z678">
        <f t="shared" si="107"/>
        <v>147107.4</v>
      </c>
      <c r="AA678" s="1">
        <f t="shared" si="108"/>
        <v>5453.8714389365323</v>
      </c>
      <c r="AB678">
        <f t="shared" si="109"/>
        <v>370</v>
      </c>
    </row>
    <row r="679" spans="1:28" x14ac:dyDescent="0.3">
      <c r="A679">
        <v>1678</v>
      </c>
      <c r="B679" t="s">
        <v>227</v>
      </c>
      <c r="C679" t="s">
        <v>13</v>
      </c>
      <c r="D679" t="s">
        <v>19</v>
      </c>
      <c r="E679" t="s">
        <v>157</v>
      </c>
      <c r="F679" t="s">
        <v>74</v>
      </c>
      <c r="G679">
        <v>9</v>
      </c>
      <c r="H679">
        <v>35000</v>
      </c>
      <c r="I679">
        <v>10</v>
      </c>
      <c r="J679">
        <v>63099</v>
      </c>
      <c r="K679">
        <v>8</v>
      </c>
      <c r="L679">
        <v>3</v>
      </c>
      <c r="M679" t="str">
        <f>VLOOKUP(Sales_Data!F679,Product_Master!$A$2:$D$11,2)</f>
        <v>Tablet</v>
      </c>
      <c r="N679" t="str">
        <f>VLOOKUP(F679,Product_Master!$A$2:$C$11,3)</f>
        <v>Electronics</v>
      </c>
      <c r="O679">
        <f>VLOOKUP(F679,Product_Master!$A$2:$D$11,4,FALSE)</f>
        <v>29000</v>
      </c>
      <c r="P679">
        <f t="shared" si="100"/>
        <v>315000</v>
      </c>
      <c r="Q679">
        <f t="shared" si="101"/>
        <v>31500</v>
      </c>
      <c r="R679">
        <f t="shared" si="102"/>
        <v>283500</v>
      </c>
      <c r="S679">
        <f t="shared" si="103"/>
        <v>22500</v>
      </c>
      <c r="T679" t="str">
        <f>_xlfn.CONCAT(Sales_Data!C679,"-",Sales_Data!E679,"-",Sales_Data!A679)</f>
        <v>West-C1024-1678</v>
      </c>
      <c r="U679" t="str">
        <f t="shared" si="104"/>
        <v>High Value</v>
      </c>
      <c r="V679" t="str" cm="1">
        <f t="array" ref="V679">_xlfn.IFS(R679&gt;=100000,"Excellent",R679&gt;=50000,"Good",R679&gt;=20000,"Average",TRUE,"Poor")</f>
        <v>Excellent</v>
      </c>
      <c r="W679">
        <f t="shared" si="105"/>
        <v>2</v>
      </c>
      <c r="X679" t="str">
        <f t="shared" si="106"/>
        <v>May</v>
      </c>
      <c r="Y679">
        <f>HLOOKUP("Q"&amp;W679,Bonus_HLookup!$A$1:$E$2,2,FALSE)</f>
        <v>0.04</v>
      </c>
      <c r="Z679">
        <f t="shared" si="107"/>
        <v>15143.76</v>
      </c>
      <c r="AA679" s="1">
        <f t="shared" si="108"/>
        <v>1977.293324250825</v>
      </c>
      <c r="AB679">
        <f t="shared" si="109"/>
        <v>58</v>
      </c>
    </row>
    <row r="680" spans="1:28" x14ac:dyDescent="0.3">
      <c r="A680">
        <v>1679</v>
      </c>
      <c r="B680" t="s">
        <v>379</v>
      </c>
      <c r="C680" t="s">
        <v>30</v>
      </c>
      <c r="D680" t="s">
        <v>91</v>
      </c>
      <c r="E680" t="s">
        <v>60</v>
      </c>
      <c r="F680" t="s">
        <v>39</v>
      </c>
      <c r="G680">
        <v>1</v>
      </c>
      <c r="H680">
        <v>7000</v>
      </c>
      <c r="I680">
        <v>5</v>
      </c>
      <c r="J680">
        <v>346250</v>
      </c>
      <c r="K680">
        <v>11</v>
      </c>
      <c r="L680">
        <v>2</v>
      </c>
      <c r="M680" t="str">
        <f>VLOOKUP(Sales_Data!F680,Product_Master!$A$2:$D$11,2)</f>
        <v>Router</v>
      </c>
      <c r="N680" t="str">
        <f>VLOOKUP(F680,Product_Master!$A$2:$C$11,3)</f>
        <v>Electronics</v>
      </c>
      <c r="O680">
        <f>VLOOKUP(F680,Product_Master!$A$2:$D$11,4,FALSE)</f>
        <v>5000</v>
      </c>
      <c r="P680">
        <f t="shared" si="100"/>
        <v>7000</v>
      </c>
      <c r="Q680">
        <f t="shared" si="101"/>
        <v>350</v>
      </c>
      <c r="R680">
        <f t="shared" si="102"/>
        <v>6650</v>
      </c>
      <c r="S680">
        <f t="shared" si="103"/>
        <v>1650</v>
      </c>
      <c r="T680" t="str">
        <f>_xlfn.CONCAT(Sales_Data!C680,"-",Sales_Data!E680,"-",Sales_Data!A680)</f>
        <v>South-C1018-1679</v>
      </c>
      <c r="U680" t="str">
        <f t="shared" si="104"/>
        <v>Regular</v>
      </c>
      <c r="V680" t="str" cm="1">
        <f t="array" ref="V680">_xlfn.IFS(R680&gt;=100000,"Excellent",R680&gt;=50000,"Good",R680&gt;=20000,"Average",TRUE,"Poor")</f>
        <v>Poor</v>
      </c>
      <c r="W680">
        <f t="shared" si="105"/>
        <v>4</v>
      </c>
      <c r="X680" t="str">
        <f t="shared" si="106"/>
        <v>December</v>
      </c>
      <c r="Y680">
        <f>HLOOKUP("Q"&amp;W680,Bonus_HLookup!$A$1:$E$2,2,FALSE)</f>
        <v>0.08</v>
      </c>
      <c r="Z680">
        <f t="shared" si="107"/>
        <v>76175</v>
      </c>
      <c r="AA680" s="1">
        <f t="shared" si="108"/>
        <v>16137.963975546803</v>
      </c>
      <c r="AB680">
        <f t="shared" si="109"/>
        <v>734</v>
      </c>
    </row>
    <row r="681" spans="1:28" x14ac:dyDescent="0.3">
      <c r="A681">
        <v>1680</v>
      </c>
      <c r="B681" t="s">
        <v>327</v>
      </c>
      <c r="C681" t="s">
        <v>30</v>
      </c>
      <c r="D681" t="s">
        <v>59</v>
      </c>
      <c r="E681" t="s">
        <v>157</v>
      </c>
      <c r="F681" t="s">
        <v>42</v>
      </c>
      <c r="G681">
        <v>5</v>
      </c>
      <c r="H681">
        <v>8000</v>
      </c>
      <c r="I681">
        <v>8</v>
      </c>
      <c r="J681">
        <v>297470</v>
      </c>
      <c r="K681">
        <v>11</v>
      </c>
      <c r="L681">
        <v>4</v>
      </c>
      <c r="M681" t="str">
        <f>VLOOKUP(Sales_Data!F681,Product_Master!$A$2:$D$11,2)</f>
        <v>Printer</v>
      </c>
      <c r="N681" t="str">
        <f>VLOOKUP(F681,Product_Master!$A$2:$C$11,3)</f>
        <v>Electronics</v>
      </c>
      <c r="O681">
        <f>VLOOKUP(F681,Product_Master!$A$2:$D$11,4,FALSE)</f>
        <v>6500</v>
      </c>
      <c r="P681">
        <f t="shared" si="100"/>
        <v>40000</v>
      </c>
      <c r="Q681">
        <f t="shared" si="101"/>
        <v>3200</v>
      </c>
      <c r="R681">
        <f t="shared" si="102"/>
        <v>36800</v>
      </c>
      <c r="S681">
        <f t="shared" si="103"/>
        <v>4300</v>
      </c>
      <c r="T681" t="str">
        <f>_xlfn.CONCAT(Sales_Data!C681,"-",Sales_Data!E681,"-",Sales_Data!A681)</f>
        <v>South-C1024-1680</v>
      </c>
      <c r="U681" t="str">
        <f t="shared" si="104"/>
        <v>Regular</v>
      </c>
      <c r="V681" t="str" cm="1">
        <f t="array" ref="V681">_xlfn.IFS(R681&gt;=100000,"Excellent",R681&gt;=50000,"Good",R681&gt;=20000,"Average",TRUE,"Poor")</f>
        <v>Average</v>
      </c>
      <c r="W681">
        <f t="shared" si="105"/>
        <v>3</v>
      </c>
      <c r="X681" t="str">
        <f t="shared" si="106"/>
        <v>September</v>
      </c>
      <c r="Y681">
        <f>HLOOKUP("Q"&amp;W681,Bonus_HLookup!$A$1:$E$2,2,FALSE)</f>
        <v>0.06</v>
      </c>
      <c r="Z681">
        <f t="shared" si="107"/>
        <v>130886.8</v>
      </c>
      <c r="AA681" s="1">
        <f t="shared" si="108"/>
        <v>7688.2676112288682</v>
      </c>
      <c r="AB681">
        <f t="shared" si="109"/>
        <v>342</v>
      </c>
    </row>
    <row r="682" spans="1:28" x14ac:dyDescent="0.3">
      <c r="A682">
        <v>1681</v>
      </c>
      <c r="B682" t="s">
        <v>243</v>
      </c>
      <c r="C682" t="s">
        <v>18</v>
      </c>
      <c r="D682" t="s">
        <v>33</v>
      </c>
      <c r="E682" t="s">
        <v>187</v>
      </c>
      <c r="F682" t="s">
        <v>36</v>
      </c>
      <c r="G682">
        <v>5</v>
      </c>
      <c r="H682">
        <v>55000</v>
      </c>
      <c r="I682">
        <v>0</v>
      </c>
      <c r="J682">
        <v>286890</v>
      </c>
      <c r="K682">
        <v>8</v>
      </c>
      <c r="L682">
        <v>1</v>
      </c>
      <c r="M682" t="str">
        <f>VLOOKUP(Sales_Data!F682,Product_Master!$A$2:$D$11,2)</f>
        <v>Laptop</v>
      </c>
      <c r="N682" t="str">
        <f>VLOOKUP(F682,Product_Master!$A$2:$C$11,3)</f>
        <v>Electronics</v>
      </c>
      <c r="O682">
        <f>VLOOKUP(F682,Product_Master!$A$2:$D$11,4,FALSE)</f>
        <v>45000</v>
      </c>
      <c r="P682">
        <f t="shared" si="100"/>
        <v>275000</v>
      </c>
      <c r="Q682">
        <f t="shared" si="101"/>
        <v>0</v>
      </c>
      <c r="R682">
        <f t="shared" si="102"/>
        <v>275000</v>
      </c>
      <c r="S682">
        <f t="shared" si="103"/>
        <v>50000</v>
      </c>
      <c r="T682" t="str">
        <f>_xlfn.CONCAT(Sales_Data!C682,"-",Sales_Data!E682,"-",Sales_Data!A682)</f>
        <v>North-C1041-1681</v>
      </c>
      <c r="U682" t="str">
        <f t="shared" si="104"/>
        <v>High Value</v>
      </c>
      <c r="V682" t="str" cm="1">
        <f t="array" ref="V682">_xlfn.IFS(R682&gt;=100000,"Excellent",R682&gt;=50000,"Good",R682&gt;=20000,"Average",TRUE,"Poor")</f>
        <v>Excellent</v>
      </c>
      <c r="W682">
        <f t="shared" si="105"/>
        <v>2</v>
      </c>
      <c r="X682" t="str">
        <f t="shared" si="106"/>
        <v>April</v>
      </c>
      <c r="Y682">
        <f>HLOOKUP("Q"&amp;W682,Bonus_HLookup!$A$1:$E$2,2,FALSE)</f>
        <v>0.04</v>
      </c>
      <c r="Z682">
        <f t="shared" si="107"/>
        <v>22951.200000000001</v>
      </c>
      <c r="AA682" s="1">
        <f t="shared" si="108"/>
        <v>24956.11042031645</v>
      </c>
      <c r="AB682">
        <f t="shared" si="109"/>
        <v>62</v>
      </c>
    </row>
    <row r="683" spans="1:28" x14ac:dyDescent="0.3">
      <c r="A683">
        <v>1682</v>
      </c>
      <c r="B683" t="s">
        <v>271</v>
      </c>
      <c r="C683" t="s">
        <v>13</v>
      </c>
      <c r="D683" t="s">
        <v>91</v>
      </c>
      <c r="E683" t="s">
        <v>231</v>
      </c>
      <c r="F683" t="s">
        <v>42</v>
      </c>
      <c r="G683">
        <v>6</v>
      </c>
      <c r="H683">
        <v>8000</v>
      </c>
      <c r="I683">
        <v>8</v>
      </c>
      <c r="J683">
        <v>464880</v>
      </c>
      <c r="K683">
        <v>8</v>
      </c>
      <c r="L683">
        <v>3</v>
      </c>
      <c r="M683" t="str">
        <f>VLOOKUP(Sales_Data!F683,Product_Master!$A$2:$D$11,2)</f>
        <v>Printer</v>
      </c>
      <c r="N683" t="str">
        <f>VLOOKUP(F683,Product_Master!$A$2:$C$11,3)</f>
        <v>Electronics</v>
      </c>
      <c r="O683">
        <f>VLOOKUP(F683,Product_Master!$A$2:$D$11,4,FALSE)</f>
        <v>6500</v>
      </c>
      <c r="P683">
        <f t="shared" si="100"/>
        <v>48000</v>
      </c>
      <c r="Q683">
        <f t="shared" si="101"/>
        <v>3840</v>
      </c>
      <c r="R683">
        <f t="shared" si="102"/>
        <v>44160</v>
      </c>
      <c r="S683">
        <f t="shared" si="103"/>
        <v>5160</v>
      </c>
      <c r="T683" t="str">
        <f>_xlfn.CONCAT(Sales_Data!C683,"-",Sales_Data!E683,"-",Sales_Data!A683)</f>
        <v>West-C1006-1682</v>
      </c>
      <c r="U683" t="str">
        <f t="shared" si="104"/>
        <v>Regular</v>
      </c>
      <c r="V683" t="str" cm="1">
        <f t="array" ref="V683">_xlfn.IFS(R683&gt;=100000,"Excellent",R683&gt;=50000,"Good",R683&gt;=20000,"Average",TRUE,"Poor")</f>
        <v>Average</v>
      </c>
      <c r="W683">
        <f t="shared" si="105"/>
        <v>3</v>
      </c>
      <c r="X683" t="str">
        <f t="shared" si="106"/>
        <v>September</v>
      </c>
      <c r="Y683">
        <f>HLOOKUP("Q"&amp;W683,Bonus_HLookup!$A$1:$E$2,2,FALSE)</f>
        <v>0.06</v>
      </c>
      <c r="Z683">
        <f t="shared" si="107"/>
        <v>111571.2</v>
      </c>
      <c r="AA683" s="1">
        <f t="shared" si="108"/>
        <v>14567.649575709975</v>
      </c>
      <c r="AB683">
        <f t="shared" si="109"/>
        <v>318</v>
      </c>
    </row>
    <row r="684" spans="1:28" x14ac:dyDescent="0.3">
      <c r="A684">
        <v>1683</v>
      </c>
      <c r="B684" t="s">
        <v>72</v>
      </c>
      <c r="C684" t="s">
        <v>18</v>
      </c>
      <c r="D684" t="s">
        <v>19</v>
      </c>
      <c r="E684" t="s">
        <v>94</v>
      </c>
      <c r="F684" t="s">
        <v>25</v>
      </c>
      <c r="G684">
        <v>5</v>
      </c>
      <c r="H684">
        <v>1500</v>
      </c>
      <c r="I684">
        <v>8</v>
      </c>
      <c r="J684">
        <v>78450</v>
      </c>
      <c r="K684">
        <v>10</v>
      </c>
      <c r="L684">
        <v>1</v>
      </c>
      <c r="M684" t="str">
        <f>VLOOKUP(Sales_Data!F684,Product_Master!$A$2:$D$11,2)</f>
        <v>Keyboard</v>
      </c>
      <c r="N684" t="str">
        <f>VLOOKUP(F684,Product_Master!$A$2:$C$11,3)</f>
        <v>Accessories</v>
      </c>
      <c r="O684">
        <f>VLOOKUP(F684,Product_Master!$A$2:$D$11,4,FALSE)</f>
        <v>1200</v>
      </c>
      <c r="P684">
        <f t="shared" si="100"/>
        <v>7500</v>
      </c>
      <c r="Q684">
        <f t="shared" si="101"/>
        <v>600</v>
      </c>
      <c r="R684">
        <f t="shared" si="102"/>
        <v>6900</v>
      </c>
      <c r="S684">
        <f t="shared" si="103"/>
        <v>900</v>
      </c>
      <c r="T684" t="str">
        <f>_xlfn.CONCAT(Sales_Data!C684,"-",Sales_Data!E684,"-",Sales_Data!A684)</f>
        <v>North-C1027-1683</v>
      </c>
      <c r="U684" t="str">
        <f t="shared" si="104"/>
        <v>Regular</v>
      </c>
      <c r="V684" t="str" cm="1">
        <f t="array" ref="V684">_xlfn.IFS(R684&gt;=100000,"Excellent",R684&gt;=50000,"Good",R684&gt;=20000,"Average",TRUE,"Poor")</f>
        <v>Poor</v>
      </c>
      <c r="W684">
        <f t="shared" si="105"/>
        <v>4</v>
      </c>
      <c r="X684" t="str">
        <f t="shared" si="106"/>
        <v>October</v>
      </c>
      <c r="Y684">
        <f>HLOOKUP("Q"&amp;W684,Bonus_HLookup!$A$1:$E$2,2,FALSE)</f>
        <v>0.08</v>
      </c>
      <c r="Z684">
        <f t="shared" si="107"/>
        <v>7845</v>
      </c>
      <c r="AA684" s="1">
        <f t="shared" si="108"/>
        <v>6897.0013531942532</v>
      </c>
      <c r="AB684">
        <f t="shared" si="109"/>
        <v>724</v>
      </c>
    </row>
    <row r="685" spans="1:28" x14ac:dyDescent="0.3">
      <c r="A685">
        <v>1684</v>
      </c>
      <c r="B685" t="s">
        <v>391</v>
      </c>
      <c r="C685" t="s">
        <v>62</v>
      </c>
      <c r="D685" t="s">
        <v>46</v>
      </c>
      <c r="E685" t="s">
        <v>102</v>
      </c>
      <c r="F685" t="s">
        <v>74</v>
      </c>
      <c r="G685">
        <v>6</v>
      </c>
      <c r="H685">
        <v>35000</v>
      </c>
      <c r="I685">
        <v>5</v>
      </c>
      <c r="J685">
        <v>437715</v>
      </c>
      <c r="K685">
        <v>7</v>
      </c>
      <c r="L685">
        <v>2</v>
      </c>
      <c r="M685" t="str">
        <f>VLOOKUP(Sales_Data!F685,Product_Master!$A$2:$D$11,2)</f>
        <v>Tablet</v>
      </c>
      <c r="N685" t="str">
        <f>VLOOKUP(F685,Product_Master!$A$2:$C$11,3)</f>
        <v>Electronics</v>
      </c>
      <c r="O685">
        <f>VLOOKUP(F685,Product_Master!$A$2:$D$11,4,FALSE)</f>
        <v>29000</v>
      </c>
      <c r="P685">
        <f t="shared" si="100"/>
        <v>210000</v>
      </c>
      <c r="Q685">
        <f t="shared" si="101"/>
        <v>10500</v>
      </c>
      <c r="R685">
        <f t="shared" si="102"/>
        <v>199500</v>
      </c>
      <c r="S685">
        <f t="shared" si="103"/>
        <v>25500</v>
      </c>
      <c r="T685" t="str">
        <f>_xlfn.CONCAT(Sales_Data!C685,"-",Sales_Data!E685,"-",Sales_Data!A685)</f>
        <v>East-C1049-1684</v>
      </c>
      <c r="U685" t="str">
        <f t="shared" si="104"/>
        <v>High Value</v>
      </c>
      <c r="V685" t="str" cm="1">
        <f t="array" ref="V685">_xlfn.IFS(R685&gt;=100000,"Excellent",R685&gt;=50000,"Good",R685&gt;=20000,"Average",TRUE,"Poor")</f>
        <v>Excellent</v>
      </c>
      <c r="W685">
        <f t="shared" si="105"/>
        <v>4</v>
      </c>
      <c r="X685" t="str">
        <f t="shared" si="106"/>
        <v>November</v>
      </c>
      <c r="Y685">
        <f>HLOOKUP("Q"&amp;W685,Bonus_HLookup!$A$1:$E$2,2,FALSE)</f>
        <v>0.08</v>
      </c>
      <c r="Z685">
        <f t="shared" si="107"/>
        <v>61280.1</v>
      </c>
      <c r="AA685" s="1">
        <f t="shared" si="108"/>
        <v>19597.629462133296</v>
      </c>
      <c r="AB685">
        <f t="shared" si="109"/>
        <v>109</v>
      </c>
    </row>
    <row r="686" spans="1:28" x14ac:dyDescent="0.3">
      <c r="A686">
        <v>1685</v>
      </c>
      <c r="B686" t="s">
        <v>240</v>
      </c>
      <c r="C686" t="s">
        <v>18</v>
      </c>
      <c r="D686" t="s">
        <v>14</v>
      </c>
      <c r="E686" t="s">
        <v>77</v>
      </c>
      <c r="F686" t="s">
        <v>69</v>
      </c>
      <c r="G686">
        <v>9</v>
      </c>
      <c r="H686">
        <v>2000</v>
      </c>
      <c r="I686">
        <v>2</v>
      </c>
      <c r="J686">
        <v>338042</v>
      </c>
      <c r="K686">
        <v>7</v>
      </c>
      <c r="L686">
        <v>1</v>
      </c>
      <c r="M686" t="str">
        <f>VLOOKUP(Sales_Data!F686,Product_Master!$A$2:$D$11,2)</f>
        <v>Headset</v>
      </c>
      <c r="N686" t="str">
        <f>VLOOKUP(F686,Product_Master!$A$2:$C$11,3)</f>
        <v>Accessories</v>
      </c>
      <c r="O686">
        <f>VLOOKUP(F686,Product_Master!$A$2:$D$11,4,FALSE)</f>
        <v>1500</v>
      </c>
      <c r="P686">
        <f t="shared" si="100"/>
        <v>18000</v>
      </c>
      <c r="Q686">
        <f t="shared" si="101"/>
        <v>360</v>
      </c>
      <c r="R686">
        <f t="shared" si="102"/>
        <v>17640</v>
      </c>
      <c r="S686">
        <f t="shared" si="103"/>
        <v>4140</v>
      </c>
      <c r="T686" t="str">
        <f>_xlfn.CONCAT(Sales_Data!C686,"-",Sales_Data!E686,"-",Sales_Data!A686)</f>
        <v>North-C1020-1685</v>
      </c>
      <c r="U686" t="str">
        <f t="shared" si="104"/>
        <v>Regular</v>
      </c>
      <c r="V686" t="str" cm="1">
        <f t="array" ref="V686">_xlfn.IFS(R686&gt;=100000,"Excellent",R686&gt;=50000,"Good",R686&gt;=20000,"Average",TRUE,"Poor")</f>
        <v>Poor</v>
      </c>
      <c r="W686">
        <f t="shared" si="105"/>
        <v>3</v>
      </c>
      <c r="X686" t="str">
        <f t="shared" si="106"/>
        <v>July</v>
      </c>
      <c r="Y686">
        <f>HLOOKUP("Q"&amp;W686,Bonus_HLookup!$A$1:$E$2,2,FALSE)</f>
        <v>0.06</v>
      </c>
      <c r="Z686">
        <f t="shared" si="107"/>
        <v>23662.94</v>
      </c>
      <c r="AA686" s="1">
        <f t="shared" si="108"/>
        <v>29249.674304506785</v>
      </c>
      <c r="AB686">
        <f t="shared" si="109"/>
        <v>487</v>
      </c>
    </row>
    <row r="687" spans="1:28" x14ac:dyDescent="0.3">
      <c r="A687">
        <v>1686</v>
      </c>
      <c r="B687" t="s">
        <v>271</v>
      </c>
      <c r="C687" t="s">
        <v>18</v>
      </c>
      <c r="D687" t="s">
        <v>59</v>
      </c>
      <c r="E687" t="s">
        <v>51</v>
      </c>
      <c r="F687" t="s">
        <v>39</v>
      </c>
      <c r="G687">
        <v>1</v>
      </c>
      <c r="H687">
        <v>7000</v>
      </c>
      <c r="I687">
        <v>0</v>
      </c>
      <c r="J687">
        <v>436330</v>
      </c>
      <c r="K687">
        <v>11</v>
      </c>
      <c r="L687">
        <v>1</v>
      </c>
      <c r="M687" t="str">
        <f>VLOOKUP(Sales_Data!F687,Product_Master!$A$2:$D$11,2)</f>
        <v>Router</v>
      </c>
      <c r="N687" t="str">
        <f>VLOOKUP(F687,Product_Master!$A$2:$C$11,3)</f>
        <v>Electronics</v>
      </c>
      <c r="O687">
        <f>VLOOKUP(F687,Product_Master!$A$2:$D$11,4,FALSE)</f>
        <v>5000</v>
      </c>
      <c r="P687">
        <f t="shared" si="100"/>
        <v>7000</v>
      </c>
      <c r="Q687">
        <f t="shared" si="101"/>
        <v>0</v>
      </c>
      <c r="R687">
        <f t="shared" si="102"/>
        <v>7000</v>
      </c>
      <c r="S687">
        <f t="shared" si="103"/>
        <v>2000</v>
      </c>
      <c r="T687" t="str">
        <f>_xlfn.CONCAT(Sales_Data!C687,"-",Sales_Data!E687,"-",Sales_Data!A687)</f>
        <v>North-C1002-1686</v>
      </c>
      <c r="U687" t="str">
        <f t="shared" si="104"/>
        <v>Regular</v>
      </c>
      <c r="V687" t="str" cm="1">
        <f t="array" ref="V687">_xlfn.IFS(R687&gt;=100000,"Excellent",R687&gt;=50000,"Good",R687&gt;=20000,"Average",TRUE,"Poor")</f>
        <v>Poor</v>
      </c>
      <c r="W687">
        <f t="shared" si="105"/>
        <v>3</v>
      </c>
      <c r="X687" t="str">
        <f t="shared" si="106"/>
        <v>September</v>
      </c>
      <c r="Y687">
        <f>HLOOKUP("Q"&amp;W687,Bonus_HLookup!$A$1:$E$2,2,FALSE)</f>
        <v>0.06</v>
      </c>
      <c r="Z687">
        <f t="shared" si="107"/>
        <v>47996.3</v>
      </c>
      <c r="AA687" s="1">
        <f t="shared" si="108"/>
        <v>38563.569062731491</v>
      </c>
      <c r="AB687">
        <f t="shared" si="109"/>
        <v>719</v>
      </c>
    </row>
    <row r="688" spans="1:28" x14ac:dyDescent="0.3">
      <c r="A688">
        <v>1687</v>
      </c>
      <c r="B688" t="s">
        <v>290</v>
      </c>
      <c r="C688" t="s">
        <v>13</v>
      </c>
      <c r="D688" t="s">
        <v>50</v>
      </c>
      <c r="E688" t="s">
        <v>133</v>
      </c>
      <c r="F688" t="s">
        <v>28</v>
      </c>
      <c r="G688">
        <v>8</v>
      </c>
      <c r="H688">
        <v>950</v>
      </c>
      <c r="I688">
        <v>2</v>
      </c>
      <c r="J688">
        <v>480611</v>
      </c>
      <c r="K688">
        <v>9</v>
      </c>
      <c r="L688">
        <v>5</v>
      </c>
      <c r="M688" t="str">
        <f>VLOOKUP(Sales_Data!F688,Product_Master!$A$2:$D$11,2)</f>
        <v>Webcam</v>
      </c>
      <c r="N688" t="str">
        <f>VLOOKUP(F688,Product_Master!$A$2:$C$11,3)</f>
        <v>Accessories</v>
      </c>
      <c r="O688">
        <f>VLOOKUP(F688,Product_Master!$A$2:$D$11,4,FALSE)</f>
        <v>700</v>
      </c>
      <c r="P688">
        <f t="shared" si="100"/>
        <v>7600</v>
      </c>
      <c r="Q688">
        <f t="shared" si="101"/>
        <v>152</v>
      </c>
      <c r="R688">
        <f t="shared" si="102"/>
        <v>7448</v>
      </c>
      <c r="S688">
        <f t="shared" si="103"/>
        <v>1848</v>
      </c>
      <c r="T688" t="str">
        <f>_xlfn.CONCAT(Sales_Data!C688,"-",Sales_Data!E688,"-",Sales_Data!A688)</f>
        <v>West-C1021-1687</v>
      </c>
      <c r="U688" t="str">
        <f t="shared" si="104"/>
        <v>Regular</v>
      </c>
      <c r="V688" t="str" cm="1">
        <f t="array" ref="V688">_xlfn.IFS(R688&gt;=100000,"Excellent",R688&gt;=50000,"Good",R688&gt;=20000,"Average",TRUE,"Poor")</f>
        <v>Poor</v>
      </c>
      <c r="W688">
        <f t="shared" si="105"/>
        <v>4</v>
      </c>
      <c r="X688" t="str">
        <f t="shared" si="106"/>
        <v>December</v>
      </c>
      <c r="Y688">
        <f>HLOOKUP("Q"&amp;W688,Bonus_HLookup!$A$1:$E$2,2,FALSE)</f>
        <v>0.08</v>
      </c>
      <c r="Z688">
        <f t="shared" si="107"/>
        <v>216274.95</v>
      </c>
      <c r="AA688" s="1">
        <f t="shared" si="108"/>
        <v>9976.6938636932264</v>
      </c>
      <c r="AB688">
        <f t="shared" si="109"/>
        <v>708</v>
      </c>
    </row>
    <row r="689" spans="1:28" x14ac:dyDescent="0.3">
      <c r="A689">
        <v>1688</v>
      </c>
      <c r="B689" t="s">
        <v>222</v>
      </c>
      <c r="C689" t="s">
        <v>13</v>
      </c>
      <c r="D689" t="s">
        <v>14</v>
      </c>
      <c r="E689" t="s">
        <v>189</v>
      </c>
      <c r="F689" t="s">
        <v>52</v>
      </c>
      <c r="G689">
        <v>4</v>
      </c>
      <c r="H689">
        <v>500</v>
      </c>
      <c r="I689">
        <v>10</v>
      </c>
      <c r="J689">
        <v>436716</v>
      </c>
      <c r="K689">
        <v>11</v>
      </c>
      <c r="L689">
        <v>3</v>
      </c>
      <c r="M689" t="str">
        <f>VLOOKUP(Sales_Data!F689,Product_Master!$A$2:$D$11,2)</f>
        <v>Mouse</v>
      </c>
      <c r="N689" t="str">
        <f>VLOOKUP(F689,Product_Master!$A$2:$C$11,3)</f>
        <v>Accessories</v>
      </c>
      <c r="O689">
        <f>VLOOKUP(F689,Product_Master!$A$2:$D$11,4,FALSE)</f>
        <v>350</v>
      </c>
      <c r="P689">
        <f t="shared" si="100"/>
        <v>2000</v>
      </c>
      <c r="Q689">
        <f t="shared" si="101"/>
        <v>200</v>
      </c>
      <c r="R689">
        <f t="shared" si="102"/>
        <v>1800</v>
      </c>
      <c r="S689">
        <f t="shared" si="103"/>
        <v>400</v>
      </c>
      <c r="T689" t="str">
        <f>_xlfn.CONCAT(Sales_Data!C689,"-",Sales_Data!E689,"-",Sales_Data!A689)</f>
        <v>West-C1015-1688</v>
      </c>
      <c r="U689" t="str">
        <f t="shared" si="104"/>
        <v>Regular</v>
      </c>
      <c r="V689" t="str" cm="1">
        <f t="array" ref="V689">_xlfn.IFS(R689&gt;=100000,"Excellent",R689&gt;=50000,"Good",R689&gt;=20000,"Average",TRUE,"Poor")</f>
        <v>Poor</v>
      </c>
      <c r="W689">
        <f t="shared" si="105"/>
        <v>2</v>
      </c>
      <c r="X689" t="str">
        <f t="shared" si="106"/>
        <v>June</v>
      </c>
      <c r="Y689">
        <f>HLOOKUP("Q"&amp;W689,Bonus_HLookup!$A$1:$E$2,2,FALSE)</f>
        <v>0.04</v>
      </c>
      <c r="Z689">
        <f t="shared" si="107"/>
        <v>144116.28</v>
      </c>
      <c r="AA689" s="1">
        <f t="shared" si="108"/>
        <v>14297.521584468663</v>
      </c>
      <c r="AB689">
        <f t="shared" si="109"/>
        <v>940</v>
      </c>
    </row>
    <row r="690" spans="1:28" x14ac:dyDescent="0.3">
      <c r="A690">
        <v>1689</v>
      </c>
      <c r="B690" t="s">
        <v>17</v>
      </c>
      <c r="C690" t="s">
        <v>62</v>
      </c>
      <c r="D690" t="s">
        <v>91</v>
      </c>
      <c r="E690" t="s">
        <v>27</v>
      </c>
      <c r="F690" t="s">
        <v>69</v>
      </c>
      <c r="G690">
        <v>3</v>
      </c>
      <c r="H690">
        <v>2000</v>
      </c>
      <c r="I690">
        <v>5</v>
      </c>
      <c r="J690">
        <v>477125</v>
      </c>
      <c r="K690">
        <v>12</v>
      </c>
      <c r="L690">
        <v>3</v>
      </c>
      <c r="M690" t="str">
        <f>VLOOKUP(Sales_Data!F690,Product_Master!$A$2:$D$11,2)</f>
        <v>Headset</v>
      </c>
      <c r="N690" t="str">
        <f>VLOOKUP(F690,Product_Master!$A$2:$C$11,3)</f>
        <v>Accessories</v>
      </c>
      <c r="O690">
        <f>VLOOKUP(F690,Product_Master!$A$2:$D$11,4,FALSE)</f>
        <v>1500</v>
      </c>
      <c r="P690">
        <f t="shared" si="100"/>
        <v>6000</v>
      </c>
      <c r="Q690">
        <f t="shared" si="101"/>
        <v>300</v>
      </c>
      <c r="R690">
        <f t="shared" si="102"/>
        <v>5700</v>
      </c>
      <c r="S690">
        <f t="shared" si="103"/>
        <v>1200</v>
      </c>
      <c r="T690" t="str">
        <f>_xlfn.CONCAT(Sales_Data!C690,"-",Sales_Data!E690,"-",Sales_Data!A690)</f>
        <v>East-C1007-1689</v>
      </c>
      <c r="U690" t="str">
        <f t="shared" si="104"/>
        <v>Regular</v>
      </c>
      <c r="V690" t="str" cm="1">
        <f t="array" ref="V690">_xlfn.IFS(R690&gt;=100000,"Excellent",R690&gt;=50000,"Good",R690&gt;=20000,"Average",TRUE,"Poor")</f>
        <v>Poor</v>
      </c>
      <c r="W690">
        <f t="shared" si="105"/>
        <v>3</v>
      </c>
      <c r="X690" t="str">
        <f t="shared" si="106"/>
        <v>September</v>
      </c>
      <c r="Y690">
        <f>HLOOKUP("Q"&amp;W690,Bonus_HLookup!$A$1:$E$2,2,FALSE)</f>
        <v>0.06</v>
      </c>
      <c r="Z690">
        <f t="shared" si="107"/>
        <v>171765</v>
      </c>
      <c r="AA690" s="1">
        <f t="shared" si="108"/>
        <v>15847.377569456625</v>
      </c>
      <c r="AB690">
        <f t="shared" si="109"/>
        <v>767</v>
      </c>
    </row>
    <row r="691" spans="1:28" x14ac:dyDescent="0.3">
      <c r="A691">
        <v>1690</v>
      </c>
      <c r="B691" t="s">
        <v>383</v>
      </c>
      <c r="C691" t="s">
        <v>62</v>
      </c>
      <c r="D691" t="s">
        <v>23</v>
      </c>
      <c r="E691" t="s">
        <v>99</v>
      </c>
      <c r="F691" t="s">
        <v>28</v>
      </c>
      <c r="G691">
        <v>6</v>
      </c>
      <c r="H691">
        <v>950</v>
      </c>
      <c r="I691">
        <v>15</v>
      </c>
      <c r="J691">
        <v>200772</v>
      </c>
      <c r="K691">
        <v>12</v>
      </c>
      <c r="L691">
        <v>5</v>
      </c>
      <c r="M691" t="str">
        <f>VLOOKUP(Sales_Data!F691,Product_Master!$A$2:$D$11,2)</f>
        <v>Webcam</v>
      </c>
      <c r="N691" t="str">
        <f>VLOOKUP(F691,Product_Master!$A$2:$C$11,3)</f>
        <v>Accessories</v>
      </c>
      <c r="O691">
        <f>VLOOKUP(F691,Product_Master!$A$2:$D$11,4,FALSE)</f>
        <v>700</v>
      </c>
      <c r="P691">
        <f t="shared" si="100"/>
        <v>5700</v>
      </c>
      <c r="Q691">
        <f t="shared" si="101"/>
        <v>855</v>
      </c>
      <c r="R691">
        <f t="shared" si="102"/>
        <v>4845</v>
      </c>
      <c r="S691">
        <f t="shared" si="103"/>
        <v>645</v>
      </c>
      <c r="T691" t="str">
        <f>_xlfn.CONCAT(Sales_Data!C691,"-",Sales_Data!E691,"-",Sales_Data!A691)</f>
        <v>East-C1050-1690</v>
      </c>
      <c r="U691" t="str">
        <f t="shared" si="104"/>
        <v>Regular</v>
      </c>
      <c r="V691" t="str" cm="1">
        <f t="array" ref="V691">_xlfn.IFS(R691&gt;=100000,"Excellent",R691&gt;=50000,"Good",R691&gt;=20000,"Average",TRUE,"Poor")</f>
        <v>Poor</v>
      </c>
      <c r="W691">
        <f t="shared" si="105"/>
        <v>2</v>
      </c>
      <c r="X691" t="str">
        <f t="shared" si="106"/>
        <v>June</v>
      </c>
      <c r="Y691">
        <f>HLOOKUP("Q"&amp;W691,Bonus_HLookup!$A$1:$E$2,2,FALSE)</f>
        <v>0.04</v>
      </c>
      <c r="Z691">
        <f t="shared" si="107"/>
        <v>120463.2</v>
      </c>
      <c r="AA691" s="1">
        <f t="shared" si="108"/>
        <v>4466.0622505930987</v>
      </c>
      <c r="AB691">
        <f t="shared" si="109"/>
        <v>794</v>
      </c>
    </row>
    <row r="692" spans="1:28" x14ac:dyDescent="0.3">
      <c r="A692">
        <v>1691</v>
      </c>
      <c r="B692" t="s">
        <v>345</v>
      </c>
      <c r="C692" t="s">
        <v>13</v>
      </c>
      <c r="D692" t="s">
        <v>46</v>
      </c>
      <c r="E692" t="s">
        <v>108</v>
      </c>
      <c r="F692" t="s">
        <v>39</v>
      </c>
      <c r="G692">
        <v>10</v>
      </c>
      <c r="H692">
        <v>7000</v>
      </c>
      <c r="I692">
        <v>8</v>
      </c>
      <c r="J692">
        <v>160099</v>
      </c>
      <c r="K692">
        <v>9</v>
      </c>
      <c r="L692">
        <v>4</v>
      </c>
      <c r="M692" t="str">
        <f>VLOOKUP(Sales_Data!F692,Product_Master!$A$2:$D$11,2)</f>
        <v>Router</v>
      </c>
      <c r="N692" t="str">
        <f>VLOOKUP(F692,Product_Master!$A$2:$C$11,3)</f>
        <v>Electronics</v>
      </c>
      <c r="O692">
        <f>VLOOKUP(F692,Product_Master!$A$2:$D$11,4,FALSE)</f>
        <v>5000</v>
      </c>
      <c r="P692">
        <f t="shared" si="100"/>
        <v>70000</v>
      </c>
      <c r="Q692">
        <f t="shared" si="101"/>
        <v>5600</v>
      </c>
      <c r="R692">
        <f t="shared" si="102"/>
        <v>64400</v>
      </c>
      <c r="S692">
        <f t="shared" si="103"/>
        <v>14400</v>
      </c>
      <c r="T692" t="str">
        <f>_xlfn.CONCAT(Sales_Data!C692,"-",Sales_Data!E692,"-",Sales_Data!A692)</f>
        <v>West-C1031-1691</v>
      </c>
      <c r="U692" t="str">
        <f t="shared" si="104"/>
        <v>High Value</v>
      </c>
      <c r="V692" t="str" cm="1">
        <f t="array" ref="V692">_xlfn.IFS(R692&gt;=100000,"Excellent",R692&gt;=50000,"Good",R692&gt;=20000,"Average",TRUE,"Poor")</f>
        <v>Good</v>
      </c>
      <c r="W692">
        <f t="shared" si="105"/>
        <v>4</v>
      </c>
      <c r="X692" t="str">
        <f t="shared" si="106"/>
        <v>October</v>
      </c>
      <c r="Y692">
        <f>HLOOKUP("Q"&amp;W692,Bonus_HLookup!$A$1:$E$2,2,FALSE)</f>
        <v>0.08</v>
      </c>
      <c r="Z692">
        <f t="shared" si="107"/>
        <v>57635.64</v>
      </c>
      <c r="AA692" s="1">
        <f t="shared" si="108"/>
        <v>3984.0703990244924</v>
      </c>
      <c r="AB692">
        <f t="shared" si="109"/>
        <v>234</v>
      </c>
    </row>
    <row r="693" spans="1:28" x14ac:dyDescent="0.3">
      <c r="A693">
        <v>1692</v>
      </c>
      <c r="B693" t="s">
        <v>393</v>
      </c>
      <c r="C693" t="s">
        <v>13</v>
      </c>
      <c r="D693" t="s">
        <v>23</v>
      </c>
      <c r="E693" t="s">
        <v>172</v>
      </c>
      <c r="F693" t="s">
        <v>52</v>
      </c>
      <c r="G693">
        <v>5</v>
      </c>
      <c r="H693">
        <v>500</v>
      </c>
      <c r="I693">
        <v>5</v>
      </c>
      <c r="J693">
        <v>90824</v>
      </c>
      <c r="K693">
        <v>7</v>
      </c>
      <c r="L693">
        <v>3</v>
      </c>
      <c r="M693" t="str">
        <f>VLOOKUP(Sales_Data!F693,Product_Master!$A$2:$D$11,2)</f>
        <v>Mouse</v>
      </c>
      <c r="N693" t="str">
        <f>VLOOKUP(F693,Product_Master!$A$2:$C$11,3)</f>
        <v>Accessories</v>
      </c>
      <c r="O693">
        <f>VLOOKUP(F693,Product_Master!$A$2:$D$11,4,FALSE)</f>
        <v>350</v>
      </c>
      <c r="P693">
        <f t="shared" si="100"/>
        <v>2500</v>
      </c>
      <c r="Q693">
        <f t="shared" si="101"/>
        <v>125</v>
      </c>
      <c r="R693">
        <f t="shared" si="102"/>
        <v>2375</v>
      </c>
      <c r="S693">
        <f t="shared" si="103"/>
        <v>625</v>
      </c>
      <c r="T693" t="str">
        <f>_xlfn.CONCAT(Sales_Data!C693,"-",Sales_Data!E693,"-",Sales_Data!A693)</f>
        <v>West-C1033-1692</v>
      </c>
      <c r="U693" t="str">
        <f t="shared" si="104"/>
        <v>Regular</v>
      </c>
      <c r="V693" t="str" cm="1">
        <f t="array" ref="V693">_xlfn.IFS(R693&gt;=100000,"Excellent",R693&gt;=50000,"Good",R693&gt;=20000,"Average",TRUE,"Poor")</f>
        <v>Poor</v>
      </c>
      <c r="W693">
        <f t="shared" si="105"/>
        <v>1</v>
      </c>
      <c r="X693" t="str">
        <f t="shared" si="106"/>
        <v>March</v>
      </c>
      <c r="Y693">
        <f>HLOOKUP("Q"&amp;W693,Bonus_HLookup!$A$1:$E$2,2,FALSE)</f>
        <v>0.02</v>
      </c>
      <c r="Z693">
        <f t="shared" si="107"/>
        <v>19073.04</v>
      </c>
      <c r="AA693" s="1">
        <f t="shared" si="108"/>
        <v>2804.381445700541</v>
      </c>
      <c r="AB693">
        <f t="shared" si="109"/>
        <v>913</v>
      </c>
    </row>
    <row r="694" spans="1:28" x14ac:dyDescent="0.3">
      <c r="A694">
        <v>1693</v>
      </c>
      <c r="B694" t="s">
        <v>271</v>
      </c>
      <c r="C694" t="s">
        <v>18</v>
      </c>
      <c r="D694" t="s">
        <v>46</v>
      </c>
      <c r="E694" t="s">
        <v>160</v>
      </c>
      <c r="F694" t="s">
        <v>25</v>
      </c>
      <c r="G694">
        <v>5</v>
      </c>
      <c r="H694">
        <v>1500</v>
      </c>
      <c r="I694">
        <v>2</v>
      </c>
      <c r="J694">
        <v>411779</v>
      </c>
      <c r="K694">
        <v>11</v>
      </c>
      <c r="L694">
        <v>2</v>
      </c>
      <c r="M694" t="str">
        <f>VLOOKUP(Sales_Data!F694,Product_Master!$A$2:$D$11,2)</f>
        <v>Keyboard</v>
      </c>
      <c r="N694" t="str">
        <f>VLOOKUP(F694,Product_Master!$A$2:$C$11,3)</f>
        <v>Accessories</v>
      </c>
      <c r="O694">
        <f>VLOOKUP(F694,Product_Master!$A$2:$D$11,4,FALSE)</f>
        <v>1200</v>
      </c>
      <c r="P694">
        <f t="shared" si="100"/>
        <v>7500</v>
      </c>
      <c r="Q694">
        <f t="shared" si="101"/>
        <v>150</v>
      </c>
      <c r="R694">
        <f t="shared" si="102"/>
        <v>7350</v>
      </c>
      <c r="S694">
        <f t="shared" si="103"/>
        <v>1350</v>
      </c>
      <c r="T694" t="str">
        <f>_xlfn.CONCAT(Sales_Data!C694,"-",Sales_Data!E694,"-",Sales_Data!A694)</f>
        <v>North-C1040-1693</v>
      </c>
      <c r="U694" t="str">
        <f t="shared" si="104"/>
        <v>Regular</v>
      </c>
      <c r="V694" t="str" cm="1">
        <f t="array" ref="V694">_xlfn.IFS(R694&gt;=100000,"Excellent",R694&gt;=50000,"Good",R694&gt;=20000,"Average",TRUE,"Poor")</f>
        <v>Poor</v>
      </c>
      <c r="W694">
        <f t="shared" si="105"/>
        <v>3</v>
      </c>
      <c r="X694" t="str">
        <f t="shared" si="106"/>
        <v>September</v>
      </c>
      <c r="Y694">
        <f>HLOOKUP("Q"&amp;W694,Bonus_HLookup!$A$1:$E$2,2,FALSE)</f>
        <v>0.06</v>
      </c>
      <c r="Z694">
        <f t="shared" si="107"/>
        <v>90591.38</v>
      </c>
      <c r="AA694" s="1">
        <f t="shared" si="108"/>
        <v>19192.129004726896</v>
      </c>
      <c r="AB694">
        <f t="shared" si="109"/>
        <v>714</v>
      </c>
    </row>
    <row r="695" spans="1:28" x14ac:dyDescent="0.3">
      <c r="A695">
        <v>1694</v>
      </c>
      <c r="B695" t="s">
        <v>154</v>
      </c>
      <c r="C695" t="s">
        <v>62</v>
      </c>
      <c r="D695" t="s">
        <v>19</v>
      </c>
      <c r="E695" t="s">
        <v>73</v>
      </c>
      <c r="F695" t="s">
        <v>69</v>
      </c>
      <c r="G695">
        <v>10</v>
      </c>
      <c r="H695">
        <v>2000</v>
      </c>
      <c r="I695">
        <v>0</v>
      </c>
      <c r="J695">
        <v>77039</v>
      </c>
      <c r="K695">
        <v>11</v>
      </c>
      <c r="L695">
        <v>5</v>
      </c>
      <c r="M695" t="str">
        <f>VLOOKUP(Sales_Data!F695,Product_Master!$A$2:$D$11,2)</f>
        <v>Headset</v>
      </c>
      <c r="N695" t="str">
        <f>VLOOKUP(F695,Product_Master!$A$2:$C$11,3)</f>
        <v>Accessories</v>
      </c>
      <c r="O695">
        <f>VLOOKUP(F695,Product_Master!$A$2:$D$11,4,FALSE)</f>
        <v>1500</v>
      </c>
      <c r="P695">
        <f t="shared" si="100"/>
        <v>20000</v>
      </c>
      <c r="Q695">
        <f t="shared" si="101"/>
        <v>0</v>
      </c>
      <c r="R695">
        <f t="shared" si="102"/>
        <v>20000</v>
      </c>
      <c r="S695">
        <f t="shared" si="103"/>
        <v>5000</v>
      </c>
      <c r="T695" t="str">
        <f>_xlfn.CONCAT(Sales_Data!C695,"-",Sales_Data!E695,"-",Sales_Data!A695)</f>
        <v>East-C1014-1694</v>
      </c>
      <c r="U695" t="str">
        <f t="shared" si="104"/>
        <v>Regular</v>
      </c>
      <c r="V695" t="str" cm="1">
        <f t="array" ref="V695">_xlfn.IFS(R695&gt;=100000,"Excellent",R695&gt;=50000,"Good",R695&gt;=20000,"Average",TRUE,"Poor")</f>
        <v>Average</v>
      </c>
      <c r="W695">
        <f t="shared" si="105"/>
        <v>1</v>
      </c>
      <c r="X695" t="str">
        <f t="shared" si="106"/>
        <v>March</v>
      </c>
      <c r="Y695">
        <f>HLOOKUP("Q"&amp;W695,Bonus_HLookup!$A$1:$E$2,2,FALSE)</f>
        <v>0.02</v>
      </c>
      <c r="Z695">
        <f t="shared" si="107"/>
        <v>42371.45</v>
      </c>
      <c r="AA695" s="1">
        <f t="shared" si="108"/>
        <v>1675.0145310933679</v>
      </c>
      <c r="AB695">
        <f t="shared" si="109"/>
        <v>453</v>
      </c>
    </row>
    <row r="696" spans="1:28" x14ac:dyDescent="0.3">
      <c r="A696">
        <v>1695</v>
      </c>
      <c r="B696" t="s">
        <v>394</v>
      </c>
      <c r="C696" t="s">
        <v>13</v>
      </c>
      <c r="D696" t="s">
        <v>14</v>
      </c>
      <c r="E696" t="s">
        <v>183</v>
      </c>
      <c r="F696" t="s">
        <v>52</v>
      </c>
      <c r="G696">
        <v>5</v>
      </c>
      <c r="H696">
        <v>500</v>
      </c>
      <c r="I696">
        <v>2</v>
      </c>
      <c r="J696">
        <v>149124</v>
      </c>
      <c r="K696">
        <v>10</v>
      </c>
      <c r="L696">
        <v>2</v>
      </c>
      <c r="M696" t="str">
        <f>VLOOKUP(Sales_Data!F696,Product_Master!$A$2:$D$11,2)</f>
        <v>Mouse</v>
      </c>
      <c r="N696" t="str">
        <f>VLOOKUP(F696,Product_Master!$A$2:$C$11,3)</f>
        <v>Accessories</v>
      </c>
      <c r="O696">
        <f>VLOOKUP(F696,Product_Master!$A$2:$D$11,4,FALSE)</f>
        <v>350</v>
      </c>
      <c r="P696">
        <f t="shared" si="100"/>
        <v>2500</v>
      </c>
      <c r="Q696">
        <f t="shared" si="101"/>
        <v>50</v>
      </c>
      <c r="R696">
        <f t="shared" si="102"/>
        <v>2450</v>
      </c>
      <c r="S696">
        <f t="shared" si="103"/>
        <v>700</v>
      </c>
      <c r="T696" t="str">
        <f>_xlfn.CONCAT(Sales_Data!C696,"-",Sales_Data!E696,"-",Sales_Data!A696)</f>
        <v>West-C1008-1695</v>
      </c>
      <c r="U696" t="str">
        <f t="shared" si="104"/>
        <v>Regular</v>
      </c>
      <c r="V696" t="str" cm="1">
        <f t="array" ref="V696">_xlfn.IFS(R696&gt;=100000,"Excellent",R696&gt;=50000,"Good",R696&gt;=20000,"Average",TRUE,"Poor")</f>
        <v>Poor</v>
      </c>
      <c r="W696">
        <f t="shared" si="105"/>
        <v>2</v>
      </c>
      <c r="X696" t="str">
        <f t="shared" si="106"/>
        <v>April</v>
      </c>
      <c r="Y696">
        <f>HLOOKUP("Q"&amp;W696,Bonus_HLookup!$A$1:$E$2,2,FALSE)</f>
        <v>0.04</v>
      </c>
      <c r="Z696">
        <f t="shared" si="107"/>
        <v>29824.799999999999</v>
      </c>
      <c r="AA696" s="1">
        <f t="shared" si="108"/>
        <v>6881.3159951558109</v>
      </c>
      <c r="AB696">
        <f t="shared" si="109"/>
        <v>908</v>
      </c>
    </row>
    <row r="697" spans="1:28" x14ac:dyDescent="0.3">
      <c r="A697">
        <v>1696</v>
      </c>
      <c r="B697" t="s">
        <v>204</v>
      </c>
      <c r="C697" t="s">
        <v>30</v>
      </c>
      <c r="D697" t="s">
        <v>33</v>
      </c>
      <c r="E697" t="s">
        <v>99</v>
      </c>
      <c r="F697" t="s">
        <v>74</v>
      </c>
      <c r="G697">
        <v>9</v>
      </c>
      <c r="H697">
        <v>35000</v>
      </c>
      <c r="I697">
        <v>2</v>
      </c>
      <c r="J697">
        <v>215925</v>
      </c>
      <c r="K697">
        <v>12</v>
      </c>
      <c r="L697">
        <v>1</v>
      </c>
      <c r="M697" t="str">
        <f>VLOOKUP(Sales_Data!F697,Product_Master!$A$2:$D$11,2)</f>
        <v>Tablet</v>
      </c>
      <c r="N697" t="str">
        <f>VLOOKUP(F697,Product_Master!$A$2:$C$11,3)</f>
        <v>Electronics</v>
      </c>
      <c r="O697">
        <f>VLOOKUP(F697,Product_Master!$A$2:$D$11,4,FALSE)</f>
        <v>29000</v>
      </c>
      <c r="P697">
        <f t="shared" si="100"/>
        <v>315000</v>
      </c>
      <c r="Q697">
        <f t="shared" si="101"/>
        <v>6300</v>
      </c>
      <c r="R697">
        <f t="shared" si="102"/>
        <v>308700</v>
      </c>
      <c r="S697">
        <f t="shared" si="103"/>
        <v>47700</v>
      </c>
      <c r="T697" t="str">
        <f>_xlfn.CONCAT(Sales_Data!C697,"-",Sales_Data!E697,"-",Sales_Data!A697)</f>
        <v>South-C1050-1696</v>
      </c>
      <c r="U697" t="str">
        <f t="shared" si="104"/>
        <v>High Value</v>
      </c>
      <c r="V697" t="str" cm="1">
        <f t="array" ref="V697">_xlfn.IFS(R697&gt;=100000,"Excellent",R697&gt;=50000,"Good",R697&gt;=20000,"Average",TRUE,"Poor")</f>
        <v>Excellent</v>
      </c>
      <c r="W697">
        <f t="shared" si="105"/>
        <v>4</v>
      </c>
      <c r="X697" t="str">
        <f t="shared" si="106"/>
        <v>November</v>
      </c>
      <c r="Y697">
        <f>HLOOKUP("Q"&amp;W697,Bonus_HLookup!$A$1:$E$2,2,FALSE)</f>
        <v>0.08</v>
      </c>
      <c r="Z697">
        <f t="shared" si="107"/>
        <v>25911</v>
      </c>
      <c r="AA697" s="1">
        <f t="shared" si="108"/>
        <v>19184.67469537093</v>
      </c>
      <c r="AB697">
        <f t="shared" si="109"/>
        <v>50</v>
      </c>
    </row>
    <row r="698" spans="1:28" x14ac:dyDescent="0.3">
      <c r="A698">
        <v>1697</v>
      </c>
      <c r="B698" t="s">
        <v>236</v>
      </c>
      <c r="C698" t="s">
        <v>18</v>
      </c>
      <c r="D698" t="s">
        <v>23</v>
      </c>
      <c r="E698" t="s">
        <v>68</v>
      </c>
      <c r="F698" t="s">
        <v>39</v>
      </c>
      <c r="G698">
        <v>2</v>
      </c>
      <c r="H698">
        <v>7000</v>
      </c>
      <c r="I698">
        <v>0</v>
      </c>
      <c r="J698">
        <v>312160</v>
      </c>
      <c r="K698">
        <v>7</v>
      </c>
      <c r="L698">
        <v>5</v>
      </c>
      <c r="M698" t="str">
        <f>VLOOKUP(Sales_Data!F698,Product_Master!$A$2:$D$11,2)</f>
        <v>Router</v>
      </c>
      <c r="N698" t="str">
        <f>VLOOKUP(F698,Product_Master!$A$2:$C$11,3)</f>
        <v>Electronics</v>
      </c>
      <c r="O698">
        <f>VLOOKUP(F698,Product_Master!$A$2:$D$11,4,FALSE)</f>
        <v>5000</v>
      </c>
      <c r="P698">
        <f t="shared" si="100"/>
        <v>14000</v>
      </c>
      <c r="Q698">
        <f t="shared" si="101"/>
        <v>0</v>
      </c>
      <c r="R698">
        <f t="shared" si="102"/>
        <v>14000</v>
      </c>
      <c r="S698">
        <f t="shared" si="103"/>
        <v>4000</v>
      </c>
      <c r="T698" t="str">
        <f>_xlfn.CONCAT(Sales_Data!C698,"-",Sales_Data!E698,"-",Sales_Data!A698)</f>
        <v>North-C1043-1697</v>
      </c>
      <c r="U698" t="str">
        <f t="shared" si="104"/>
        <v>Regular</v>
      </c>
      <c r="V698" t="str" cm="1">
        <f t="array" ref="V698">_xlfn.IFS(R698&gt;=100000,"Excellent",R698&gt;=50000,"Good",R698&gt;=20000,"Average",TRUE,"Poor")</f>
        <v>Poor</v>
      </c>
      <c r="W698">
        <f t="shared" si="105"/>
        <v>2</v>
      </c>
      <c r="X698" t="str">
        <f t="shared" si="106"/>
        <v>April</v>
      </c>
      <c r="Y698">
        <f>HLOOKUP("Q"&amp;W698,Bonus_HLookup!$A$1:$E$2,2,FALSE)</f>
        <v>0.04</v>
      </c>
      <c r="Z698">
        <f t="shared" si="107"/>
        <v>109256</v>
      </c>
      <c r="AA698" s="1">
        <f t="shared" si="108"/>
        <v>6181.142136355511</v>
      </c>
      <c r="AB698">
        <f t="shared" si="109"/>
        <v>539</v>
      </c>
    </row>
    <row r="699" spans="1:28" x14ac:dyDescent="0.3">
      <c r="A699">
        <v>1698</v>
      </c>
      <c r="B699" t="s">
        <v>321</v>
      </c>
      <c r="C699" t="s">
        <v>30</v>
      </c>
      <c r="D699" t="s">
        <v>23</v>
      </c>
      <c r="E699" t="s">
        <v>160</v>
      </c>
      <c r="F699" t="s">
        <v>42</v>
      </c>
      <c r="G699">
        <v>9</v>
      </c>
      <c r="H699">
        <v>8000</v>
      </c>
      <c r="I699">
        <v>0</v>
      </c>
      <c r="J699">
        <v>325993</v>
      </c>
      <c r="K699">
        <v>8</v>
      </c>
      <c r="L699">
        <v>3</v>
      </c>
      <c r="M699" t="str">
        <f>VLOOKUP(Sales_Data!F699,Product_Master!$A$2:$D$11,2)</f>
        <v>Printer</v>
      </c>
      <c r="N699" t="str">
        <f>VLOOKUP(F699,Product_Master!$A$2:$C$11,3)</f>
        <v>Electronics</v>
      </c>
      <c r="O699">
        <f>VLOOKUP(F699,Product_Master!$A$2:$D$11,4,FALSE)</f>
        <v>6500</v>
      </c>
      <c r="P699">
        <f t="shared" si="100"/>
        <v>72000</v>
      </c>
      <c r="Q699">
        <f t="shared" si="101"/>
        <v>0</v>
      </c>
      <c r="R699">
        <f t="shared" si="102"/>
        <v>72000</v>
      </c>
      <c r="S699">
        <f t="shared" si="103"/>
        <v>13500</v>
      </c>
      <c r="T699" t="str">
        <f>_xlfn.CONCAT(Sales_Data!C699,"-",Sales_Data!E699,"-",Sales_Data!A699)</f>
        <v>South-C1040-1698</v>
      </c>
      <c r="U699" t="str">
        <f t="shared" si="104"/>
        <v>High Value</v>
      </c>
      <c r="V699" t="str" cm="1">
        <f t="array" ref="V699">_xlfn.IFS(R699&gt;=100000,"Excellent",R699&gt;=50000,"Good",R699&gt;=20000,"Average",TRUE,"Poor")</f>
        <v>Good</v>
      </c>
      <c r="W699">
        <f t="shared" si="105"/>
        <v>2</v>
      </c>
      <c r="X699" t="str">
        <f t="shared" si="106"/>
        <v>May</v>
      </c>
      <c r="Y699">
        <f>HLOOKUP("Q"&amp;W699,Bonus_HLookup!$A$1:$E$2,2,FALSE)</f>
        <v>0.04</v>
      </c>
      <c r="Z699">
        <f t="shared" si="107"/>
        <v>78238.320000000007</v>
      </c>
      <c r="AA699" s="1">
        <f t="shared" si="108"/>
        <v>10215.435785868227</v>
      </c>
      <c r="AB699">
        <f t="shared" si="109"/>
        <v>210</v>
      </c>
    </row>
    <row r="700" spans="1:28" x14ac:dyDescent="0.3">
      <c r="A700">
        <v>1699</v>
      </c>
      <c r="B700" t="s">
        <v>395</v>
      </c>
      <c r="C700" t="s">
        <v>30</v>
      </c>
      <c r="D700" t="s">
        <v>19</v>
      </c>
      <c r="E700" t="s">
        <v>102</v>
      </c>
      <c r="F700" t="s">
        <v>25</v>
      </c>
      <c r="G700">
        <v>3</v>
      </c>
      <c r="H700">
        <v>1500</v>
      </c>
      <c r="I700">
        <v>12</v>
      </c>
      <c r="J700">
        <v>283862</v>
      </c>
      <c r="K700">
        <v>9</v>
      </c>
      <c r="L700">
        <v>2</v>
      </c>
      <c r="M700" t="str">
        <f>VLOOKUP(Sales_Data!F700,Product_Master!$A$2:$D$11,2)</f>
        <v>Keyboard</v>
      </c>
      <c r="N700" t="str">
        <f>VLOOKUP(F700,Product_Master!$A$2:$C$11,3)</f>
        <v>Accessories</v>
      </c>
      <c r="O700">
        <f>VLOOKUP(F700,Product_Master!$A$2:$D$11,4,FALSE)</f>
        <v>1200</v>
      </c>
      <c r="P700">
        <f t="shared" si="100"/>
        <v>4500</v>
      </c>
      <c r="Q700">
        <f t="shared" si="101"/>
        <v>540</v>
      </c>
      <c r="R700">
        <f t="shared" si="102"/>
        <v>3960</v>
      </c>
      <c r="S700">
        <f t="shared" si="103"/>
        <v>360</v>
      </c>
      <c r="T700" t="str">
        <f>_xlfn.CONCAT(Sales_Data!C700,"-",Sales_Data!E700,"-",Sales_Data!A700)</f>
        <v>South-C1049-1699</v>
      </c>
      <c r="U700" t="str">
        <f t="shared" si="104"/>
        <v>Regular</v>
      </c>
      <c r="V700" t="str" cm="1">
        <f t="array" ref="V700">_xlfn.IFS(R700&gt;=100000,"Excellent",R700&gt;=50000,"Good",R700&gt;=20000,"Average",TRUE,"Poor")</f>
        <v>Poor</v>
      </c>
      <c r="W700">
        <f t="shared" si="105"/>
        <v>3</v>
      </c>
      <c r="X700" t="str">
        <f t="shared" si="106"/>
        <v>August</v>
      </c>
      <c r="Y700">
        <f>HLOOKUP("Q"&amp;W700,Bonus_HLookup!$A$1:$E$2,2,FALSE)</f>
        <v>0.06</v>
      </c>
      <c r="Z700">
        <f t="shared" si="107"/>
        <v>51095.16</v>
      </c>
      <c r="AA700" s="1">
        <f t="shared" si="108"/>
        <v>12968.162312850633</v>
      </c>
      <c r="AB700">
        <f t="shared" si="109"/>
        <v>840</v>
      </c>
    </row>
    <row r="701" spans="1:28" x14ac:dyDescent="0.3">
      <c r="A701">
        <v>1700</v>
      </c>
      <c r="B701" t="s">
        <v>244</v>
      </c>
      <c r="C701" t="s">
        <v>30</v>
      </c>
      <c r="D701" t="s">
        <v>59</v>
      </c>
      <c r="E701" t="s">
        <v>115</v>
      </c>
      <c r="F701" t="s">
        <v>16</v>
      </c>
      <c r="G701">
        <v>7</v>
      </c>
      <c r="H701">
        <v>2500</v>
      </c>
      <c r="I701">
        <v>0</v>
      </c>
      <c r="J701">
        <v>356138</v>
      </c>
      <c r="K701">
        <v>11</v>
      </c>
      <c r="L701">
        <v>1</v>
      </c>
      <c r="M701" t="str">
        <f>VLOOKUP(Sales_Data!F701,Product_Master!$A$2:$D$11,2)</f>
        <v>Speaker</v>
      </c>
      <c r="N701" t="str">
        <f>VLOOKUP(F701,Product_Master!$A$2:$C$11,3)</f>
        <v>Accessories</v>
      </c>
      <c r="O701">
        <f>VLOOKUP(F701,Product_Master!$A$2:$D$11,4,FALSE)</f>
        <v>1800</v>
      </c>
      <c r="P701">
        <f t="shared" si="100"/>
        <v>17500</v>
      </c>
      <c r="Q701">
        <f t="shared" si="101"/>
        <v>0</v>
      </c>
      <c r="R701">
        <f t="shared" si="102"/>
        <v>17500</v>
      </c>
      <c r="S701">
        <f t="shared" si="103"/>
        <v>4900</v>
      </c>
      <c r="T701" t="str">
        <f>_xlfn.CONCAT(Sales_Data!C701,"-",Sales_Data!E701,"-",Sales_Data!A701)</f>
        <v>South-C1026-1700</v>
      </c>
      <c r="U701" t="str">
        <f t="shared" si="104"/>
        <v>Regular</v>
      </c>
      <c r="V701" t="str" cm="1">
        <f t="array" ref="V701">_xlfn.IFS(R701&gt;=100000,"Excellent",R701&gt;=50000,"Good",R701&gt;=20000,"Average",TRUE,"Poor")</f>
        <v>Poor</v>
      </c>
      <c r="W701">
        <f t="shared" si="105"/>
        <v>1</v>
      </c>
      <c r="X701" t="str">
        <f t="shared" si="106"/>
        <v>March</v>
      </c>
      <c r="Y701">
        <f>HLOOKUP("Q"&amp;W701,Bonus_HLookup!$A$1:$E$2,2,FALSE)</f>
        <v>0.02</v>
      </c>
      <c r="Z701">
        <f t="shared" si="107"/>
        <v>39175.18</v>
      </c>
      <c r="AA701" s="1">
        <f t="shared" si="108"/>
        <v>31476.06710256702</v>
      </c>
      <c r="AB701">
        <f t="shared" si="109"/>
        <v>494</v>
      </c>
    </row>
    <row r="702" spans="1:28" x14ac:dyDescent="0.3">
      <c r="A702">
        <v>1701</v>
      </c>
      <c r="B702" t="s">
        <v>208</v>
      </c>
      <c r="C702" t="s">
        <v>62</v>
      </c>
      <c r="D702" t="s">
        <v>14</v>
      </c>
      <c r="E702" t="s">
        <v>31</v>
      </c>
      <c r="F702" t="s">
        <v>16</v>
      </c>
      <c r="G702">
        <v>6</v>
      </c>
      <c r="H702">
        <v>2500</v>
      </c>
      <c r="I702">
        <v>10</v>
      </c>
      <c r="J702">
        <v>141728</v>
      </c>
      <c r="K702">
        <v>9</v>
      </c>
      <c r="L702">
        <v>3</v>
      </c>
      <c r="M702" t="str">
        <f>VLOOKUP(Sales_Data!F702,Product_Master!$A$2:$D$11,2)</f>
        <v>Speaker</v>
      </c>
      <c r="N702" t="str">
        <f>VLOOKUP(F702,Product_Master!$A$2:$C$11,3)</f>
        <v>Accessories</v>
      </c>
      <c r="O702">
        <f>VLOOKUP(F702,Product_Master!$A$2:$D$11,4,FALSE)</f>
        <v>1800</v>
      </c>
      <c r="P702">
        <f t="shared" si="100"/>
        <v>15000</v>
      </c>
      <c r="Q702">
        <f t="shared" si="101"/>
        <v>1500</v>
      </c>
      <c r="R702">
        <f t="shared" si="102"/>
        <v>13500</v>
      </c>
      <c r="S702">
        <f t="shared" si="103"/>
        <v>2700</v>
      </c>
      <c r="T702" t="str">
        <f>_xlfn.CONCAT(Sales_Data!C702,"-",Sales_Data!E702,"-",Sales_Data!A702)</f>
        <v>East-C1025-1701</v>
      </c>
      <c r="U702" t="str">
        <f t="shared" si="104"/>
        <v>Regular</v>
      </c>
      <c r="V702" t="str" cm="1">
        <f t="array" ref="V702">_xlfn.IFS(R702&gt;=100000,"Excellent",R702&gt;=50000,"Good",R702&gt;=20000,"Average",TRUE,"Poor")</f>
        <v>Poor</v>
      </c>
      <c r="W702">
        <f t="shared" si="105"/>
        <v>2</v>
      </c>
      <c r="X702" t="str">
        <f t="shared" si="106"/>
        <v>June</v>
      </c>
      <c r="Y702">
        <f>HLOOKUP("Q"&amp;W702,Bonus_HLookup!$A$1:$E$2,2,FALSE)</f>
        <v>0.04</v>
      </c>
      <c r="Z702">
        <f t="shared" si="107"/>
        <v>38266.559999999998</v>
      </c>
      <c r="AA702" s="1">
        <f t="shared" si="108"/>
        <v>4506.9125104280738</v>
      </c>
      <c r="AB702">
        <f t="shared" si="109"/>
        <v>553</v>
      </c>
    </row>
    <row r="703" spans="1:28" x14ac:dyDescent="0.3">
      <c r="A703">
        <v>1702</v>
      </c>
      <c r="B703" t="s">
        <v>227</v>
      </c>
      <c r="C703" t="s">
        <v>30</v>
      </c>
      <c r="D703" t="s">
        <v>91</v>
      </c>
      <c r="E703" t="s">
        <v>41</v>
      </c>
      <c r="F703" t="s">
        <v>74</v>
      </c>
      <c r="G703">
        <v>8</v>
      </c>
      <c r="H703">
        <v>35000</v>
      </c>
      <c r="I703">
        <v>15</v>
      </c>
      <c r="J703">
        <v>238105</v>
      </c>
      <c r="K703">
        <v>10</v>
      </c>
      <c r="L703">
        <v>5</v>
      </c>
      <c r="M703" t="str">
        <f>VLOOKUP(Sales_Data!F703,Product_Master!$A$2:$D$11,2)</f>
        <v>Tablet</v>
      </c>
      <c r="N703" t="str">
        <f>VLOOKUP(F703,Product_Master!$A$2:$C$11,3)</f>
        <v>Electronics</v>
      </c>
      <c r="O703">
        <f>VLOOKUP(F703,Product_Master!$A$2:$D$11,4,FALSE)</f>
        <v>29000</v>
      </c>
      <c r="P703">
        <f t="shared" si="100"/>
        <v>280000</v>
      </c>
      <c r="Q703">
        <f t="shared" si="101"/>
        <v>42000</v>
      </c>
      <c r="R703">
        <f t="shared" si="102"/>
        <v>238000</v>
      </c>
      <c r="S703">
        <f t="shared" si="103"/>
        <v>6000</v>
      </c>
      <c r="T703" t="str">
        <f>_xlfn.CONCAT(Sales_Data!C703,"-",Sales_Data!E703,"-",Sales_Data!A703)</f>
        <v>South-C1023-1702</v>
      </c>
      <c r="U703" t="str">
        <f t="shared" si="104"/>
        <v>High Value</v>
      </c>
      <c r="V703" t="str" cm="1">
        <f t="array" ref="V703">_xlfn.IFS(R703&gt;=100000,"Excellent",R703&gt;=50000,"Good",R703&gt;=20000,"Average",TRUE,"Poor")</f>
        <v>Excellent</v>
      </c>
      <c r="W703">
        <f t="shared" si="105"/>
        <v>2</v>
      </c>
      <c r="X703" t="str">
        <f t="shared" si="106"/>
        <v>May</v>
      </c>
      <c r="Y703">
        <f>HLOOKUP("Q"&amp;W703,Bonus_HLookup!$A$1:$E$2,2,FALSE)</f>
        <v>0.04</v>
      </c>
      <c r="Z703">
        <f t="shared" si="107"/>
        <v>119052.5</v>
      </c>
      <c r="AA703" s="1">
        <f t="shared" si="108"/>
        <v>5059.0275809765326</v>
      </c>
      <c r="AB703">
        <f t="shared" si="109"/>
        <v>89</v>
      </c>
    </row>
    <row r="704" spans="1:28" x14ac:dyDescent="0.3">
      <c r="A704">
        <v>1703</v>
      </c>
      <c r="B704" t="s">
        <v>389</v>
      </c>
      <c r="C704" t="s">
        <v>30</v>
      </c>
      <c r="D704" t="s">
        <v>46</v>
      </c>
      <c r="E704" t="s">
        <v>94</v>
      </c>
      <c r="F704" t="s">
        <v>52</v>
      </c>
      <c r="G704">
        <v>4</v>
      </c>
      <c r="H704">
        <v>500</v>
      </c>
      <c r="I704">
        <v>0</v>
      </c>
      <c r="J704">
        <v>159353</v>
      </c>
      <c r="K704">
        <v>7</v>
      </c>
      <c r="L704">
        <v>5</v>
      </c>
      <c r="M704" t="str">
        <f>VLOOKUP(Sales_Data!F704,Product_Master!$A$2:$D$11,2)</f>
        <v>Mouse</v>
      </c>
      <c r="N704" t="str">
        <f>VLOOKUP(F704,Product_Master!$A$2:$C$11,3)</f>
        <v>Accessories</v>
      </c>
      <c r="O704">
        <f>VLOOKUP(F704,Product_Master!$A$2:$D$11,4,FALSE)</f>
        <v>350</v>
      </c>
      <c r="P704">
        <f t="shared" si="100"/>
        <v>2000</v>
      </c>
      <c r="Q704">
        <f t="shared" si="101"/>
        <v>0</v>
      </c>
      <c r="R704">
        <f t="shared" si="102"/>
        <v>2000</v>
      </c>
      <c r="S704">
        <f t="shared" si="103"/>
        <v>600</v>
      </c>
      <c r="T704" t="str">
        <f>_xlfn.CONCAT(Sales_Data!C704,"-",Sales_Data!E704,"-",Sales_Data!A704)</f>
        <v>South-C1027-1703</v>
      </c>
      <c r="U704" t="str">
        <f t="shared" si="104"/>
        <v>Regular</v>
      </c>
      <c r="V704" t="str" cm="1">
        <f t="array" ref="V704">_xlfn.IFS(R704&gt;=100000,"Excellent",R704&gt;=50000,"Good",R704&gt;=20000,"Average",TRUE,"Poor")</f>
        <v>Poor</v>
      </c>
      <c r="W704">
        <f t="shared" si="105"/>
        <v>1</v>
      </c>
      <c r="X704" t="str">
        <f t="shared" si="106"/>
        <v>January</v>
      </c>
      <c r="Y704">
        <f>HLOOKUP("Q"&amp;W704,Bonus_HLookup!$A$1:$E$2,2,FALSE)</f>
        <v>0.02</v>
      </c>
      <c r="Z704">
        <f t="shared" si="107"/>
        <v>55773.55</v>
      </c>
      <c r="AA704" s="1">
        <f t="shared" si="108"/>
        <v>3155.3803910003194</v>
      </c>
      <c r="AB704">
        <f t="shared" si="109"/>
        <v>926</v>
      </c>
    </row>
    <row r="705" spans="1:28" x14ac:dyDescent="0.3">
      <c r="A705">
        <v>1704</v>
      </c>
      <c r="B705" t="s">
        <v>110</v>
      </c>
      <c r="C705" t="s">
        <v>62</v>
      </c>
      <c r="D705" t="s">
        <v>19</v>
      </c>
      <c r="E705" t="s">
        <v>57</v>
      </c>
      <c r="F705" t="s">
        <v>36</v>
      </c>
      <c r="G705">
        <v>9</v>
      </c>
      <c r="H705">
        <v>55000</v>
      </c>
      <c r="I705">
        <v>12</v>
      </c>
      <c r="J705">
        <v>431009</v>
      </c>
      <c r="K705">
        <v>10</v>
      </c>
      <c r="L705">
        <v>4</v>
      </c>
      <c r="M705" t="str">
        <f>VLOOKUP(Sales_Data!F705,Product_Master!$A$2:$D$11,2)</f>
        <v>Laptop</v>
      </c>
      <c r="N705" t="str">
        <f>VLOOKUP(F705,Product_Master!$A$2:$C$11,3)</f>
        <v>Electronics</v>
      </c>
      <c r="O705">
        <f>VLOOKUP(F705,Product_Master!$A$2:$D$11,4,FALSE)</f>
        <v>45000</v>
      </c>
      <c r="P705">
        <f t="shared" si="100"/>
        <v>495000</v>
      </c>
      <c r="Q705">
        <f t="shared" si="101"/>
        <v>59400</v>
      </c>
      <c r="R705">
        <f t="shared" si="102"/>
        <v>435600</v>
      </c>
      <c r="S705">
        <f t="shared" si="103"/>
        <v>30600</v>
      </c>
      <c r="T705" t="str">
        <f>_xlfn.CONCAT(Sales_Data!C705,"-",Sales_Data!E705,"-",Sales_Data!A705)</f>
        <v>East-C1012-1704</v>
      </c>
      <c r="U705" t="str">
        <f t="shared" si="104"/>
        <v>High Value</v>
      </c>
      <c r="V705" t="str" cm="1">
        <f t="array" ref="V705">_xlfn.IFS(R705&gt;=100000,"Excellent",R705&gt;=50000,"Good",R705&gt;=20000,"Average",TRUE,"Poor")</f>
        <v>Excellent</v>
      </c>
      <c r="W705">
        <f t="shared" si="105"/>
        <v>2</v>
      </c>
      <c r="X705" t="str">
        <f t="shared" si="106"/>
        <v>June</v>
      </c>
      <c r="Y705">
        <f>HLOOKUP("Q"&amp;W705,Bonus_HLookup!$A$1:$E$2,2,FALSE)</f>
        <v>0.04</v>
      </c>
      <c r="Z705">
        <f t="shared" si="107"/>
        <v>172403.6</v>
      </c>
      <c r="AA705" s="1">
        <f t="shared" si="108"/>
        <v>10931.50172362695</v>
      </c>
      <c r="AB705">
        <f t="shared" si="109"/>
        <v>18</v>
      </c>
    </row>
    <row r="706" spans="1:28" x14ac:dyDescent="0.3">
      <c r="A706">
        <v>1705</v>
      </c>
      <c r="B706" t="s">
        <v>325</v>
      </c>
      <c r="C706" t="s">
        <v>30</v>
      </c>
      <c r="D706" t="s">
        <v>33</v>
      </c>
      <c r="E706" t="s">
        <v>82</v>
      </c>
      <c r="F706" t="s">
        <v>52</v>
      </c>
      <c r="G706">
        <v>3</v>
      </c>
      <c r="H706">
        <v>500</v>
      </c>
      <c r="I706">
        <v>12</v>
      </c>
      <c r="J706">
        <v>407611</v>
      </c>
      <c r="K706">
        <v>7</v>
      </c>
      <c r="L706">
        <v>3</v>
      </c>
      <c r="M706" t="str">
        <f>VLOOKUP(Sales_Data!F706,Product_Master!$A$2:$D$11,2)</f>
        <v>Mouse</v>
      </c>
      <c r="N706" t="str">
        <f>VLOOKUP(F706,Product_Master!$A$2:$C$11,3)</f>
        <v>Accessories</v>
      </c>
      <c r="O706">
        <f>VLOOKUP(F706,Product_Master!$A$2:$D$11,4,FALSE)</f>
        <v>350</v>
      </c>
      <c r="P706">
        <f t="shared" si="100"/>
        <v>1500</v>
      </c>
      <c r="Q706">
        <f t="shared" si="101"/>
        <v>180</v>
      </c>
      <c r="R706">
        <f t="shared" si="102"/>
        <v>1320</v>
      </c>
      <c r="S706">
        <f t="shared" si="103"/>
        <v>270</v>
      </c>
      <c r="T706" t="str">
        <f>_xlfn.CONCAT(Sales_Data!C706,"-",Sales_Data!E706,"-",Sales_Data!A706)</f>
        <v>South-C1045-1705</v>
      </c>
      <c r="U706" t="str">
        <f t="shared" si="104"/>
        <v>Regular</v>
      </c>
      <c r="V706" t="str" cm="1">
        <f t="array" ref="V706">_xlfn.IFS(R706&gt;=100000,"Excellent",R706&gt;=50000,"Good",R706&gt;=20000,"Average",TRUE,"Poor")</f>
        <v>Poor</v>
      </c>
      <c r="W706">
        <f t="shared" si="105"/>
        <v>1</v>
      </c>
      <c r="X706" t="str">
        <f t="shared" si="106"/>
        <v>January</v>
      </c>
      <c r="Y706">
        <f>HLOOKUP("Q"&amp;W706,Bonus_HLookup!$A$1:$E$2,2,FALSE)</f>
        <v>0.02</v>
      </c>
      <c r="Z706">
        <f t="shared" si="107"/>
        <v>85598.31</v>
      </c>
      <c r="AA706" s="1">
        <f t="shared" si="108"/>
        <v>12585.844330391121</v>
      </c>
      <c r="AB706">
        <f t="shared" si="109"/>
        <v>960</v>
      </c>
    </row>
    <row r="707" spans="1:28" x14ac:dyDescent="0.3">
      <c r="A707">
        <v>1706</v>
      </c>
      <c r="B707" t="s">
        <v>136</v>
      </c>
      <c r="C707" t="s">
        <v>13</v>
      </c>
      <c r="D707" t="s">
        <v>33</v>
      </c>
      <c r="E707" t="s">
        <v>196</v>
      </c>
      <c r="F707" t="s">
        <v>28</v>
      </c>
      <c r="G707">
        <v>7</v>
      </c>
      <c r="H707">
        <v>950</v>
      </c>
      <c r="I707">
        <v>12</v>
      </c>
      <c r="J707">
        <v>450068</v>
      </c>
      <c r="K707">
        <v>8</v>
      </c>
      <c r="L707">
        <v>3</v>
      </c>
      <c r="M707" t="str">
        <f>VLOOKUP(Sales_Data!F707,Product_Master!$A$2:$D$11,2)</f>
        <v>Webcam</v>
      </c>
      <c r="N707" t="str">
        <f>VLOOKUP(F707,Product_Master!$A$2:$C$11,3)</f>
        <v>Accessories</v>
      </c>
      <c r="O707">
        <f>VLOOKUP(F707,Product_Master!$A$2:$D$11,4,FALSE)</f>
        <v>700</v>
      </c>
      <c r="P707">
        <f t="shared" ref="P707:P770" si="110">H707*G707</f>
        <v>6650</v>
      </c>
      <c r="Q707">
        <f t="shared" ref="Q707:Q770" si="111">P707*(I707/100)</f>
        <v>798</v>
      </c>
      <c r="R707">
        <f t="shared" ref="R707:R770" si="112">P707-Q707</f>
        <v>5852</v>
      </c>
      <c r="S707">
        <f t="shared" ref="S707:S770" si="113">R707-(G707*O707)</f>
        <v>952</v>
      </c>
      <c r="T707" t="str">
        <f>_xlfn.CONCAT(Sales_Data!C707,"-",Sales_Data!E707,"-",Sales_Data!A707)</f>
        <v>West-C1032-1706</v>
      </c>
      <c r="U707" t="str">
        <f t="shared" ref="U707:U770" si="114">IF(R707&gt;=50000,"High Value","Regular")</f>
        <v>Regular</v>
      </c>
      <c r="V707" t="str" cm="1">
        <f t="array" ref="V707">_xlfn.IFS(R707&gt;=100000,"Excellent",R707&gt;=50000,"Good",R707&gt;=20000,"Average",TRUE,"Poor")</f>
        <v>Poor</v>
      </c>
      <c r="W707">
        <f t="shared" ref="W707:W770" si="115">ROUNDUP(MONTH(B707)/3,0)</f>
        <v>2</v>
      </c>
      <c r="X707" t="str">
        <f t="shared" ref="X707:X770" si="116">TEXT(B707,"mmmm")</f>
        <v>May</v>
      </c>
      <c r="Y707">
        <f>HLOOKUP("Q"&amp;W707,Bonus_HLookup!$A$1:$E$2,2,FALSE)</f>
        <v>0.04</v>
      </c>
      <c r="Z707">
        <f t="shared" ref="Z707:Z770" si="117">(J707*K707*L707)/100</f>
        <v>108016.32000000001</v>
      </c>
      <c r="AA707" s="1">
        <f t="shared" ref="AA707:AA770" si="118">PMT(K707/1200,L707*12,-J707)</f>
        <v>14103.495330495261</v>
      </c>
      <c r="AB707">
        <f t="shared" ref="AB707:AB770" si="119">RANK(R707,$R$2:$R$1001)</f>
        <v>765</v>
      </c>
    </row>
    <row r="708" spans="1:28" x14ac:dyDescent="0.3">
      <c r="A708">
        <v>1707</v>
      </c>
      <c r="B708" t="s">
        <v>253</v>
      </c>
      <c r="C708" t="s">
        <v>13</v>
      </c>
      <c r="D708" t="s">
        <v>33</v>
      </c>
      <c r="E708" t="s">
        <v>47</v>
      </c>
      <c r="F708" t="s">
        <v>21</v>
      </c>
      <c r="G708">
        <v>7</v>
      </c>
      <c r="H708">
        <v>12000</v>
      </c>
      <c r="I708">
        <v>12</v>
      </c>
      <c r="J708">
        <v>376787</v>
      </c>
      <c r="K708">
        <v>7</v>
      </c>
      <c r="L708">
        <v>2</v>
      </c>
      <c r="M708" t="str">
        <f>VLOOKUP(Sales_Data!F708,Product_Master!$A$2:$D$11,2)</f>
        <v>Monitor</v>
      </c>
      <c r="N708" t="str">
        <f>VLOOKUP(F708,Product_Master!$A$2:$C$11,3)</f>
        <v>Electronics</v>
      </c>
      <c r="O708">
        <f>VLOOKUP(F708,Product_Master!$A$2:$D$11,4,FALSE)</f>
        <v>9000</v>
      </c>
      <c r="P708">
        <f t="shared" si="110"/>
        <v>84000</v>
      </c>
      <c r="Q708">
        <f t="shared" si="111"/>
        <v>10080</v>
      </c>
      <c r="R708">
        <f t="shared" si="112"/>
        <v>73920</v>
      </c>
      <c r="S708">
        <f t="shared" si="113"/>
        <v>10920</v>
      </c>
      <c r="T708" t="str">
        <f>_xlfn.CONCAT(Sales_Data!C708,"-",Sales_Data!E708,"-",Sales_Data!A708)</f>
        <v>West-C1030-1707</v>
      </c>
      <c r="U708" t="str">
        <f t="shared" si="114"/>
        <v>High Value</v>
      </c>
      <c r="V708" t="str" cm="1">
        <f t="array" ref="V708">_xlfn.IFS(R708&gt;=100000,"Excellent",R708&gt;=50000,"Good",R708&gt;=20000,"Average",TRUE,"Poor")</f>
        <v>Good</v>
      </c>
      <c r="W708">
        <f t="shared" si="115"/>
        <v>3</v>
      </c>
      <c r="X708" t="str">
        <f t="shared" si="116"/>
        <v>September</v>
      </c>
      <c r="Y708">
        <f>HLOOKUP("Q"&amp;W708,Bonus_HLookup!$A$1:$E$2,2,FALSE)</f>
        <v>0.06</v>
      </c>
      <c r="Z708">
        <f t="shared" si="117"/>
        <v>52750.18</v>
      </c>
      <c r="AA708" s="1">
        <f t="shared" si="118"/>
        <v>16869.725762536851</v>
      </c>
      <c r="AB708">
        <f t="shared" si="119"/>
        <v>202</v>
      </c>
    </row>
    <row r="709" spans="1:28" x14ac:dyDescent="0.3">
      <c r="A709">
        <v>1708</v>
      </c>
      <c r="B709" t="s">
        <v>358</v>
      </c>
      <c r="C709" t="s">
        <v>30</v>
      </c>
      <c r="D709" t="s">
        <v>19</v>
      </c>
      <c r="E709" t="s">
        <v>24</v>
      </c>
      <c r="F709" t="s">
        <v>69</v>
      </c>
      <c r="G709">
        <v>1</v>
      </c>
      <c r="H709">
        <v>2000</v>
      </c>
      <c r="I709">
        <v>0</v>
      </c>
      <c r="J709">
        <v>469831</v>
      </c>
      <c r="K709">
        <v>8</v>
      </c>
      <c r="L709">
        <v>3</v>
      </c>
      <c r="M709" t="str">
        <f>VLOOKUP(Sales_Data!F709,Product_Master!$A$2:$D$11,2)</f>
        <v>Headset</v>
      </c>
      <c r="N709" t="str">
        <f>VLOOKUP(F709,Product_Master!$A$2:$C$11,3)</f>
        <v>Accessories</v>
      </c>
      <c r="O709">
        <f>VLOOKUP(F709,Product_Master!$A$2:$D$11,4,FALSE)</f>
        <v>1500</v>
      </c>
      <c r="P709">
        <f t="shared" si="110"/>
        <v>2000</v>
      </c>
      <c r="Q709">
        <f t="shared" si="111"/>
        <v>0</v>
      </c>
      <c r="R709">
        <f t="shared" si="112"/>
        <v>2000</v>
      </c>
      <c r="S709">
        <f t="shared" si="113"/>
        <v>500</v>
      </c>
      <c r="T709" t="str">
        <f>_xlfn.CONCAT(Sales_Data!C709,"-",Sales_Data!E709,"-",Sales_Data!A709)</f>
        <v>South-C1029-1708</v>
      </c>
      <c r="U709" t="str">
        <f t="shared" si="114"/>
        <v>Regular</v>
      </c>
      <c r="V709" t="str" cm="1">
        <f t="array" ref="V709">_xlfn.IFS(R709&gt;=100000,"Excellent",R709&gt;=50000,"Good",R709&gt;=20000,"Average",TRUE,"Poor")</f>
        <v>Poor</v>
      </c>
      <c r="W709">
        <f t="shared" si="115"/>
        <v>3</v>
      </c>
      <c r="X709" t="str">
        <f t="shared" si="116"/>
        <v>July</v>
      </c>
      <c r="Y709">
        <f>HLOOKUP("Q"&amp;W709,Bonus_HLookup!$A$1:$E$2,2,FALSE)</f>
        <v>0.06</v>
      </c>
      <c r="Z709">
        <f t="shared" si="117"/>
        <v>112759.44</v>
      </c>
      <c r="AA709" s="1">
        <f t="shared" si="118"/>
        <v>14722.795921109519</v>
      </c>
      <c r="AB709">
        <f t="shared" si="119"/>
        <v>926</v>
      </c>
    </row>
    <row r="710" spans="1:28" x14ac:dyDescent="0.3">
      <c r="A710">
        <v>1709</v>
      </c>
      <c r="B710" t="s">
        <v>290</v>
      </c>
      <c r="C710" t="s">
        <v>18</v>
      </c>
      <c r="D710" t="s">
        <v>46</v>
      </c>
      <c r="E710" t="s">
        <v>172</v>
      </c>
      <c r="F710" t="s">
        <v>25</v>
      </c>
      <c r="G710">
        <v>8</v>
      </c>
      <c r="H710">
        <v>1500</v>
      </c>
      <c r="I710">
        <v>0</v>
      </c>
      <c r="J710">
        <v>246442</v>
      </c>
      <c r="K710">
        <v>9</v>
      </c>
      <c r="L710">
        <v>3</v>
      </c>
      <c r="M710" t="str">
        <f>VLOOKUP(Sales_Data!F710,Product_Master!$A$2:$D$11,2)</f>
        <v>Keyboard</v>
      </c>
      <c r="N710" t="str">
        <f>VLOOKUP(F710,Product_Master!$A$2:$C$11,3)</f>
        <v>Accessories</v>
      </c>
      <c r="O710">
        <f>VLOOKUP(F710,Product_Master!$A$2:$D$11,4,FALSE)</f>
        <v>1200</v>
      </c>
      <c r="P710">
        <f t="shared" si="110"/>
        <v>12000</v>
      </c>
      <c r="Q710">
        <f t="shared" si="111"/>
        <v>0</v>
      </c>
      <c r="R710">
        <f t="shared" si="112"/>
        <v>12000</v>
      </c>
      <c r="S710">
        <f t="shared" si="113"/>
        <v>2400</v>
      </c>
      <c r="T710" t="str">
        <f>_xlfn.CONCAT(Sales_Data!C710,"-",Sales_Data!E710,"-",Sales_Data!A710)</f>
        <v>North-C1033-1709</v>
      </c>
      <c r="U710" t="str">
        <f t="shared" si="114"/>
        <v>Regular</v>
      </c>
      <c r="V710" t="str" cm="1">
        <f t="array" ref="V710">_xlfn.IFS(R710&gt;=100000,"Excellent",R710&gt;=50000,"Good",R710&gt;=20000,"Average",TRUE,"Poor")</f>
        <v>Poor</v>
      </c>
      <c r="W710">
        <f t="shared" si="115"/>
        <v>4</v>
      </c>
      <c r="X710" t="str">
        <f t="shared" si="116"/>
        <v>December</v>
      </c>
      <c r="Y710">
        <f>HLOOKUP("Q"&amp;W710,Bonus_HLookup!$A$1:$E$2,2,FALSE)</f>
        <v>0.08</v>
      </c>
      <c r="Z710">
        <f t="shared" si="117"/>
        <v>66539.34</v>
      </c>
      <c r="AA710" s="1">
        <f t="shared" si="118"/>
        <v>7836.7897161811024</v>
      </c>
      <c r="AB710">
        <f t="shared" si="119"/>
        <v>588</v>
      </c>
    </row>
    <row r="711" spans="1:28" x14ac:dyDescent="0.3">
      <c r="A711">
        <v>1710</v>
      </c>
      <c r="B711" t="s">
        <v>243</v>
      </c>
      <c r="C711" t="s">
        <v>30</v>
      </c>
      <c r="D711" t="s">
        <v>59</v>
      </c>
      <c r="E711" t="s">
        <v>172</v>
      </c>
      <c r="F711" t="s">
        <v>39</v>
      </c>
      <c r="G711">
        <v>1</v>
      </c>
      <c r="H711">
        <v>7000</v>
      </c>
      <c r="I711">
        <v>10</v>
      </c>
      <c r="J711">
        <v>56379</v>
      </c>
      <c r="K711">
        <v>12</v>
      </c>
      <c r="L711">
        <v>2</v>
      </c>
      <c r="M711" t="str">
        <f>VLOOKUP(Sales_Data!F711,Product_Master!$A$2:$D$11,2)</f>
        <v>Router</v>
      </c>
      <c r="N711" t="str">
        <f>VLOOKUP(F711,Product_Master!$A$2:$C$11,3)</f>
        <v>Electronics</v>
      </c>
      <c r="O711">
        <f>VLOOKUP(F711,Product_Master!$A$2:$D$11,4,FALSE)</f>
        <v>5000</v>
      </c>
      <c r="P711">
        <f t="shared" si="110"/>
        <v>7000</v>
      </c>
      <c r="Q711">
        <f t="shared" si="111"/>
        <v>700</v>
      </c>
      <c r="R711">
        <f t="shared" si="112"/>
        <v>6300</v>
      </c>
      <c r="S711">
        <f t="shared" si="113"/>
        <v>1300</v>
      </c>
      <c r="T711" t="str">
        <f>_xlfn.CONCAT(Sales_Data!C711,"-",Sales_Data!E711,"-",Sales_Data!A711)</f>
        <v>South-C1033-1710</v>
      </c>
      <c r="U711" t="str">
        <f t="shared" si="114"/>
        <v>Regular</v>
      </c>
      <c r="V711" t="str" cm="1">
        <f t="array" ref="V711">_xlfn.IFS(R711&gt;=100000,"Excellent",R711&gt;=50000,"Good",R711&gt;=20000,"Average",TRUE,"Poor")</f>
        <v>Poor</v>
      </c>
      <c r="W711">
        <f t="shared" si="115"/>
        <v>2</v>
      </c>
      <c r="X711" t="str">
        <f t="shared" si="116"/>
        <v>April</v>
      </c>
      <c r="Y711">
        <f>HLOOKUP("Q"&amp;W711,Bonus_HLookup!$A$1:$E$2,2,FALSE)</f>
        <v>0.04</v>
      </c>
      <c r="Z711">
        <f t="shared" si="117"/>
        <v>13530.96</v>
      </c>
      <c r="AA711" s="1">
        <f t="shared" si="118"/>
        <v>2653.9552904754405</v>
      </c>
      <c r="AB711">
        <f t="shared" si="119"/>
        <v>755</v>
      </c>
    </row>
    <row r="712" spans="1:28" x14ac:dyDescent="0.3">
      <c r="A712">
        <v>1711</v>
      </c>
      <c r="B712" t="s">
        <v>93</v>
      </c>
      <c r="C712" t="s">
        <v>13</v>
      </c>
      <c r="D712" t="s">
        <v>91</v>
      </c>
      <c r="E712" t="s">
        <v>122</v>
      </c>
      <c r="F712" t="s">
        <v>74</v>
      </c>
      <c r="G712">
        <v>7</v>
      </c>
      <c r="H712">
        <v>35000</v>
      </c>
      <c r="I712">
        <v>12</v>
      </c>
      <c r="J712">
        <v>150561</v>
      </c>
      <c r="K712">
        <v>8</v>
      </c>
      <c r="L712">
        <v>5</v>
      </c>
      <c r="M712" t="str">
        <f>VLOOKUP(Sales_Data!F712,Product_Master!$A$2:$D$11,2)</f>
        <v>Tablet</v>
      </c>
      <c r="N712" t="str">
        <f>VLOOKUP(F712,Product_Master!$A$2:$C$11,3)</f>
        <v>Electronics</v>
      </c>
      <c r="O712">
        <f>VLOOKUP(F712,Product_Master!$A$2:$D$11,4,FALSE)</f>
        <v>29000</v>
      </c>
      <c r="P712">
        <f t="shared" si="110"/>
        <v>245000</v>
      </c>
      <c r="Q712">
        <f t="shared" si="111"/>
        <v>29400</v>
      </c>
      <c r="R712">
        <f t="shared" si="112"/>
        <v>215600</v>
      </c>
      <c r="S712">
        <f t="shared" si="113"/>
        <v>12600</v>
      </c>
      <c r="T712" t="str">
        <f>_xlfn.CONCAT(Sales_Data!C712,"-",Sales_Data!E712,"-",Sales_Data!A712)</f>
        <v>West-C1046-1711</v>
      </c>
      <c r="U712" t="str">
        <f t="shared" si="114"/>
        <v>High Value</v>
      </c>
      <c r="V712" t="str" cm="1">
        <f t="array" ref="V712">_xlfn.IFS(R712&gt;=100000,"Excellent",R712&gt;=50000,"Good",R712&gt;=20000,"Average",TRUE,"Poor")</f>
        <v>Excellent</v>
      </c>
      <c r="W712">
        <f t="shared" si="115"/>
        <v>4</v>
      </c>
      <c r="X712" t="str">
        <f t="shared" si="116"/>
        <v>November</v>
      </c>
      <c r="Y712">
        <f>HLOOKUP("Q"&amp;W712,Bonus_HLookup!$A$1:$E$2,2,FALSE)</f>
        <v>0.08</v>
      </c>
      <c r="Z712">
        <f t="shared" si="117"/>
        <v>60224.4</v>
      </c>
      <c r="AA712" s="1">
        <f t="shared" si="118"/>
        <v>3052.8342004578521</v>
      </c>
      <c r="AB712">
        <f t="shared" si="119"/>
        <v>98</v>
      </c>
    </row>
    <row r="713" spans="1:28" x14ac:dyDescent="0.3">
      <c r="A713">
        <v>1712</v>
      </c>
      <c r="B713" t="s">
        <v>378</v>
      </c>
      <c r="C713" t="s">
        <v>18</v>
      </c>
      <c r="D713" t="s">
        <v>14</v>
      </c>
      <c r="E713" t="s">
        <v>140</v>
      </c>
      <c r="F713" t="s">
        <v>52</v>
      </c>
      <c r="G713">
        <v>6</v>
      </c>
      <c r="H713">
        <v>500</v>
      </c>
      <c r="I713">
        <v>10</v>
      </c>
      <c r="J713">
        <v>138852</v>
      </c>
      <c r="K713">
        <v>10</v>
      </c>
      <c r="L713">
        <v>3</v>
      </c>
      <c r="M713" t="str">
        <f>VLOOKUP(Sales_Data!F713,Product_Master!$A$2:$D$11,2)</f>
        <v>Mouse</v>
      </c>
      <c r="N713" t="str">
        <f>VLOOKUP(F713,Product_Master!$A$2:$C$11,3)</f>
        <v>Accessories</v>
      </c>
      <c r="O713">
        <f>VLOOKUP(F713,Product_Master!$A$2:$D$11,4,FALSE)</f>
        <v>350</v>
      </c>
      <c r="P713">
        <f t="shared" si="110"/>
        <v>3000</v>
      </c>
      <c r="Q713">
        <f t="shared" si="111"/>
        <v>300</v>
      </c>
      <c r="R713">
        <f t="shared" si="112"/>
        <v>2700</v>
      </c>
      <c r="S713">
        <f t="shared" si="113"/>
        <v>600</v>
      </c>
      <c r="T713" t="str">
        <f>_xlfn.CONCAT(Sales_Data!C713,"-",Sales_Data!E713,"-",Sales_Data!A713)</f>
        <v>North-C1011-1712</v>
      </c>
      <c r="U713" t="str">
        <f t="shared" si="114"/>
        <v>Regular</v>
      </c>
      <c r="V713" t="str" cm="1">
        <f t="array" ref="V713">_xlfn.IFS(R713&gt;=100000,"Excellent",R713&gt;=50000,"Good",R713&gt;=20000,"Average",TRUE,"Poor")</f>
        <v>Poor</v>
      </c>
      <c r="W713">
        <f t="shared" si="115"/>
        <v>3</v>
      </c>
      <c r="X713" t="str">
        <f t="shared" si="116"/>
        <v>September</v>
      </c>
      <c r="Y713">
        <f>HLOOKUP("Q"&amp;W713,Bonus_HLookup!$A$1:$E$2,2,FALSE)</f>
        <v>0.06</v>
      </c>
      <c r="Z713">
        <f t="shared" si="117"/>
        <v>41655.599999999999</v>
      </c>
      <c r="AA713" s="1">
        <f t="shared" si="118"/>
        <v>4480.3634762387228</v>
      </c>
      <c r="AB713">
        <f t="shared" si="119"/>
        <v>898</v>
      </c>
    </row>
    <row r="714" spans="1:28" x14ac:dyDescent="0.3">
      <c r="A714">
        <v>1713</v>
      </c>
      <c r="B714" t="s">
        <v>168</v>
      </c>
      <c r="C714" t="s">
        <v>18</v>
      </c>
      <c r="D714" t="s">
        <v>14</v>
      </c>
      <c r="E714" t="s">
        <v>169</v>
      </c>
      <c r="F714" t="s">
        <v>36</v>
      </c>
      <c r="G714">
        <v>2</v>
      </c>
      <c r="H714">
        <v>55000</v>
      </c>
      <c r="I714">
        <v>10</v>
      </c>
      <c r="J714">
        <v>230956</v>
      </c>
      <c r="K714">
        <v>12</v>
      </c>
      <c r="L714">
        <v>5</v>
      </c>
      <c r="M714" t="str">
        <f>VLOOKUP(Sales_Data!F714,Product_Master!$A$2:$D$11,2)</f>
        <v>Laptop</v>
      </c>
      <c r="N714" t="str">
        <f>VLOOKUP(F714,Product_Master!$A$2:$C$11,3)</f>
        <v>Electronics</v>
      </c>
      <c r="O714">
        <f>VLOOKUP(F714,Product_Master!$A$2:$D$11,4,FALSE)</f>
        <v>45000</v>
      </c>
      <c r="P714">
        <f t="shared" si="110"/>
        <v>110000</v>
      </c>
      <c r="Q714">
        <f t="shared" si="111"/>
        <v>11000</v>
      </c>
      <c r="R714">
        <f t="shared" si="112"/>
        <v>99000</v>
      </c>
      <c r="S714">
        <f t="shared" si="113"/>
        <v>9000</v>
      </c>
      <c r="T714" t="str">
        <f>_xlfn.CONCAT(Sales_Data!C714,"-",Sales_Data!E714,"-",Sales_Data!A714)</f>
        <v>North-C1038-1713</v>
      </c>
      <c r="U714" t="str">
        <f t="shared" si="114"/>
        <v>High Value</v>
      </c>
      <c r="V714" t="str" cm="1">
        <f t="array" ref="V714">_xlfn.IFS(R714&gt;=100000,"Excellent",R714&gt;=50000,"Good",R714&gt;=20000,"Average",TRUE,"Poor")</f>
        <v>Good</v>
      </c>
      <c r="W714">
        <f t="shared" si="115"/>
        <v>2</v>
      </c>
      <c r="X714" t="str">
        <f t="shared" si="116"/>
        <v>June</v>
      </c>
      <c r="Y714">
        <f>HLOOKUP("Q"&amp;W714,Bonus_HLookup!$A$1:$E$2,2,FALSE)</f>
        <v>0.04</v>
      </c>
      <c r="Z714">
        <f t="shared" si="117"/>
        <v>138573.6</v>
      </c>
      <c r="AA714" s="1">
        <f t="shared" si="118"/>
        <v>5137.4886595141734</v>
      </c>
      <c r="AB714">
        <f t="shared" si="119"/>
        <v>165</v>
      </c>
    </row>
    <row r="715" spans="1:28" x14ac:dyDescent="0.3">
      <c r="A715">
        <v>1714</v>
      </c>
      <c r="B715" t="s">
        <v>247</v>
      </c>
      <c r="C715" t="s">
        <v>30</v>
      </c>
      <c r="D715" t="s">
        <v>46</v>
      </c>
      <c r="E715" t="s">
        <v>106</v>
      </c>
      <c r="F715" t="s">
        <v>21</v>
      </c>
      <c r="G715">
        <v>9</v>
      </c>
      <c r="H715">
        <v>12000</v>
      </c>
      <c r="I715">
        <v>2</v>
      </c>
      <c r="J715">
        <v>426532</v>
      </c>
      <c r="K715">
        <v>8</v>
      </c>
      <c r="L715">
        <v>2</v>
      </c>
      <c r="M715" t="str">
        <f>VLOOKUP(Sales_Data!F715,Product_Master!$A$2:$D$11,2)</f>
        <v>Monitor</v>
      </c>
      <c r="N715" t="str">
        <f>VLOOKUP(F715,Product_Master!$A$2:$C$11,3)</f>
        <v>Electronics</v>
      </c>
      <c r="O715">
        <f>VLOOKUP(F715,Product_Master!$A$2:$D$11,4,FALSE)</f>
        <v>9000</v>
      </c>
      <c r="P715">
        <f t="shared" si="110"/>
        <v>108000</v>
      </c>
      <c r="Q715">
        <f t="shared" si="111"/>
        <v>2160</v>
      </c>
      <c r="R715">
        <f t="shared" si="112"/>
        <v>105840</v>
      </c>
      <c r="S715">
        <f t="shared" si="113"/>
        <v>24840</v>
      </c>
      <c r="T715" t="str">
        <f>_xlfn.CONCAT(Sales_Data!C715,"-",Sales_Data!E715,"-",Sales_Data!A715)</f>
        <v>South-C1004-1714</v>
      </c>
      <c r="U715" t="str">
        <f t="shared" si="114"/>
        <v>High Value</v>
      </c>
      <c r="V715" t="str" cm="1">
        <f t="array" ref="V715">_xlfn.IFS(R715&gt;=100000,"Excellent",R715&gt;=50000,"Good",R715&gt;=20000,"Average",TRUE,"Poor")</f>
        <v>Excellent</v>
      </c>
      <c r="W715">
        <f t="shared" si="115"/>
        <v>1</v>
      </c>
      <c r="X715" t="str">
        <f t="shared" si="116"/>
        <v>March</v>
      </c>
      <c r="Y715">
        <f>HLOOKUP("Q"&amp;W715,Bonus_HLookup!$A$1:$E$2,2,FALSE)</f>
        <v>0.02</v>
      </c>
      <c r="Z715">
        <f t="shared" si="117"/>
        <v>68245.119999999995</v>
      </c>
      <c r="AA715" s="1">
        <f t="shared" si="118"/>
        <v>19290.88707938914</v>
      </c>
      <c r="AB715">
        <f t="shared" si="119"/>
        <v>158</v>
      </c>
    </row>
    <row r="716" spans="1:28" x14ac:dyDescent="0.3">
      <c r="A716">
        <v>1715</v>
      </c>
      <c r="B716" t="s">
        <v>326</v>
      </c>
      <c r="C716" t="s">
        <v>62</v>
      </c>
      <c r="D716" t="s">
        <v>23</v>
      </c>
      <c r="E716" t="s">
        <v>108</v>
      </c>
      <c r="F716" t="s">
        <v>25</v>
      </c>
      <c r="G716">
        <v>2</v>
      </c>
      <c r="H716">
        <v>1500</v>
      </c>
      <c r="I716">
        <v>5</v>
      </c>
      <c r="J716">
        <v>415087</v>
      </c>
      <c r="K716">
        <v>8</v>
      </c>
      <c r="L716">
        <v>3</v>
      </c>
      <c r="M716" t="str">
        <f>VLOOKUP(Sales_Data!F716,Product_Master!$A$2:$D$11,2)</f>
        <v>Keyboard</v>
      </c>
      <c r="N716" t="str">
        <f>VLOOKUP(F716,Product_Master!$A$2:$C$11,3)</f>
        <v>Accessories</v>
      </c>
      <c r="O716">
        <f>VLOOKUP(F716,Product_Master!$A$2:$D$11,4,FALSE)</f>
        <v>1200</v>
      </c>
      <c r="P716">
        <f t="shared" si="110"/>
        <v>3000</v>
      </c>
      <c r="Q716">
        <f t="shared" si="111"/>
        <v>150</v>
      </c>
      <c r="R716">
        <f t="shared" si="112"/>
        <v>2850</v>
      </c>
      <c r="S716">
        <f t="shared" si="113"/>
        <v>450</v>
      </c>
      <c r="T716" t="str">
        <f>_xlfn.CONCAT(Sales_Data!C716,"-",Sales_Data!E716,"-",Sales_Data!A716)</f>
        <v>East-C1031-1715</v>
      </c>
      <c r="U716" t="str">
        <f t="shared" si="114"/>
        <v>Regular</v>
      </c>
      <c r="V716" t="str" cm="1">
        <f t="array" ref="V716">_xlfn.IFS(R716&gt;=100000,"Excellent",R716&gt;=50000,"Good",R716&gt;=20000,"Average",TRUE,"Poor")</f>
        <v>Poor</v>
      </c>
      <c r="W716">
        <f t="shared" si="115"/>
        <v>3</v>
      </c>
      <c r="X716" t="str">
        <f t="shared" si="116"/>
        <v>September</v>
      </c>
      <c r="Y716">
        <f>HLOOKUP("Q"&amp;W716,Bonus_HLookup!$A$1:$E$2,2,FALSE)</f>
        <v>0.06</v>
      </c>
      <c r="Z716">
        <f t="shared" si="117"/>
        <v>99620.88</v>
      </c>
      <c r="AA716" s="1">
        <f t="shared" si="118"/>
        <v>13007.317930288948</v>
      </c>
      <c r="AB716">
        <f t="shared" si="119"/>
        <v>887</v>
      </c>
    </row>
    <row r="717" spans="1:28" x14ac:dyDescent="0.3">
      <c r="A717">
        <v>1716</v>
      </c>
      <c r="B717" t="s">
        <v>396</v>
      </c>
      <c r="C717" t="s">
        <v>62</v>
      </c>
      <c r="D717" t="s">
        <v>14</v>
      </c>
      <c r="E717" t="s">
        <v>54</v>
      </c>
      <c r="F717" t="s">
        <v>42</v>
      </c>
      <c r="G717">
        <v>2</v>
      </c>
      <c r="H717">
        <v>8000</v>
      </c>
      <c r="I717">
        <v>5</v>
      </c>
      <c r="J717">
        <v>478444</v>
      </c>
      <c r="K717">
        <v>9</v>
      </c>
      <c r="L717">
        <v>4</v>
      </c>
      <c r="M717" t="str">
        <f>VLOOKUP(Sales_Data!F717,Product_Master!$A$2:$D$11,2)</f>
        <v>Printer</v>
      </c>
      <c r="N717" t="str">
        <f>VLOOKUP(F717,Product_Master!$A$2:$C$11,3)</f>
        <v>Electronics</v>
      </c>
      <c r="O717">
        <f>VLOOKUP(F717,Product_Master!$A$2:$D$11,4,FALSE)</f>
        <v>6500</v>
      </c>
      <c r="P717">
        <f t="shared" si="110"/>
        <v>16000</v>
      </c>
      <c r="Q717">
        <f t="shared" si="111"/>
        <v>800</v>
      </c>
      <c r="R717">
        <f t="shared" si="112"/>
        <v>15200</v>
      </c>
      <c r="S717">
        <f t="shared" si="113"/>
        <v>2200</v>
      </c>
      <c r="T717" t="str">
        <f>_xlfn.CONCAT(Sales_Data!C717,"-",Sales_Data!E717,"-",Sales_Data!A717)</f>
        <v>East-C1034-1716</v>
      </c>
      <c r="U717" t="str">
        <f t="shared" si="114"/>
        <v>Regular</v>
      </c>
      <c r="V717" t="str" cm="1">
        <f t="array" ref="V717">_xlfn.IFS(R717&gt;=100000,"Excellent",R717&gt;=50000,"Good",R717&gt;=20000,"Average",TRUE,"Poor")</f>
        <v>Poor</v>
      </c>
      <c r="W717">
        <f t="shared" si="115"/>
        <v>3</v>
      </c>
      <c r="X717" t="str">
        <f t="shared" si="116"/>
        <v>September</v>
      </c>
      <c r="Y717">
        <f>HLOOKUP("Q"&amp;W717,Bonus_HLookup!$A$1:$E$2,2,FALSE)</f>
        <v>0.06</v>
      </c>
      <c r="Z717">
        <f t="shared" si="117"/>
        <v>172239.84</v>
      </c>
      <c r="AA717" s="1">
        <f t="shared" si="118"/>
        <v>11906.099213554578</v>
      </c>
      <c r="AB717">
        <f t="shared" si="119"/>
        <v>521</v>
      </c>
    </row>
    <row r="718" spans="1:28" x14ac:dyDescent="0.3">
      <c r="A718">
        <v>1717</v>
      </c>
      <c r="B718" t="s">
        <v>70</v>
      </c>
      <c r="C718" t="s">
        <v>13</v>
      </c>
      <c r="D718" t="s">
        <v>14</v>
      </c>
      <c r="E718" t="s">
        <v>140</v>
      </c>
      <c r="F718" t="s">
        <v>28</v>
      </c>
      <c r="G718">
        <v>5</v>
      </c>
      <c r="H718">
        <v>950</v>
      </c>
      <c r="I718">
        <v>8</v>
      </c>
      <c r="J718">
        <v>64376</v>
      </c>
      <c r="K718">
        <v>8</v>
      </c>
      <c r="L718">
        <v>1</v>
      </c>
      <c r="M718" t="str">
        <f>VLOOKUP(Sales_Data!F718,Product_Master!$A$2:$D$11,2)</f>
        <v>Webcam</v>
      </c>
      <c r="N718" t="str">
        <f>VLOOKUP(F718,Product_Master!$A$2:$C$11,3)</f>
        <v>Accessories</v>
      </c>
      <c r="O718">
        <f>VLOOKUP(F718,Product_Master!$A$2:$D$11,4,FALSE)</f>
        <v>700</v>
      </c>
      <c r="P718">
        <f t="shared" si="110"/>
        <v>4750</v>
      </c>
      <c r="Q718">
        <f t="shared" si="111"/>
        <v>380</v>
      </c>
      <c r="R718">
        <f t="shared" si="112"/>
        <v>4370</v>
      </c>
      <c r="S718">
        <f t="shared" si="113"/>
        <v>870</v>
      </c>
      <c r="T718" t="str">
        <f>_xlfn.CONCAT(Sales_Data!C718,"-",Sales_Data!E718,"-",Sales_Data!A718)</f>
        <v>West-C1011-1717</v>
      </c>
      <c r="U718" t="str">
        <f t="shared" si="114"/>
        <v>Regular</v>
      </c>
      <c r="V718" t="str" cm="1">
        <f t="array" ref="V718">_xlfn.IFS(R718&gt;=100000,"Excellent",R718&gt;=50000,"Good",R718&gt;=20000,"Average",TRUE,"Poor")</f>
        <v>Poor</v>
      </c>
      <c r="W718">
        <f t="shared" si="115"/>
        <v>1</v>
      </c>
      <c r="X718" t="str">
        <f t="shared" si="116"/>
        <v>March</v>
      </c>
      <c r="Y718">
        <f>HLOOKUP("Q"&amp;W718,Bonus_HLookup!$A$1:$E$2,2,FALSE)</f>
        <v>0.02</v>
      </c>
      <c r="Z718">
        <f t="shared" si="117"/>
        <v>5150.08</v>
      </c>
      <c r="AA718" s="1">
        <f t="shared" si="118"/>
        <v>5599.9671108030661</v>
      </c>
      <c r="AB718">
        <f t="shared" si="119"/>
        <v>816</v>
      </c>
    </row>
    <row r="719" spans="1:28" x14ac:dyDescent="0.3">
      <c r="A719">
        <v>1718</v>
      </c>
      <c r="B719" t="s">
        <v>37</v>
      </c>
      <c r="C719" t="s">
        <v>18</v>
      </c>
      <c r="D719" t="s">
        <v>46</v>
      </c>
      <c r="E719" t="s">
        <v>44</v>
      </c>
      <c r="F719" t="s">
        <v>21</v>
      </c>
      <c r="G719">
        <v>6</v>
      </c>
      <c r="H719">
        <v>12000</v>
      </c>
      <c r="I719">
        <v>2</v>
      </c>
      <c r="J719">
        <v>493260</v>
      </c>
      <c r="K719">
        <v>12</v>
      </c>
      <c r="L719">
        <v>4</v>
      </c>
      <c r="M719" t="str">
        <f>VLOOKUP(Sales_Data!F719,Product_Master!$A$2:$D$11,2)</f>
        <v>Monitor</v>
      </c>
      <c r="N719" t="str">
        <f>VLOOKUP(F719,Product_Master!$A$2:$C$11,3)</f>
        <v>Electronics</v>
      </c>
      <c r="O719">
        <f>VLOOKUP(F719,Product_Master!$A$2:$D$11,4,FALSE)</f>
        <v>9000</v>
      </c>
      <c r="P719">
        <f t="shared" si="110"/>
        <v>72000</v>
      </c>
      <c r="Q719">
        <f t="shared" si="111"/>
        <v>1440</v>
      </c>
      <c r="R719">
        <f t="shared" si="112"/>
        <v>70560</v>
      </c>
      <c r="S719">
        <f t="shared" si="113"/>
        <v>16560</v>
      </c>
      <c r="T719" t="str">
        <f>_xlfn.CONCAT(Sales_Data!C719,"-",Sales_Data!E719,"-",Sales_Data!A719)</f>
        <v>North-C1028-1718</v>
      </c>
      <c r="U719" t="str">
        <f t="shared" si="114"/>
        <v>High Value</v>
      </c>
      <c r="V719" t="str" cm="1">
        <f t="array" ref="V719">_xlfn.IFS(R719&gt;=100000,"Excellent",R719&gt;=50000,"Good",R719&gt;=20000,"Average",TRUE,"Poor")</f>
        <v>Good</v>
      </c>
      <c r="W719">
        <f t="shared" si="115"/>
        <v>4</v>
      </c>
      <c r="X719" t="str">
        <f t="shared" si="116"/>
        <v>November</v>
      </c>
      <c r="Y719">
        <f>HLOOKUP("Q"&amp;W719,Bonus_HLookup!$A$1:$E$2,2,FALSE)</f>
        <v>0.08</v>
      </c>
      <c r="Z719">
        <f t="shared" si="117"/>
        <v>236764.79999999999</v>
      </c>
      <c r="AA719" s="1">
        <f t="shared" si="118"/>
        <v>12989.427665152689</v>
      </c>
      <c r="AB719">
        <f t="shared" si="119"/>
        <v>214</v>
      </c>
    </row>
    <row r="720" spans="1:28" x14ac:dyDescent="0.3">
      <c r="A720">
        <v>1719</v>
      </c>
      <c r="B720" t="s">
        <v>161</v>
      </c>
      <c r="C720" t="s">
        <v>62</v>
      </c>
      <c r="D720" t="s">
        <v>23</v>
      </c>
      <c r="E720" t="s">
        <v>57</v>
      </c>
      <c r="F720" t="s">
        <v>74</v>
      </c>
      <c r="G720">
        <v>1</v>
      </c>
      <c r="H720">
        <v>35000</v>
      </c>
      <c r="I720">
        <v>15</v>
      </c>
      <c r="J720">
        <v>115245</v>
      </c>
      <c r="K720">
        <v>11</v>
      </c>
      <c r="L720">
        <v>4</v>
      </c>
      <c r="M720" t="str">
        <f>VLOOKUP(Sales_Data!F720,Product_Master!$A$2:$D$11,2)</f>
        <v>Tablet</v>
      </c>
      <c r="N720" t="str">
        <f>VLOOKUP(F720,Product_Master!$A$2:$C$11,3)</f>
        <v>Electronics</v>
      </c>
      <c r="O720">
        <f>VLOOKUP(F720,Product_Master!$A$2:$D$11,4,FALSE)</f>
        <v>29000</v>
      </c>
      <c r="P720">
        <f t="shared" si="110"/>
        <v>35000</v>
      </c>
      <c r="Q720">
        <f t="shared" si="111"/>
        <v>5250</v>
      </c>
      <c r="R720">
        <f t="shared" si="112"/>
        <v>29750</v>
      </c>
      <c r="S720">
        <f t="shared" si="113"/>
        <v>750</v>
      </c>
      <c r="T720" t="str">
        <f>_xlfn.CONCAT(Sales_Data!C720,"-",Sales_Data!E720,"-",Sales_Data!A720)</f>
        <v>East-C1012-1719</v>
      </c>
      <c r="U720" t="str">
        <f t="shared" si="114"/>
        <v>Regular</v>
      </c>
      <c r="V720" t="str" cm="1">
        <f t="array" ref="V720">_xlfn.IFS(R720&gt;=100000,"Excellent",R720&gt;=50000,"Good",R720&gt;=20000,"Average",TRUE,"Poor")</f>
        <v>Average</v>
      </c>
      <c r="W720">
        <f t="shared" si="115"/>
        <v>3</v>
      </c>
      <c r="X720" t="str">
        <f t="shared" si="116"/>
        <v>July</v>
      </c>
      <c r="Y720">
        <f>HLOOKUP("Q"&amp;W720,Bonus_HLookup!$A$1:$E$2,2,FALSE)</f>
        <v>0.06</v>
      </c>
      <c r="Z720">
        <f t="shared" si="117"/>
        <v>50707.8</v>
      </c>
      <c r="AA720" s="1">
        <f t="shared" si="118"/>
        <v>2978.5672533568795</v>
      </c>
      <c r="AB720">
        <f t="shared" si="119"/>
        <v>380</v>
      </c>
    </row>
    <row r="721" spans="1:28" x14ac:dyDescent="0.3">
      <c r="A721">
        <v>1720</v>
      </c>
      <c r="B721" t="s">
        <v>305</v>
      </c>
      <c r="C721" t="s">
        <v>62</v>
      </c>
      <c r="D721" t="s">
        <v>91</v>
      </c>
      <c r="E721" t="s">
        <v>108</v>
      </c>
      <c r="F721" t="s">
        <v>16</v>
      </c>
      <c r="G721">
        <v>4</v>
      </c>
      <c r="H721">
        <v>2500</v>
      </c>
      <c r="I721">
        <v>0</v>
      </c>
      <c r="J721">
        <v>448886</v>
      </c>
      <c r="K721">
        <v>12</v>
      </c>
      <c r="L721">
        <v>5</v>
      </c>
      <c r="M721" t="str">
        <f>VLOOKUP(Sales_Data!F721,Product_Master!$A$2:$D$11,2)</f>
        <v>Speaker</v>
      </c>
      <c r="N721" t="str">
        <f>VLOOKUP(F721,Product_Master!$A$2:$C$11,3)</f>
        <v>Accessories</v>
      </c>
      <c r="O721">
        <f>VLOOKUP(F721,Product_Master!$A$2:$D$11,4,FALSE)</f>
        <v>1800</v>
      </c>
      <c r="P721">
        <f t="shared" si="110"/>
        <v>10000</v>
      </c>
      <c r="Q721">
        <f t="shared" si="111"/>
        <v>0</v>
      </c>
      <c r="R721">
        <f t="shared" si="112"/>
        <v>10000</v>
      </c>
      <c r="S721">
        <f t="shared" si="113"/>
        <v>2800</v>
      </c>
      <c r="T721" t="str">
        <f>_xlfn.CONCAT(Sales_Data!C721,"-",Sales_Data!E721,"-",Sales_Data!A721)</f>
        <v>East-C1031-1720</v>
      </c>
      <c r="U721" t="str">
        <f t="shared" si="114"/>
        <v>Regular</v>
      </c>
      <c r="V721" t="str" cm="1">
        <f t="array" ref="V721">_xlfn.IFS(R721&gt;=100000,"Excellent",R721&gt;=50000,"Good",R721&gt;=20000,"Average",TRUE,"Poor")</f>
        <v>Poor</v>
      </c>
      <c r="W721">
        <f t="shared" si="115"/>
        <v>3</v>
      </c>
      <c r="X721" t="str">
        <f t="shared" si="116"/>
        <v>August</v>
      </c>
      <c r="Y721">
        <f>HLOOKUP("Q"&amp;W721,Bonus_HLookup!$A$1:$E$2,2,FALSE)</f>
        <v>0.06</v>
      </c>
      <c r="Z721">
        <f t="shared" si="117"/>
        <v>269331.59999999998</v>
      </c>
      <c r="AA721" s="1">
        <f t="shared" si="118"/>
        <v>9985.2211434848159</v>
      </c>
      <c r="AB721">
        <f t="shared" si="119"/>
        <v>636</v>
      </c>
    </row>
    <row r="722" spans="1:28" x14ac:dyDescent="0.3">
      <c r="A722">
        <v>1721</v>
      </c>
      <c r="B722" t="s">
        <v>168</v>
      </c>
      <c r="C722" t="s">
        <v>30</v>
      </c>
      <c r="D722" t="s">
        <v>50</v>
      </c>
      <c r="E722" t="s">
        <v>122</v>
      </c>
      <c r="F722" t="s">
        <v>69</v>
      </c>
      <c r="G722">
        <v>7</v>
      </c>
      <c r="H722">
        <v>2000</v>
      </c>
      <c r="I722">
        <v>10</v>
      </c>
      <c r="J722">
        <v>250207</v>
      </c>
      <c r="K722">
        <v>10</v>
      </c>
      <c r="L722">
        <v>1</v>
      </c>
      <c r="M722" t="str">
        <f>VLOOKUP(Sales_Data!F722,Product_Master!$A$2:$D$11,2)</f>
        <v>Headset</v>
      </c>
      <c r="N722" t="str">
        <f>VLOOKUP(F722,Product_Master!$A$2:$C$11,3)</f>
        <v>Accessories</v>
      </c>
      <c r="O722">
        <f>VLOOKUP(F722,Product_Master!$A$2:$D$11,4,FALSE)</f>
        <v>1500</v>
      </c>
      <c r="P722">
        <f t="shared" si="110"/>
        <v>14000</v>
      </c>
      <c r="Q722">
        <f t="shared" si="111"/>
        <v>1400</v>
      </c>
      <c r="R722">
        <f t="shared" si="112"/>
        <v>12600</v>
      </c>
      <c r="S722">
        <f t="shared" si="113"/>
        <v>2100</v>
      </c>
      <c r="T722" t="str">
        <f>_xlfn.CONCAT(Sales_Data!C722,"-",Sales_Data!E722,"-",Sales_Data!A722)</f>
        <v>South-C1046-1721</v>
      </c>
      <c r="U722" t="str">
        <f t="shared" si="114"/>
        <v>Regular</v>
      </c>
      <c r="V722" t="str" cm="1">
        <f t="array" ref="V722">_xlfn.IFS(R722&gt;=100000,"Excellent",R722&gt;=50000,"Good",R722&gt;=20000,"Average",TRUE,"Poor")</f>
        <v>Poor</v>
      </c>
      <c r="W722">
        <f t="shared" si="115"/>
        <v>2</v>
      </c>
      <c r="X722" t="str">
        <f t="shared" si="116"/>
        <v>June</v>
      </c>
      <c r="Y722">
        <f>HLOOKUP("Q"&amp;W722,Bonus_HLookup!$A$1:$E$2,2,FALSE)</f>
        <v>0.04</v>
      </c>
      <c r="Z722">
        <f t="shared" si="117"/>
        <v>25020.7</v>
      </c>
      <c r="AA722" s="1">
        <f t="shared" si="118"/>
        <v>21997.17039615901</v>
      </c>
      <c r="AB722">
        <f t="shared" si="119"/>
        <v>575</v>
      </c>
    </row>
    <row r="723" spans="1:28" x14ac:dyDescent="0.3">
      <c r="A723">
        <v>1722</v>
      </c>
      <c r="B723" t="s">
        <v>116</v>
      </c>
      <c r="C723" t="s">
        <v>62</v>
      </c>
      <c r="D723" t="s">
        <v>59</v>
      </c>
      <c r="E723" t="s">
        <v>20</v>
      </c>
      <c r="F723" t="s">
        <v>36</v>
      </c>
      <c r="G723">
        <v>9</v>
      </c>
      <c r="H723">
        <v>55000</v>
      </c>
      <c r="I723">
        <v>2</v>
      </c>
      <c r="J723">
        <v>442125</v>
      </c>
      <c r="K723">
        <v>9</v>
      </c>
      <c r="L723">
        <v>4</v>
      </c>
      <c r="M723" t="str">
        <f>VLOOKUP(Sales_Data!F723,Product_Master!$A$2:$D$11,2)</f>
        <v>Laptop</v>
      </c>
      <c r="N723" t="str">
        <f>VLOOKUP(F723,Product_Master!$A$2:$C$11,3)</f>
        <v>Electronics</v>
      </c>
      <c r="O723">
        <f>VLOOKUP(F723,Product_Master!$A$2:$D$11,4,FALSE)</f>
        <v>45000</v>
      </c>
      <c r="P723">
        <f t="shared" si="110"/>
        <v>495000</v>
      </c>
      <c r="Q723">
        <f t="shared" si="111"/>
        <v>9900</v>
      </c>
      <c r="R723">
        <f t="shared" si="112"/>
        <v>485100</v>
      </c>
      <c r="S723">
        <f t="shared" si="113"/>
        <v>80100</v>
      </c>
      <c r="T723" t="str">
        <f>_xlfn.CONCAT(Sales_Data!C723,"-",Sales_Data!E723,"-",Sales_Data!A723)</f>
        <v>East-C1003-1722</v>
      </c>
      <c r="U723" t="str">
        <f t="shared" si="114"/>
        <v>High Value</v>
      </c>
      <c r="V723" t="str" cm="1">
        <f t="array" ref="V723">_xlfn.IFS(R723&gt;=100000,"Excellent",R723&gt;=50000,"Good",R723&gt;=20000,"Average",TRUE,"Poor")</f>
        <v>Excellent</v>
      </c>
      <c r="W723">
        <f t="shared" si="115"/>
        <v>2</v>
      </c>
      <c r="X723" t="str">
        <f t="shared" si="116"/>
        <v>May</v>
      </c>
      <c r="Y723">
        <f>HLOOKUP("Q"&amp;W723,Bonus_HLookup!$A$1:$E$2,2,FALSE)</f>
        <v>0.04</v>
      </c>
      <c r="Z723">
        <f t="shared" si="117"/>
        <v>159165</v>
      </c>
      <c r="AA723" s="1">
        <f t="shared" si="118"/>
        <v>11002.299359575662</v>
      </c>
      <c r="AB723">
        <f t="shared" si="119"/>
        <v>8</v>
      </c>
    </row>
    <row r="724" spans="1:28" x14ac:dyDescent="0.3">
      <c r="A724">
        <v>1723</v>
      </c>
      <c r="B724" t="s">
        <v>287</v>
      </c>
      <c r="C724" t="s">
        <v>62</v>
      </c>
      <c r="D724" t="s">
        <v>91</v>
      </c>
      <c r="E724" t="s">
        <v>189</v>
      </c>
      <c r="F724" t="s">
        <v>52</v>
      </c>
      <c r="G724">
        <v>5</v>
      </c>
      <c r="H724">
        <v>500</v>
      </c>
      <c r="I724">
        <v>15</v>
      </c>
      <c r="J724">
        <v>485986</v>
      </c>
      <c r="K724">
        <v>12</v>
      </c>
      <c r="L724">
        <v>3</v>
      </c>
      <c r="M724" t="str">
        <f>VLOOKUP(Sales_Data!F724,Product_Master!$A$2:$D$11,2)</f>
        <v>Mouse</v>
      </c>
      <c r="N724" t="str">
        <f>VLOOKUP(F724,Product_Master!$A$2:$C$11,3)</f>
        <v>Accessories</v>
      </c>
      <c r="O724">
        <f>VLOOKUP(F724,Product_Master!$A$2:$D$11,4,FALSE)</f>
        <v>350</v>
      </c>
      <c r="P724">
        <f t="shared" si="110"/>
        <v>2500</v>
      </c>
      <c r="Q724">
        <f t="shared" si="111"/>
        <v>375</v>
      </c>
      <c r="R724">
        <f t="shared" si="112"/>
        <v>2125</v>
      </c>
      <c r="S724">
        <f t="shared" si="113"/>
        <v>375</v>
      </c>
      <c r="T724" t="str">
        <f>_xlfn.CONCAT(Sales_Data!C724,"-",Sales_Data!E724,"-",Sales_Data!A724)</f>
        <v>East-C1015-1723</v>
      </c>
      <c r="U724" t="str">
        <f t="shared" si="114"/>
        <v>Regular</v>
      </c>
      <c r="V724" t="str" cm="1">
        <f t="array" ref="V724">_xlfn.IFS(R724&gt;=100000,"Excellent",R724&gt;=50000,"Good",R724&gt;=20000,"Average",TRUE,"Poor")</f>
        <v>Poor</v>
      </c>
      <c r="W724">
        <f t="shared" si="115"/>
        <v>3</v>
      </c>
      <c r="X724" t="str">
        <f t="shared" si="116"/>
        <v>July</v>
      </c>
      <c r="Y724">
        <f>HLOOKUP("Q"&amp;W724,Bonus_HLookup!$A$1:$E$2,2,FALSE)</f>
        <v>0.06</v>
      </c>
      <c r="Z724">
        <f t="shared" si="117"/>
        <v>174954.96</v>
      </c>
      <c r="AA724" s="1">
        <f t="shared" si="118"/>
        <v>16141.6895687083</v>
      </c>
      <c r="AB724">
        <f t="shared" si="119"/>
        <v>923</v>
      </c>
    </row>
    <row r="725" spans="1:28" x14ac:dyDescent="0.3">
      <c r="A725">
        <v>1724</v>
      </c>
      <c r="B725" t="s">
        <v>392</v>
      </c>
      <c r="C725" t="s">
        <v>13</v>
      </c>
      <c r="D725" t="s">
        <v>33</v>
      </c>
      <c r="E725" t="s">
        <v>187</v>
      </c>
      <c r="F725" t="s">
        <v>42</v>
      </c>
      <c r="G725">
        <v>4</v>
      </c>
      <c r="H725">
        <v>8000</v>
      </c>
      <c r="I725">
        <v>5</v>
      </c>
      <c r="J725">
        <v>283447</v>
      </c>
      <c r="K725">
        <v>7</v>
      </c>
      <c r="L725">
        <v>4</v>
      </c>
      <c r="M725" t="str">
        <f>VLOOKUP(Sales_Data!F725,Product_Master!$A$2:$D$11,2)</f>
        <v>Printer</v>
      </c>
      <c r="N725" t="str">
        <f>VLOOKUP(F725,Product_Master!$A$2:$C$11,3)</f>
        <v>Electronics</v>
      </c>
      <c r="O725">
        <f>VLOOKUP(F725,Product_Master!$A$2:$D$11,4,FALSE)</f>
        <v>6500</v>
      </c>
      <c r="P725">
        <f t="shared" si="110"/>
        <v>32000</v>
      </c>
      <c r="Q725">
        <f t="shared" si="111"/>
        <v>1600</v>
      </c>
      <c r="R725">
        <f t="shared" si="112"/>
        <v>30400</v>
      </c>
      <c r="S725">
        <f t="shared" si="113"/>
        <v>4400</v>
      </c>
      <c r="T725" t="str">
        <f>_xlfn.CONCAT(Sales_Data!C725,"-",Sales_Data!E725,"-",Sales_Data!A725)</f>
        <v>West-C1041-1724</v>
      </c>
      <c r="U725" t="str">
        <f t="shared" si="114"/>
        <v>Regular</v>
      </c>
      <c r="V725" t="str" cm="1">
        <f t="array" ref="V725">_xlfn.IFS(R725&gt;=100000,"Excellent",R725&gt;=50000,"Good",R725&gt;=20000,"Average",TRUE,"Poor")</f>
        <v>Average</v>
      </c>
      <c r="W725">
        <f t="shared" si="115"/>
        <v>4</v>
      </c>
      <c r="X725" t="str">
        <f t="shared" si="116"/>
        <v>October</v>
      </c>
      <c r="Y725">
        <f>HLOOKUP("Q"&amp;W725,Bonus_HLookup!$A$1:$E$2,2,FALSE)</f>
        <v>0.08</v>
      </c>
      <c r="Z725">
        <f t="shared" si="117"/>
        <v>79365.16</v>
      </c>
      <c r="AA725" s="1">
        <f t="shared" si="118"/>
        <v>6787.4912108354547</v>
      </c>
      <c r="AB725">
        <f t="shared" si="119"/>
        <v>375</v>
      </c>
    </row>
    <row r="726" spans="1:28" x14ac:dyDescent="0.3">
      <c r="A726">
        <v>1725</v>
      </c>
      <c r="B726" t="s">
        <v>397</v>
      </c>
      <c r="C726" t="s">
        <v>13</v>
      </c>
      <c r="D726" t="s">
        <v>50</v>
      </c>
      <c r="E726" t="s">
        <v>47</v>
      </c>
      <c r="F726" t="s">
        <v>21</v>
      </c>
      <c r="G726">
        <v>10</v>
      </c>
      <c r="H726">
        <v>12000</v>
      </c>
      <c r="I726">
        <v>2</v>
      </c>
      <c r="J726">
        <v>258030</v>
      </c>
      <c r="K726">
        <v>9</v>
      </c>
      <c r="L726">
        <v>2</v>
      </c>
      <c r="M726" t="str">
        <f>VLOOKUP(Sales_Data!F726,Product_Master!$A$2:$D$11,2)</f>
        <v>Monitor</v>
      </c>
      <c r="N726" t="str">
        <f>VLOOKUP(F726,Product_Master!$A$2:$C$11,3)</f>
        <v>Electronics</v>
      </c>
      <c r="O726">
        <f>VLOOKUP(F726,Product_Master!$A$2:$D$11,4,FALSE)</f>
        <v>9000</v>
      </c>
      <c r="P726">
        <f t="shared" si="110"/>
        <v>120000</v>
      </c>
      <c r="Q726">
        <f t="shared" si="111"/>
        <v>2400</v>
      </c>
      <c r="R726">
        <f t="shared" si="112"/>
        <v>117600</v>
      </c>
      <c r="S726">
        <f t="shared" si="113"/>
        <v>27600</v>
      </c>
      <c r="T726" t="str">
        <f>_xlfn.CONCAT(Sales_Data!C726,"-",Sales_Data!E726,"-",Sales_Data!A726)</f>
        <v>West-C1030-1725</v>
      </c>
      <c r="U726" t="str">
        <f t="shared" si="114"/>
        <v>High Value</v>
      </c>
      <c r="V726" t="str" cm="1">
        <f t="array" ref="V726">_xlfn.IFS(R726&gt;=100000,"Excellent",R726&gt;=50000,"Good",R726&gt;=20000,"Average",TRUE,"Poor")</f>
        <v>Excellent</v>
      </c>
      <c r="W726">
        <f t="shared" si="115"/>
        <v>2</v>
      </c>
      <c r="X726" t="str">
        <f t="shared" si="116"/>
        <v>April</v>
      </c>
      <c r="Y726">
        <f>HLOOKUP("Q"&amp;W726,Bonus_HLookup!$A$1:$E$2,2,FALSE)</f>
        <v>0.04</v>
      </c>
      <c r="Z726">
        <f t="shared" si="117"/>
        <v>46445.4</v>
      </c>
      <c r="AA726" s="1">
        <f t="shared" si="118"/>
        <v>11788.034050295033</v>
      </c>
      <c r="AB726">
        <f t="shared" si="119"/>
        <v>147</v>
      </c>
    </row>
    <row r="727" spans="1:28" x14ac:dyDescent="0.3">
      <c r="A727">
        <v>1726</v>
      </c>
      <c r="B727" t="s">
        <v>254</v>
      </c>
      <c r="C727" t="s">
        <v>62</v>
      </c>
      <c r="D727" t="s">
        <v>33</v>
      </c>
      <c r="E727" t="s">
        <v>47</v>
      </c>
      <c r="F727" t="s">
        <v>28</v>
      </c>
      <c r="G727">
        <v>6</v>
      </c>
      <c r="H727">
        <v>950</v>
      </c>
      <c r="I727">
        <v>8</v>
      </c>
      <c r="J727">
        <v>483465</v>
      </c>
      <c r="K727">
        <v>7</v>
      </c>
      <c r="L727">
        <v>1</v>
      </c>
      <c r="M727" t="str">
        <f>VLOOKUP(Sales_Data!F727,Product_Master!$A$2:$D$11,2)</f>
        <v>Webcam</v>
      </c>
      <c r="N727" t="str">
        <f>VLOOKUP(F727,Product_Master!$A$2:$C$11,3)</f>
        <v>Accessories</v>
      </c>
      <c r="O727">
        <f>VLOOKUP(F727,Product_Master!$A$2:$D$11,4,FALSE)</f>
        <v>700</v>
      </c>
      <c r="P727">
        <f t="shared" si="110"/>
        <v>5700</v>
      </c>
      <c r="Q727">
        <f t="shared" si="111"/>
        <v>456</v>
      </c>
      <c r="R727">
        <f t="shared" si="112"/>
        <v>5244</v>
      </c>
      <c r="S727">
        <f t="shared" si="113"/>
        <v>1044</v>
      </c>
      <c r="T727" t="str">
        <f>_xlfn.CONCAT(Sales_Data!C727,"-",Sales_Data!E727,"-",Sales_Data!A727)</f>
        <v>East-C1030-1726</v>
      </c>
      <c r="U727" t="str">
        <f t="shared" si="114"/>
        <v>Regular</v>
      </c>
      <c r="V727" t="str" cm="1">
        <f t="array" ref="V727">_xlfn.IFS(R727&gt;=100000,"Excellent",R727&gt;=50000,"Good",R727&gt;=20000,"Average",TRUE,"Poor")</f>
        <v>Poor</v>
      </c>
      <c r="W727">
        <f t="shared" si="115"/>
        <v>3</v>
      </c>
      <c r="X727" t="str">
        <f t="shared" si="116"/>
        <v>August</v>
      </c>
      <c r="Y727">
        <f>HLOOKUP("Q"&amp;W727,Bonus_HLookup!$A$1:$E$2,2,FALSE)</f>
        <v>0.06</v>
      </c>
      <c r="Z727">
        <f t="shared" si="117"/>
        <v>33842.550000000003</v>
      </c>
      <c r="AA727" s="1">
        <f t="shared" si="118"/>
        <v>41832.653302336315</v>
      </c>
      <c r="AB727">
        <f t="shared" si="119"/>
        <v>784</v>
      </c>
    </row>
    <row r="728" spans="1:28" x14ac:dyDescent="0.3">
      <c r="A728">
        <v>1727</v>
      </c>
      <c r="B728" t="s">
        <v>205</v>
      </c>
      <c r="C728" t="s">
        <v>30</v>
      </c>
      <c r="D728" t="s">
        <v>19</v>
      </c>
      <c r="E728" t="s">
        <v>196</v>
      </c>
      <c r="F728" t="s">
        <v>36</v>
      </c>
      <c r="G728">
        <v>2</v>
      </c>
      <c r="H728">
        <v>55000</v>
      </c>
      <c r="I728">
        <v>10</v>
      </c>
      <c r="J728">
        <v>117971</v>
      </c>
      <c r="K728">
        <v>8</v>
      </c>
      <c r="L728">
        <v>5</v>
      </c>
      <c r="M728" t="str">
        <f>VLOOKUP(Sales_Data!F728,Product_Master!$A$2:$D$11,2)</f>
        <v>Laptop</v>
      </c>
      <c r="N728" t="str">
        <f>VLOOKUP(F728,Product_Master!$A$2:$C$11,3)</f>
        <v>Electronics</v>
      </c>
      <c r="O728">
        <f>VLOOKUP(F728,Product_Master!$A$2:$D$11,4,FALSE)</f>
        <v>45000</v>
      </c>
      <c r="P728">
        <f t="shared" si="110"/>
        <v>110000</v>
      </c>
      <c r="Q728">
        <f t="shared" si="111"/>
        <v>11000</v>
      </c>
      <c r="R728">
        <f t="shared" si="112"/>
        <v>99000</v>
      </c>
      <c r="S728">
        <f t="shared" si="113"/>
        <v>9000</v>
      </c>
      <c r="T728" t="str">
        <f>_xlfn.CONCAT(Sales_Data!C728,"-",Sales_Data!E728,"-",Sales_Data!A728)</f>
        <v>South-C1032-1727</v>
      </c>
      <c r="U728" t="str">
        <f t="shared" si="114"/>
        <v>High Value</v>
      </c>
      <c r="V728" t="str" cm="1">
        <f t="array" ref="V728">_xlfn.IFS(R728&gt;=100000,"Excellent",R728&gt;=50000,"Good",R728&gt;=20000,"Average",TRUE,"Poor")</f>
        <v>Good</v>
      </c>
      <c r="W728">
        <f t="shared" si="115"/>
        <v>3</v>
      </c>
      <c r="X728" t="str">
        <f t="shared" si="116"/>
        <v>August</v>
      </c>
      <c r="Y728">
        <f>HLOOKUP("Q"&amp;W728,Bonus_HLookup!$A$1:$E$2,2,FALSE)</f>
        <v>0.06</v>
      </c>
      <c r="Z728">
        <f t="shared" si="117"/>
        <v>47188.4</v>
      </c>
      <c r="AA728" s="1">
        <f t="shared" si="118"/>
        <v>2392.0265105984499</v>
      </c>
      <c r="AB728">
        <f t="shared" si="119"/>
        <v>165</v>
      </c>
    </row>
    <row r="729" spans="1:28" x14ac:dyDescent="0.3">
      <c r="A729">
        <v>1728</v>
      </c>
      <c r="B729" t="s">
        <v>139</v>
      </c>
      <c r="C729" t="s">
        <v>13</v>
      </c>
      <c r="D729" t="s">
        <v>59</v>
      </c>
      <c r="E729" t="s">
        <v>47</v>
      </c>
      <c r="F729" t="s">
        <v>39</v>
      </c>
      <c r="G729">
        <v>8</v>
      </c>
      <c r="H729">
        <v>7000</v>
      </c>
      <c r="I729">
        <v>8</v>
      </c>
      <c r="J729">
        <v>321849</v>
      </c>
      <c r="K729">
        <v>12</v>
      </c>
      <c r="L729">
        <v>1</v>
      </c>
      <c r="M729" t="str">
        <f>VLOOKUP(Sales_Data!F729,Product_Master!$A$2:$D$11,2)</f>
        <v>Router</v>
      </c>
      <c r="N729" t="str">
        <f>VLOOKUP(F729,Product_Master!$A$2:$C$11,3)</f>
        <v>Electronics</v>
      </c>
      <c r="O729">
        <f>VLOOKUP(F729,Product_Master!$A$2:$D$11,4,FALSE)</f>
        <v>5000</v>
      </c>
      <c r="P729">
        <f t="shared" si="110"/>
        <v>56000</v>
      </c>
      <c r="Q729">
        <f t="shared" si="111"/>
        <v>4480</v>
      </c>
      <c r="R729">
        <f t="shared" si="112"/>
        <v>51520</v>
      </c>
      <c r="S729">
        <f t="shared" si="113"/>
        <v>11520</v>
      </c>
      <c r="T729" t="str">
        <f>_xlfn.CONCAT(Sales_Data!C729,"-",Sales_Data!E729,"-",Sales_Data!A729)</f>
        <v>West-C1030-1728</v>
      </c>
      <c r="U729" t="str">
        <f t="shared" si="114"/>
        <v>High Value</v>
      </c>
      <c r="V729" t="str" cm="1">
        <f t="array" ref="V729">_xlfn.IFS(R729&gt;=100000,"Excellent",R729&gt;=50000,"Good",R729&gt;=20000,"Average",TRUE,"Poor")</f>
        <v>Good</v>
      </c>
      <c r="W729">
        <f t="shared" si="115"/>
        <v>4</v>
      </c>
      <c r="X729" t="str">
        <f t="shared" si="116"/>
        <v>October</v>
      </c>
      <c r="Y729">
        <f>HLOOKUP("Q"&amp;W729,Bonus_HLookup!$A$1:$E$2,2,FALSE)</f>
        <v>0.08</v>
      </c>
      <c r="Z729">
        <f t="shared" si="117"/>
        <v>38621.879999999997</v>
      </c>
      <c r="AA729" s="1">
        <f t="shared" si="118"/>
        <v>28595.893787335597</v>
      </c>
      <c r="AB729">
        <f t="shared" si="119"/>
        <v>287</v>
      </c>
    </row>
    <row r="730" spans="1:28" x14ac:dyDescent="0.3">
      <c r="A730">
        <v>1729</v>
      </c>
      <c r="B730" t="s">
        <v>385</v>
      </c>
      <c r="C730" t="s">
        <v>30</v>
      </c>
      <c r="D730" t="s">
        <v>33</v>
      </c>
      <c r="E730" t="s">
        <v>66</v>
      </c>
      <c r="F730" t="s">
        <v>36</v>
      </c>
      <c r="G730">
        <v>7</v>
      </c>
      <c r="H730">
        <v>55000</v>
      </c>
      <c r="I730">
        <v>8</v>
      </c>
      <c r="J730">
        <v>168022</v>
      </c>
      <c r="K730">
        <v>8</v>
      </c>
      <c r="L730">
        <v>1</v>
      </c>
      <c r="M730" t="str">
        <f>VLOOKUP(Sales_Data!F730,Product_Master!$A$2:$D$11,2)</f>
        <v>Laptop</v>
      </c>
      <c r="N730" t="str">
        <f>VLOOKUP(F730,Product_Master!$A$2:$C$11,3)</f>
        <v>Electronics</v>
      </c>
      <c r="O730">
        <f>VLOOKUP(F730,Product_Master!$A$2:$D$11,4,FALSE)</f>
        <v>45000</v>
      </c>
      <c r="P730">
        <f t="shared" si="110"/>
        <v>385000</v>
      </c>
      <c r="Q730">
        <f t="shared" si="111"/>
        <v>30800</v>
      </c>
      <c r="R730">
        <f t="shared" si="112"/>
        <v>354200</v>
      </c>
      <c r="S730">
        <f t="shared" si="113"/>
        <v>39200</v>
      </c>
      <c r="T730" t="str">
        <f>_xlfn.CONCAT(Sales_Data!C730,"-",Sales_Data!E730,"-",Sales_Data!A730)</f>
        <v>South-C1010-1729</v>
      </c>
      <c r="U730" t="str">
        <f t="shared" si="114"/>
        <v>High Value</v>
      </c>
      <c r="V730" t="str" cm="1">
        <f t="array" ref="V730">_xlfn.IFS(R730&gt;=100000,"Excellent",R730&gt;=50000,"Good",R730&gt;=20000,"Average",TRUE,"Poor")</f>
        <v>Excellent</v>
      </c>
      <c r="W730">
        <f t="shared" si="115"/>
        <v>4</v>
      </c>
      <c r="X730" t="str">
        <f t="shared" si="116"/>
        <v>December</v>
      </c>
      <c r="Y730">
        <f>HLOOKUP("Q"&amp;W730,Bonus_HLookup!$A$1:$E$2,2,FALSE)</f>
        <v>0.08</v>
      </c>
      <c r="Z730">
        <f t="shared" si="117"/>
        <v>13441.76</v>
      </c>
      <c r="AA730" s="1">
        <f t="shared" si="118"/>
        <v>14615.969831790617</v>
      </c>
      <c r="AB730">
        <f t="shared" si="119"/>
        <v>31</v>
      </c>
    </row>
    <row r="731" spans="1:28" x14ac:dyDescent="0.3">
      <c r="A731">
        <v>1730</v>
      </c>
      <c r="B731" t="s">
        <v>361</v>
      </c>
      <c r="C731" t="s">
        <v>18</v>
      </c>
      <c r="D731" t="s">
        <v>23</v>
      </c>
      <c r="E731" t="s">
        <v>174</v>
      </c>
      <c r="F731" t="s">
        <v>39</v>
      </c>
      <c r="G731">
        <v>5</v>
      </c>
      <c r="H731">
        <v>7000</v>
      </c>
      <c r="I731">
        <v>10</v>
      </c>
      <c r="J731">
        <v>385972</v>
      </c>
      <c r="K731">
        <v>9</v>
      </c>
      <c r="L731">
        <v>3</v>
      </c>
      <c r="M731" t="str">
        <f>VLOOKUP(Sales_Data!F731,Product_Master!$A$2:$D$11,2)</f>
        <v>Router</v>
      </c>
      <c r="N731" t="str">
        <f>VLOOKUP(F731,Product_Master!$A$2:$C$11,3)</f>
        <v>Electronics</v>
      </c>
      <c r="O731">
        <f>VLOOKUP(F731,Product_Master!$A$2:$D$11,4,FALSE)</f>
        <v>5000</v>
      </c>
      <c r="P731">
        <f t="shared" si="110"/>
        <v>35000</v>
      </c>
      <c r="Q731">
        <f t="shared" si="111"/>
        <v>3500</v>
      </c>
      <c r="R731">
        <f t="shared" si="112"/>
        <v>31500</v>
      </c>
      <c r="S731">
        <f t="shared" si="113"/>
        <v>6500</v>
      </c>
      <c r="T731" t="str">
        <f>_xlfn.CONCAT(Sales_Data!C731,"-",Sales_Data!E731,"-",Sales_Data!A731)</f>
        <v>North-C1044-1730</v>
      </c>
      <c r="U731" t="str">
        <f t="shared" si="114"/>
        <v>Regular</v>
      </c>
      <c r="V731" t="str" cm="1">
        <f t="array" ref="V731">_xlfn.IFS(R731&gt;=100000,"Excellent",R731&gt;=50000,"Good",R731&gt;=20000,"Average",TRUE,"Poor")</f>
        <v>Average</v>
      </c>
      <c r="W731">
        <f t="shared" si="115"/>
        <v>3</v>
      </c>
      <c r="X731" t="str">
        <f t="shared" si="116"/>
        <v>August</v>
      </c>
      <c r="Y731">
        <f>HLOOKUP("Q"&amp;W731,Bonus_HLookup!$A$1:$E$2,2,FALSE)</f>
        <v>0.06</v>
      </c>
      <c r="Z731">
        <f t="shared" si="117"/>
        <v>104212.44</v>
      </c>
      <c r="AA731" s="1">
        <f t="shared" si="118"/>
        <v>12273.806414222627</v>
      </c>
      <c r="AB731">
        <f t="shared" si="119"/>
        <v>367</v>
      </c>
    </row>
    <row r="732" spans="1:28" x14ac:dyDescent="0.3">
      <c r="A732">
        <v>1731</v>
      </c>
      <c r="B732" t="s">
        <v>357</v>
      </c>
      <c r="C732" t="s">
        <v>30</v>
      </c>
      <c r="D732" t="s">
        <v>33</v>
      </c>
      <c r="E732" t="s">
        <v>38</v>
      </c>
      <c r="F732" t="s">
        <v>36</v>
      </c>
      <c r="G732">
        <v>3</v>
      </c>
      <c r="H732">
        <v>55000</v>
      </c>
      <c r="I732">
        <v>2</v>
      </c>
      <c r="J732">
        <v>258298</v>
      </c>
      <c r="K732">
        <v>12</v>
      </c>
      <c r="L732">
        <v>3</v>
      </c>
      <c r="M732" t="str">
        <f>VLOOKUP(Sales_Data!F732,Product_Master!$A$2:$D$11,2)</f>
        <v>Laptop</v>
      </c>
      <c r="N732" t="str">
        <f>VLOOKUP(F732,Product_Master!$A$2:$C$11,3)</f>
        <v>Electronics</v>
      </c>
      <c r="O732">
        <f>VLOOKUP(F732,Product_Master!$A$2:$D$11,4,FALSE)</f>
        <v>45000</v>
      </c>
      <c r="P732">
        <f t="shared" si="110"/>
        <v>165000</v>
      </c>
      <c r="Q732">
        <f t="shared" si="111"/>
        <v>3300</v>
      </c>
      <c r="R732">
        <f t="shared" si="112"/>
        <v>161700</v>
      </c>
      <c r="S732">
        <f t="shared" si="113"/>
        <v>26700</v>
      </c>
      <c r="T732" t="str">
        <f>_xlfn.CONCAT(Sales_Data!C732,"-",Sales_Data!E732,"-",Sales_Data!A732)</f>
        <v>South-C1009-1731</v>
      </c>
      <c r="U732" t="str">
        <f t="shared" si="114"/>
        <v>High Value</v>
      </c>
      <c r="V732" t="str" cm="1">
        <f t="array" ref="V732">_xlfn.IFS(R732&gt;=100000,"Excellent",R732&gt;=50000,"Good",R732&gt;=20000,"Average",TRUE,"Poor")</f>
        <v>Excellent</v>
      </c>
      <c r="W732">
        <f t="shared" si="115"/>
        <v>3</v>
      </c>
      <c r="X732" t="str">
        <f t="shared" si="116"/>
        <v>July</v>
      </c>
      <c r="Y732">
        <f>HLOOKUP("Q"&amp;W732,Bonus_HLookup!$A$1:$E$2,2,FALSE)</f>
        <v>0.06</v>
      </c>
      <c r="Z732">
        <f t="shared" si="117"/>
        <v>92987.28</v>
      </c>
      <c r="AA732" s="1">
        <f t="shared" si="118"/>
        <v>8579.1897960398364</v>
      </c>
      <c r="AB732">
        <f t="shared" si="119"/>
        <v>124</v>
      </c>
    </row>
    <row r="733" spans="1:28" x14ac:dyDescent="0.3">
      <c r="A733">
        <v>1732</v>
      </c>
      <c r="B733" t="s">
        <v>246</v>
      </c>
      <c r="C733" t="s">
        <v>18</v>
      </c>
      <c r="D733" t="s">
        <v>33</v>
      </c>
      <c r="E733" t="s">
        <v>94</v>
      </c>
      <c r="F733" t="s">
        <v>16</v>
      </c>
      <c r="G733">
        <v>1</v>
      </c>
      <c r="H733">
        <v>2500</v>
      </c>
      <c r="I733">
        <v>5</v>
      </c>
      <c r="J733">
        <v>206689</v>
      </c>
      <c r="K733">
        <v>8</v>
      </c>
      <c r="L733">
        <v>4</v>
      </c>
      <c r="M733" t="str">
        <f>VLOOKUP(Sales_Data!F733,Product_Master!$A$2:$D$11,2)</f>
        <v>Speaker</v>
      </c>
      <c r="N733" t="str">
        <f>VLOOKUP(F733,Product_Master!$A$2:$C$11,3)</f>
        <v>Accessories</v>
      </c>
      <c r="O733">
        <f>VLOOKUP(F733,Product_Master!$A$2:$D$11,4,FALSE)</f>
        <v>1800</v>
      </c>
      <c r="P733">
        <f t="shared" si="110"/>
        <v>2500</v>
      </c>
      <c r="Q733">
        <f t="shared" si="111"/>
        <v>125</v>
      </c>
      <c r="R733">
        <f t="shared" si="112"/>
        <v>2375</v>
      </c>
      <c r="S733">
        <f t="shared" si="113"/>
        <v>575</v>
      </c>
      <c r="T733" t="str">
        <f>_xlfn.CONCAT(Sales_Data!C733,"-",Sales_Data!E733,"-",Sales_Data!A733)</f>
        <v>North-C1027-1732</v>
      </c>
      <c r="U733" t="str">
        <f t="shared" si="114"/>
        <v>Regular</v>
      </c>
      <c r="V733" t="str" cm="1">
        <f t="array" ref="V733">_xlfn.IFS(R733&gt;=100000,"Excellent",R733&gt;=50000,"Good",R733&gt;=20000,"Average",TRUE,"Poor")</f>
        <v>Poor</v>
      </c>
      <c r="W733">
        <f t="shared" si="115"/>
        <v>3</v>
      </c>
      <c r="X733" t="str">
        <f t="shared" si="116"/>
        <v>September</v>
      </c>
      <c r="Y733">
        <f>HLOOKUP("Q"&amp;W733,Bonus_HLookup!$A$1:$E$2,2,FALSE)</f>
        <v>0.06</v>
      </c>
      <c r="Z733">
        <f t="shared" si="117"/>
        <v>66140.479999999996</v>
      </c>
      <c r="AA733" s="1">
        <f t="shared" si="118"/>
        <v>5045.8825058428065</v>
      </c>
      <c r="AB733">
        <f t="shared" si="119"/>
        <v>913</v>
      </c>
    </row>
    <row r="734" spans="1:28" x14ac:dyDescent="0.3">
      <c r="A734">
        <v>1733</v>
      </c>
      <c r="B734" t="s">
        <v>398</v>
      </c>
      <c r="C734" t="s">
        <v>13</v>
      </c>
      <c r="D734" t="s">
        <v>19</v>
      </c>
      <c r="E734" t="s">
        <v>108</v>
      </c>
      <c r="F734" t="s">
        <v>42</v>
      </c>
      <c r="G734">
        <v>8</v>
      </c>
      <c r="H734">
        <v>8000</v>
      </c>
      <c r="I734">
        <v>12</v>
      </c>
      <c r="J734">
        <v>99542</v>
      </c>
      <c r="K734">
        <v>12</v>
      </c>
      <c r="L734">
        <v>1</v>
      </c>
      <c r="M734" t="str">
        <f>VLOOKUP(Sales_Data!F734,Product_Master!$A$2:$D$11,2)</f>
        <v>Printer</v>
      </c>
      <c r="N734" t="str">
        <f>VLOOKUP(F734,Product_Master!$A$2:$C$11,3)</f>
        <v>Electronics</v>
      </c>
      <c r="O734">
        <f>VLOOKUP(F734,Product_Master!$A$2:$D$11,4,FALSE)</f>
        <v>6500</v>
      </c>
      <c r="P734">
        <f t="shared" si="110"/>
        <v>64000</v>
      </c>
      <c r="Q734">
        <f t="shared" si="111"/>
        <v>7680</v>
      </c>
      <c r="R734">
        <f t="shared" si="112"/>
        <v>56320</v>
      </c>
      <c r="S734">
        <f t="shared" si="113"/>
        <v>4320</v>
      </c>
      <c r="T734" t="str">
        <f>_xlfn.CONCAT(Sales_Data!C734,"-",Sales_Data!E734,"-",Sales_Data!A734)</f>
        <v>West-C1031-1733</v>
      </c>
      <c r="U734" t="str">
        <f t="shared" si="114"/>
        <v>High Value</v>
      </c>
      <c r="V734" t="str" cm="1">
        <f t="array" ref="V734">_xlfn.IFS(R734&gt;=100000,"Excellent",R734&gt;=50000,"Good",R734&gt;=20000,"Average",TRUE,"Poor")</f>
        <v>Good</v>
      </c>
      <c r="W734">
        <f t="shared" si="115"/>
        <v>4</v>
      </c>
      <c r="X734" t="str">
        <f t="shared" si="116"/>
        <v>November</v>
      </c>
      <c r="Y734">
        <f>HLOOKUP("Q"&amp;W734,Bonus_HLookup!$A$1:$E$2,2,FALSE)</f>
        <v>0.08</v>
      </c>
      <c r="Z734">
        <f t="shared" si="117"/>
        <v>11945.04</v>
      </c>
      <c r="AA734" s="1">
        <f t="shared" si="118"/>
        <v>8844.1861226194869</v>
      </c>
      <c r="AB734">
        <f t="shared" si="119"/>
        <v>264</v>
      </c>
    </row>
    <row r="735" spans="1:28" x14ac:dyDescent="0.3">
      <c r="A735">
        <v>1734</v>
      </c>
      <c r="B735" t="s">
        <v>12</v>
      </c>
      <c r="C735" t="s">
        <v>62</v>
      </c>
      <c r="D735" t="s">
        <v>91</v>
      </c>
      <c r="E735" t="s">
        <v>94</v>
      </c>
      <c r="F735" t="s">
        <v>36</v>
      </c>
      <c r="G735">
        <v>8</v>
      </c>
      <c r="H735">
        <v>55000</v>
      </c>
      <c r="I735">
        <v>12</v>
      </c>
      <c r="J735">
        <v>141405</v>
      </c>
      <c r="K735">
        <v>7</v>
      </c>
      <c r="L735">
        <v>3</v>
      </c>
      <c r="M735" t="str">
        <f>VLOOKUP(Sales_Data!F735,Product_Master!$A$2:$D$11,2)</f>
        <v>Laptop</v>
      </c>
      <c r="N735" t="str">
        <f>VLOOKUP(F735,Product_Master!$A$2:$C$11,3)</f>
        <v>Electronics</v>
      </c>
      <c r="O735">
        <f>VLOOKUP(F735,Product_Master!$A$2:$D$11,4,FALSE)</f>
        <v>45000</v>
      </c>
      <c r="P735">
        <f t="shared" si="110"/>
        <v>440000</v>
      </c>
      <c r="Q735">
        <f t="shared" si="111"/>
        <v>52800</v>
      </c>
      <c r="R735">
        <f t="shared" si="112"/>
        <v>387200</v>
      </c>
      <c r="S735">
        <f t="shared" si="113"/>
        <v>27200</v>
      </c>
      <c r="T735" t="str">
        <f>_xlfn.CONCAT(Sales_Data!C735,"-",Sales_Data!E735,"-",Sales_Data!A735)</f>
        <v>East-C1027-1734</v>
      </c>
      <c r="U735" t="str">
        <f t="shared" si="114"/>
        <v>High Value</v>
      </c>
      <c r="V735" t="str" cm="1">
        <f t="array" ref="V735">_xlfn.IFS(R735&gt;=100000,"Excellent",R735&gt;=50000,"Good",R735&gt;=20000,"Average",TRUE,"Poor")</f>
        <v>Excellent</v>
      </c>
      <c r="W735">
        <f t="shared" si="115"/>
        <v>4</v>
      </c>
      <c r="X735" t="str">
        <f t="shared" si="116"/>
        <v>December</v>
      </c>
      <c r="Y735">
        <f>HLOOKUP("Q"&amp;W735,Bonus_HLookup!$A$1:$E$2,2,FALSE)</f>
        <v>0.08</v>
      </c>
      <c r="Z735">
        <f t="shared" si="117"/>
        <v>29695.05</v>
      </c>
      <c r="AA735" s="1">
        <f t="shared" si="118"/>
        <v>4366.1758822479187</v>
      </c>
      <c r="AB735">
        <f t="shared" si="119"/>
        <v>24</v>
      </c>
    </row>
    <row r="736" spans="1:28" x14ac:dyDescent="0.3">
      <c r="A736">
        <v>1735</v>
      </c>
      <c r="B736" t="s">
        <v>273</v>
      </c>
      <c r="C736" t="s">
        <v>30</v>
      </c>
      <c r="D736" t="s">
        <v>14</v>
      </c>
      <c r="E736" t="s">
        <v>112</v>
      </c>
      <c r="F736" t="s">
        <v>42</v>
      </c>
      <c r="G736">
        <v>1</v>
      </c>
      <c r="H736">
        <v>8000</v>
      </c>
      <c r="I736">
        <v>0</v>
      </c>
      <c r="J736">
        <v>379407</v>
      </c>
      <c r="K736">
        <v>10</v>
      </c>
      <c r="L736">
        <v>1</v>
      </c>
      <c r="M736" t="str">
        <f>VLOOKUP(Sales_Data!F736,Product_Master!$A$2:$D$11,2)</f>
        <v>Printer</v>
      </c>
      <c r="N736" t="str">
        <f>VLOOKUP(F736,Product_Master!$A$2:$C$11,3)</f>
        <v>Electronics</v>
      </c>
      <c r="O736">
        <f>VLOOKUP(F736,Product_Master!$A$2:$D$11,4,FALSE)</f>
        <v>6500</v>
      </c>
      <c r="P736">
        <f t="shared" si="110"/>
        <v>8000</v>
      </c>
      <c r="Q736">
        <f t="shared" si="111"/>
        <v>0</v>
      </c>
      <c r="R736">
        <f t="shared" si="112"/>
        <v>8000</v>
      </c>
      <c r="S736">
        <f t="shared" si="113"/>
        <v>1500</v>
      </c>
      <c r="T736" t="str">
        <f>_xlfn.CONCAT(Sales_Data!C736,"-",Sales_Data!E736,"-",Sales_Data!A736)</f>
        <v>South-C1048-1735</v>
      </c>
      <c r="U736" t="str">
        <f t="shared" si="114"/>
        <v>Regular</v>
      </c>
      <c r="V736" t="str" cm="1">
        <f t="array" ref="V736">_xlfn.IFS(R736&gt;=100000,"Excellent",R736&gt;=50000,"Good",R736&gt;=20000,"Average",TRUE,"Poor")</f>
        <v>Poor</v>
      </c>
      <c r="W736">
        <f t="shared" si="115"/>
        <v>1</v>
      </c>
      <c r="X736" t="str">
        <f t="shared" si="116"/>
        <v>March</v>
      </c>
      <c r="Y736">
        <f>HLOOKUP("Q"&amp;W736,Bonus_HLookup!$A$1:$E$2,2,FALSE)</f>
        <v>0.02</v>
      </c>
      <c r="Z736">
        <f t="shared" si="117"/>
        <v>37940.699999999997</v>
      </c>
      <c r="AA736" s="1">
        <f t="shared" si="118"/>
        <v>33355.903026276254</v>
      </c>
      <c r="AB736">
        <f t="shared" si="119"/>
        <v>687</v>
      </c>
    </row>
    <row r="737" spans="1:28" x14ac:dyDescent="0.3">
      <c r="A737">
        <v>1736</v>
      </c>
      <c r="B737" t="s">
        <v>55</v>
      </c>
      <c r="C737" t="s">
        <v>62</v>
      </c>
      <c r="D737" t="s">
        <v>33</v>
      </c>
      <c r="E737" t="s">
        <v>165</v>
      </c>
      <c r="F737" t="s">
        <v>21</v>
      </c>
      <c r="G737">
        <v>6</v>
      </c>
      <c r="H737">
        <v>12000</v>
      </c>
      <c r="I737">
        <v>12</v>
      </c>
      <c r="J737">
        <v>139770</v>
      </c>
      <c r="K737">
        <v>9</v>
      </c>
      <c r="L737">
        <v>5</v>
      </c>
      <c r="M737" t="str">
        <f>VLOOKUP(Sales_Data!F737,Product_Master!$A$2:$D$11,2)</f>
        <v>Monitor</v>
      </c>
      <c r="N737" t="str">
        <f>VLOOKUP(F737,Product_Master!$A$2:$C$11,3)</f>
        <v>Electronics</v>
      </c>
      <c r="O737">
        <f>VLOOKUP(F737,Product_Master!$A$2:$D$11,4,FALSE)</f>
        <v>9000</v>
      </c>
      <c r="P737">
        <f t="shared" si="110"/>
        <v>72000</v>
      </c>
      <c r="Q737">
        <f t="shared" si="111"/>
        <v>8640</v>
      </c>
      <c r="R737">
        <f t="shared" si="112"/>
        <v>63360</v>
      </c>
      <c r="S737">
        <f t="shared" si="113"/>
        <v>9360</v>
      </c>
      <c r="T737" t="str">
        <f>_xlfn.CONCAT(Sales_Data!C737,"-",Sales_Data!E737,"-",Sales_Data!A737)</f>
        <v>East-C1042-1736</v>
      </c>
      <c r="U737" t="str">
        <f t="shared" si="114"/>
        <v>High Value</v>
      </c>
      <c r="V737" t="str" cm="1">
        <f t="array" ref="V737">_xlfn.IFS(R737&gt;=100000,"Excellent",R737&gt;=50000,"Good",R737&gt;=20000,"Average",TRUE,"Poor")</f>
        <v>Good</v>
      </c>
      <c r="W737">
        <f t="shared" si="115"/>
        <v>1</v>
      </c>
      <c r="X737" t="str">
        <f t="shared" si="116"/>
        <v>February</v>
      </c>
      <c r="Y737">
        <f>HLOOKUP("Q"&amp;W737,Bonus_HLookup!$A$1:$E$2,2,FALSE)</f>
        <v>0.02</v>
      </c>
      <c r="Z737">
        <f t="shared" si="117"/>
        <v>62896.5</v>
      </c>
      <c r="AA737" s="1">
        <f t="shared" si="118"/>
        <v>2901.3953099874998</v>
      </c>
      <c r="AB737">
        <f t="shared" si="119"/>
        <v>240</v>
      </c>
    </row>
    <row r="738" spans="1:28" x14ac:dyDescent="0.3">
      <c r="A738">
        <v>1737</v>
      </c>
      <c r="B738" t="s">
        <v>399</v>
      </c>
      <c r="C738" t="s">
        <v>13</v>
      </c>
      <c r="D738" t="s">
        <v>50</v>
      </c>
      <c r="E738" t="s">
        <v>85</v>
      </c>
      <c r="F738" t="s">
        <v>74</v>
      </c>
      <c r="G738">
        <v>5</v>
      </c>
      <c r="H738">
        <v>35000</v>
      </c>
      <c r="I738">
        <v>5</v>
      </c>
      <c r="J738">
        <v>150975</v>
      </c>
      <c r="K738">
        <v>8</v>
      </c>
      <c r="L738">
        <v>5</v>
      </c>
      <c r="M738" t="str">
        <f>VLOOKUP(Sales_Data!F738,Product_Master!$A$2:$D$11,2)</f>
        <v>Tablet</v>
      </c>
      <c r="N738" t="str">
        <f>VLOOKUP(F738,Product_Master!$A$2:$C$11,3)</f>
        <v>Electronics</v>
      </c>
      <c r="O738">
        <f>VLOOKUP(F738,Product_Master!$A$2:$D$11,4,FALSE)</f>
        <v>29000</v>
      </c>
      <c r="P738">
        <f t="shared" si="110"/>
        <v>175000</v>
      </c>
      <c r="Q738">
        <f t="shared" si="111"/>
        <v>8750</v>
      </c>
      <c r="R738">
        <f t="shared" si="112"/>
        <v>166250</v>
      </c>
      <c r="S738">
        <f t="shared" si="113"/>
        <v>21250</v>
      </c>
      <c r="T738" t="str">
        <f>_xlfn.CONCAT(Sales_Data!C738,"-",Sales_Data!E738,"-",Sales_Data!A738)</f>
        <v>West-C1005-1737</v>
      </c>
      <c r="U738" t="str">
        <f t="shared" si="114"/>
        <v>High Value</v>
      </c>
      <c r="V738" t="str" cm="1">
        <f t="array" ref="V738">_xlfn.IFS(R738&gt;=100000,"Excellent",R738&gt;=50000,"Good",R738&gt;=20000,"Average",TRUE,"Poor")</f>
        <v>Excellent</v>
      </c>
      <c r="W738">
        <f t="shared" si="115"/>
        <v>2</v>
      </c>
      <c r="X738" t="str">
        <f t="shared" si="116"/>
        <v>April</v>
      </c>
      <c r="Y738">
        <f>HLOOKUP("Q"&amp;W738,Bonus_HLookup!$A$1:$E$2,2,FALSE)</f>
        <v>0.04</v>
      </c>
      <c r="Z738">
        <f t="shared" si="117"/>
        <v>60390</v>
      </c>
      <c r="AA738" s="1">
        <f t="shared" si="118"/>
        <v>3061.2286276932555</v>
      </c>
      <c r="AB738">
        <f t="shared" si="119"/>
        <v>122</v>
      </c>
    </row>
    <row r="739" spans="1:28" x14ac:dyDescent="0.3">
      <c r="A739">
        <v>1738</v>
      </c>
      <c r="B739" t="s">
        <v>254</v>
      </c>
      <c r="C739" t="s">
        <v>18</v>
      </c>
      <c r="D739" t="s">
        <v>91</v>
      </c>
      <c r="E739" t="s">
        <v>112</v>
      </c>
      <c r="F739" t="s">
        <v>52</v>
      </c>
      <c r="G739">
        <v>1</v>
      </c>
      <c r="H739">
        <v>500</v>
      </c>
      <c r="I739">
        <v>8</v>
      </c>
      <c r="J739">
        <v>140344</v>
      </c>
      <c r="K739">
        <v>12</v>
      </c>
      <c r="L739">
        <v>1</v>
      </c>
      <c r="M739" t="str">
        <f>VLOOKUP(Sales_Data!F739,Product_Master!$A$2:$D$11,2)</f>
        <v>Mouse</v>
      </c>
      <c r="N739" t="str">
        <f>VLOOKUP(F739,Product_Master!$A$2:$C$11,3)</f>
        <v>Accessories</v>
      </c>
      <c r="O739">
        <f>VLOOKUP(F739,Product_Master!$A$2:$D$11,4,FALSE)</f>
        <v>350</v>
      </c>
      <c r="P739">
        <f t="shared" si="110"/>
        <v>500</v>
      </c>
      <c r="Q739">
        <f t="shared" si="111"/>
        <v>40</v>
      </c>
      <c r="R739">
        <f t="shared" si="112"/>
        <v>460</v>
      </c>
      <c r="S739">
        <f t="shared" si="113"/>
        <v>110</v>
      </c>
      <c r="T739" t="str">
        <f>_xlfn.CONCAT(Sales_Data!C739,"-",Sales_Data!E739,"-",Sales_Data!A739)</f>
        <v>North-C1048-1738</v>
      </c>
      <c r="U739" t="str">
        <f t="shared" si="114"/>
        <v>Regular</v>
      </c>
      <c r="V739" t="str" cm="1">
        <f t="array" ref="V739">_xlfn.IFS(R739&gt;=100000,"Excellent",R739&gt;=50000,"Good",R739&gt;=20000,"Average",TRUE,"Poor")</f>
        <v>Poor</v>
      </c>
      <c r="W739">
        <f t="shared" si="115"/>
        <v>3</v>
      </c>
      <c r="X739" t="str">
        <f t="shared" si="116"/>
        <v>August</v>
      </c>
      <c r="Y739">
        <f>HLOOKUP("Q"&amp;W739,Bonus_HLookup!$A$1:$E$2,2,FALSE)</f>
        <v>0.06</v>
      </c>
      <c r="Z739">
        <f t="shared" si="117"/>
        <v>16841.28</v>
      </c>
      <c r="AA739" s="1">
        <f t="shared" si="118"/>
        <v>12469.394398273185</v>
      </c>
      <c r="AB739">
        <f t="shared" si="119"/>
        <v>996</v>
      </c>
    </row>
    <row r="740" spans="1:28" x14ac:dyDescent="0.3">
      <c r="A740">
        <v>1739</v>
      </c>
      <c r="B740" t="s">
        <v>371</v>
      </c>
      <c r="C740" t="s">
        <v>18</v>
      </c>
      <c r="D740" t="s">
        <v>14</v>
      </c>
      <c r="E740" t="s">
        <v>82</v>
      </c>
      <c r="F740" t="s">
        <v>52</v>
      </c>
      <c r="G740">
        <v>7</v>
      </c>
      <c r="H740">
        <v>500</v>
      </c>
      <c r="I740">
        <v>0</v>
      </c>
      <c r="J740">
        <v>87685</v>
      </c>
      <c r="K740">
        <v>10</v>
      </c>
      <c r="L740">
        <v>3</v>
      </c>
      <c r="M740" t="str">
        <f>VLOOKUP(Sales_Data!F740,Product_Master!$A$2:$D$11,2)</f>
        <v>Mouse</v>
      </c>
      <c r="N740" t="str">
        <f>VLOOKUP(F740,Product_Master!$A$2:$C$11,3)</f>
        <v>Accessories</v>
      </c>
      <c r="O740">
        <f>VLOOKUP(F740,Product_Master!$A$2:$D$11,4,FALSE)</f>
        <v>350</v>
      </c>
      <c r="P740">
        <f t="shared" si="110"/>
        <v>3500</v>
      </c>
      <c r="Q740">
        <f t="shared" si="111"/>
        <v>0</v>
      </c>
      <c r="R740">
        <f t="shared" si="112"/>
        <v>3500</v>
      </c>
      <c r="S740">
        <f t="shared" si="113"/>
        <v>1050</v>
      </c>
      <c r="T740" t="str">
        <f>_xlfn.CONCAT(Sales_Data!C740,"-",Sales_Data!E740,"-",Sales_Data!A740)</f>
        <v>North-C1045-1739</v>
      </c>
      <c r="U740" t="str">
        <f t="shared" si="114"/>
        <v>Regular</v>
      </c>
      <c r="V740" t="str" cm="1">
        <f t="array" ref="V740">_xlfn.IFS(R740&gt;=100000,"Excellent",R740&gt;=50000,"Good",R740&gt;=20000,"Average",TRUE,"Poor")</f>
        <v>Poor</v>
      </c>
      <c r="W740">
        <f t="shared" si="115"/>
        <v>4</v>
      </c>
      <c r="X740" t="str">
        <f t="shared" si="116"/>
        <v>December</v>
      </c>
      <c r="Y740">
        <f>HLOOKUP("Q"&amp;W740,Bonus_HLookup!$A$1:$E$2,2,FALSE)</f>
        <v>0.08</v>
      </c>
      <c r="Z740">
        <f t="shared" si="117"/>
        <v>26305.5</v>
      </c>
      <c r="AA740" s="1">
        <f t="shared" si="118"/>
        <v>2829.3483090916402</v>
      </c>
      <c r="AB740">
        <f t="shared" si="119"/>
        <v>865</v>
      </c>
    </row>
    <row r="741" spans="1:28" x14ac:dyDescent="0.3">
      <c r="A741">
        <v>1740</v>
      </c>
      <c r="B741" t="s">
        <v>400</v>
      </c>
      <c r="C741" t="s">
        <v>62</v>
      </c>
      <c r="D741" t="s">
        <v>14</v>
      </c>
      <c r="E741" t="s">
        <v>106</v>
      </c>
      <c r="F741" t="s">
        <v>28</v>
      </c>
      <c r="G741">
        <v>5</v>
      </c>
      <c r="H741">
        <v>950</v>
      </c>
      <c r="I741">
        <v>10</v>
      </c>
      <c r="J741">
        <v>458644</v>
      </c>
      <c r="K741">
        <v>12</v>
      </c>
      <c r="L741">
        <v>3</v>
      </c>
      <c r="M741" t="str">
        <f>VLOOKUP(Sales_Data!F741,Product_Master!$A$2:$D$11,2)</f>
        <v>Webcam</v>
      </c>
      <c r="N741" t="str">
        <f>VLOOKUP(F741,Product_Master!$A$2:$C$11,3)</f>
        <v>Accessories</v>
      </c>
      <c r="O741">
        <f>VLOOKUP(F741,Product_Master!$A$2:$D$11,4,FALSE)</f>
        <v>700</v>
      </c>
      <c r="P741">
        <f t="shared" si="110"/>
        <v>4750</v>
      </c>
      <c r="Q741">
        <f t="shared" si="111"/>
        <v>475</v>
      </c>
      <c r="R741">
        <f t="shared" si="112"/>
        <v>4275</v>
      </c>
      <c r="S741">
        <f t="shared" si="113"/>
        <v>775</v>
      </c>
      <c r="T741" t="str">
        <f>_xlfn.CONCAT(Sales_Data!C741,"-",Sales_Data!E741,"-",Sales_Data!A741)</f>
        <v>East-C1004-1740</v>
      </c>
      <c r="U741" t="str">
        <f t="shared" si="114"/>
        <v>Regular</v>
      </c>
      <c r="V741" t="str" cm="1">
        <f t="array" ref="V741">_xlfn.IFS(R741&gt;=100000,"Excellent",R741&gt;=50000,"Good",R741&gt;=20000,"Average",TRUE,"Poor")</f>
        <v>Poor</v>
      </c>
      <c r="W741">
        <f t="shared" si="115"/>
        <v>1</v>
      </c>
      <c r="X741" t="str">
        <f t="shared" si="116"/>
        <v>March</v>
      </c>
      <c r="Y741">
        <f>HLOOKUP("Q"&amp;W741,Bonus_HLookup!$A$1:$E$2,2,FALSE)</f>
        <v>0.02</v>
      </c>
      <c r="Z741">
        <f t="shared" si="117"/>
        <v>165111.84</v>
      </c>
      <c r="AA741" s="1">
        <f t="shared" si="118"/>
        <v>15233.543909805321</v>
      </c>
      <c r="AB741">
        <f t="shared" si="119"/>
        <v>819</v>
      </c>
    </row>
    <row r="742" spans="1:28" x14ac:dyDescent="0.3">
      <c r="A742">
        <v>1741</v>
      </c>
      <c r="B742" t="s">
        <v>225</v>
      </c>
      <c r="C742" t="s">
        <v>13</v>
      </c>
      <c r="D742" t="s">
        <v>46</v>
      </c>
      <c r="E742" t="s">
        <v>34</v>
      </c>
      <c r="F742" t="s">
        <v>69</v>
      </c>
      <c r="G742">
        <v>5</v>
      </c>
      <c r="H742">
        <v>2000</v>
      </c>
      <c r="I742">
        <v>2</v>
      </c>
      <c r="J742">
        <v>225427</v>
      </c>
      <c r="K742">
        <v>12</v>
      </c>
      <c r="L742">
        <v>2</v>
      </c>
      <c r="M742" t="str">
        <f>VLOOKUP(Sales_Data!F742,Product_Master!$A$2:$D$11,2)</f>
        <v>Headset</v>
      </c>
      <c r="N742" t="str">
        <f>VLOOKUP(F742,Product_Master!$A$2:$C$11,3)</f>
        <v>Accessories</v>
      </c>
      <c r="O742">
        <f>VLOOKUP(F742,Product_Master!$A$2:$D$11,4,FALSE)</f>
        <v>1500</v>
      </c>
      <c r="P742">
        <f t="shared" si="110"/>
        <v>10000</v>
      </c>
      <c r="Q742">
        <f t="shared" si="111"/>
        <v>200</v>
      </c>
      <c r="R742">
        <f t="shared" si="112"/>
        <v>9800</v>
      </c>
      <c r="S742">
        <f t="shared" si="113"/>
        <v>2300</v>
      </c>
      <c r="T742" t="str">
        <f>_xlfn.CONCAT(Sales_Data!C742,"-",Sales_Data!E742,"-",Sales_Data!A742)</f>
        <v>West-C1036-1741</v>
      </c>
      <c r="U742" t="str">
        <f t="shared" si="114"/>
        <v>Regular</v>
      </c>
      <c r="V742" t="str" cm="1">
        <f t="array" ref="V742">_xlfn.IFS(R742&gt;=100000,"Excellent",R742&gt;=50000,"Good",R742&gt;=20000,"Average",TRUE,"Poor")</f>
        <v>Poor</v>
      </c>
      <c r="W742">
        <f t="shared" si="115"/>
        <v>3</v>
      </c>
      <c r="X742" t="str">
        <f t="shared" si="116"/>
        <v>September</v>
      </c>
      <c r="Y742">
        <f>HLOOKUP("Q"&amp;W742,Bonus_HLookup!$A$1:$E$2,2,FALSE)</f>
        <v>0.06</v>
      </c>
      <c r="Z742">
        <f t="shared" si="117"/>
        <v>54102.48</v>
      </c>
      <c r="AA742" s="1">
        <f t="shared" si="118"/>
        <v>10611.631622873892</v>
      </c>
      <c r="AB742">
        <f t="shared" si="119"/>
        <v>645</v>
      </c>
    </row>
    <row r="743" spans="1:28" x14ac:dyDescent="0.3">
      <c r="A743">
        <v>1742</v>
      </c>
      <c r="B743" t="s">
        <v>216</v>
      </c>
      <c r="C743" t="s">
        <v>62</v>
      </c>
      <c r="D743" t="s">
        <v>23</v>
      </c>
      <c r="E743" t="s">
        <v>60</v>
      </c>
      <c r="F743" t="s">
        <v>42</v>
      </c>
      <c r="G743">
        <v>3</v>
      </c>
      <c r="H743">
        <v>8000</v>
      </c>
      <c r="I743">
        <v>0</v>
      </c>
      <c r="J743">
        <v>382340</v>
      </c>
      <c r="K743">
        <v>11</v>
      </c>
      <c r="L743">
        <v>4</v>
      </c>
      <c r="M743" t="str">
        <f>VLOOKUP(Sales_Data!F743,Product_Master!$A$2:$D$11,2)</f>
        <v>Printer</v>
      </c>
      <c r="N743" t="str">
        <f>VLOOKUP(F743,Product_Master!$A$2:$C$11,3)</f>
        <v>Electronics</v>
      </c>
      <c r="O743">
        <f>VLOOKUP(F743,Product_Master!$A$2:$D$11,4,FALSE)</f>
        <v>6500</v>
      </c>
      <c r="P743">
        <f t="shared" si="110"/>
        <v>24000</v>
      </c>
      <c r="Q743">
        <f t="shared" si="111"/>
        <v>0</v>
      </c>
      <c r="R743">
        <f t="shared" si="112"/>
        <v>24000</v>
      </c>
      <c r="S743">
        <f t="shared" si="113"/>
        <v>4500</v>
      </c>
      <c r="T743" t="str">
        <f>_xlfn.CONCAT(Sales_Data!C743,"-",Sales_Data!E743,"-",Sales_Data!A743)</f>
        <v>East-C1018-1742</v>
      </c>
      <c r="U743" t="str">
        <f t="shared" si="114"/>
        <v>Regular</v>
      </c>
      <c r="V743" t="str" cm="1">
        <f t="array" ref="V743">_xlfn.IFS(R743&gt;=100000,"Excellent",R743&gt;=50000,"Good",R743&gt;=20000,"Average",TRUE,"Poor")</f>
        <v>Average</v>
      </c>
      <c r="W743">
        <f t="shared" si="115"/>
        <v>1</v>
      </c>
      <c r="X743" t="str">
        <f t="shared" si="116"/>
        <v>February</v>
      </c>
      <c r="Y743">
        <f>HLOOKUP("Q"&amp;W743,Bonus_HLookup!$A$1:$E$2,2,FALSE)</f>
        <v>0.02</v>
      </c>
      <c r="Z743">
        <f t="shared" si="117"/>
        <v>168229.6</v>
      </c>
      <c r="AA743" s="1">
        <f t="shared" si="118"/>
        <v>9881.7771152628684</v>
      </c>
      <c r="AB743">
        <f t="shared" si="119"/>
        <v>403</v>
      </c>
    </row>
    <row r="744" spans="1:28" x14ac:dyDescent="0.3">
      <c r="A744">
        <v>1743</v>
      </c>
      <c r="B744" t="s">
        <v>401</v>
      </c>
      <c r="C744" t="s">
        <v>13</v>
      </c>
      <c r="D744" t="s">
        <v>19</v>
      </c>
      <c r="E744" t="s">
        <v>183</v>
      </c>
      <c r="F744" t="s">
        <v>74</v>
      </c>
      <c r="G744">
        <v>5</v>
      </c>
      <c r="H744">
        <v>35000</v>
      </c>
      <c r="I744">
        <v>0</v>
      </c>
      <c r="J744">
        <v>431316</v>
      </c>
      <c r="K744">
        <v>8</v>
      </c>
      <c r="L744">
        <v>1</v>
      </c>
      <c r="M744" t="str">
        <f>VLOOKUP(Sales_Data!F744,Product_Master!$A$2:$D$11,2)</f>
        <v>Tablet</v>
      </c>
      <c r="N744" t="str">
        <f>VLOOKUP(F744,Product_Master!$A$2:$C$11,3)</f>
        <v>Electronics</v>
      </c>
      <c r="O744">
        <f>VLOOKUP(F744,Product_Master!$A$2:$D$11,4,FALSE)</f>
        <v>29000</v>
      </c>
      <c r="P744">
        <f t="shared" si="110"/>
        <v>175000</v>
      </c>
      <c r="Q744">
        <f t="shared" si="111"/>
        <v>0</v>
      </c>
      <c r="R744">
        <f t="shared" si="112"/>
        <v>175000</v>
      </c>
      <c r="S744">
        <f t="shared" si="113"/>
        <v>30000</v>
      </c>
      <c r="T744" t="str">
        <f>_xlfn.CONCAT(Sales_Data!C744,"-",Sales_Data!E744,"-",Sales_Data!A744)</f>
        <v>West-C1008-1743</v>
      </c>
      <c r="U744" t="str">
        <f t="shared" si="114"/>
        <v>High Value</v>
      </c>
      <c r="V744" t="str" cm="1">
        <f t="array" ref="V744">_xlfn.IFS(R744&gt;=100000,"Excellent",R744&gt;=50000,"Good",R744&gt;=20000,"Average",TRUE,"Poor")</f>
        <v>Excellent</v>
      </c>
      <c r="W744">
        <f t="shared" si="115"/>
        <v>4</v>
      </c>
      <c r="X744" t="str">
        <f t="shared" si="116"/>
        <v>November</v>
      </c>
      <c r="Y744">
        <f>HLOOKUP("Q"&amp;W744,Bonus_HLookup!$A$1:$E$2,2,FALSE)</f>
        <v>0.08</v>
      </c>
      <c r="Z744">
        <f t="shared" si="117"/>
        <v>34505.279999999999</v>
      </c>
      <c r="AA744" s="1">
        <f t="shared" si="118"/>
        <v>37519.501279407472</v>
      </c>
      <c r="AB744">
        <f t="shared" si="119"/>
        <v>120</v>
      </c>
    </row>
    <row r="745" spans="1:28" x14ac:dyDescent="0.3">
      <c r="A745">
        <v>1744</v>
      </c>
      <c r="B745" t="s">
        <v>266</v>
      </c>
      <c r="C745" t="s">
        <v>30</v>
      </c>
      <c r="D745" t="s">
        <v>19</v>
      </c>
      <c r="E745" t="s">
        <v>34</v>
      </c>
      <c r="F745" t="s">
        <v>28</v>
      </c>
      <c r="G745">
        <v>7</v>
      </c>
      <c r="H745">
        <v>950</v>
      </c>
      <c r="I745">
        <v>8</v>
      </c>
      <c r="J745">
        <v>152167</v>
      </c>
      <c r="K745">
        <v>10</v>
      </c>
      <c r="L745">
        <v>5</v>
      </c>
      <c r="M745" t="str">
        <f>VLOOKUP(Sales_Data!F745,Product_Master!$A$2:$D$11,2)</f>
        <v>Webcam</v>
      </c>
      <c r="N745" t="str">
        <f>VLOOKUP(F745,Product_Master!$A$2:$C$11,3)</f>
        <v>Accessories</v>
      </c>
      <c r="O745">
        <f>VLOOKUP(F745,Product_Master!$A$2:$D$11,4,FALSE)</f>
        <v>700</v>
      </c>
      <c r="P745">
        <f t="shared" si="110"/>
        <v>6650</v>
      </c>
      <c r="Q745">
        <f t="shared" si="111"/>
        <v>532</v>
      </c>
      <c r="R745">
        <f t="shared" si="112"/>
        <v>6118</v>
      </c>
      <c r="S745">
        <f t="shared" si="113"/>
        <v>1218</v>
      </c>
      <c r="T745" t="str">
        <f>_xlfn.CONCAT(Sales_Data!C745,"-",Sales_Data!E745,"-",Sales_Data!A745)</f>
        <v>South-C1036-1744</v>
      </c>
      <c r="U745" t="str">
        <f t="shared" si="114"/>
        <v>Regular</v>
      </c>
      <c r="V745" t="str" cm="1">
        <f t="array" ref="V745">_xlfn.IFS(R745&gt;=100000,"Excellent",R745&gt;=50000,"Good",R745&gt;=20000,"Average",TRUE,"Poor")</f>
        <v>Poor</v>
      </c>
      <c r="W745">
        <f t="shared" si="115"/>
        <v>1</v>
      </c>
      <c r="X745" t="str">
        <f t="shared" si="116"/>
        <v>February</v>
      </c>
      <c r="Y745">
        <f>HLOOKUP("Q"&amp;W745,Bonus_HLookup!$A$1:$E$2,2,FALSE)</f>
        <v>0.02</v>
      </c>
      <c r="Z745">
        <f t="shared" si="117"/>
        <v>76083.5</v>
      </c>
      <c r="AA745" s="1">
        <f t="shared" si="118"/>
        <v>3233.0990525795596</v>
      </c>
      <c r="AB745">
        <f t="shared" si="119"/>
        <v>758</v>
      </c>
    </row>
    <row r="746" spans="1:28" x14ac:dyDescent="0.3">
      <c r="A746">
        <v>1745</v>
      </c>
      <c r="B746" t="s">
        <v>402</v>
      </c>
      <c r="C746" t="s">
        <v>18</v>
      </c>
      <c r="D746" t="s">
        <v>33</v>
      </c>
      <c r="E746" t="s">
        <v>108</v>
      </c>
      <c r="F746" t="s">
        <v>69</v>
      </c>
      <c r="G746">
        <v>10</v>
      </c>
      <c r="H746">
        <v>2000</v>
      </c>
      <c r="I746">
        <v>8</v>
      </c>
      <c r="J746">
        <v>310103</v>
      </c>
      <c r="K746">
        <v>11</v>
      </c>
      <c r="L746">
        <v>3</v>
      </c>
      <c r="M746" t="str">
        <f>VLOOKUP(Sales_Data!F746,Product_Master!$A$2:$D$11,2)</f>
        <v>Headset</v>
      </c>
      <c r="N746" t="str">
        <f>VLOOKUP(F746,Product_Master!$A$2:$C$11,3)</f>
        <v>Accessories</v>
      </c>
      <c r="O746">
        <f>VLOOKUP(F746,Product_Master!$A$2:$D$11,4,FALSE)</f>
        <v>1500</v>
      </c>
      <c r="P746">
        <f t="shared" si="110"/>
        <v>20000</v>
      </c>
      <c r="Q746">
        <f t="shared" si="111"/>
        <v>1600</v>
      </c>
      <c r="R746">
        <f t="shared" si="112"/>
        <v>18400</v>
      </c>
      <c r="S746">
        <f t="shared" si="113"/>
        <v>3400</v>
      </c>
      <c r="T746" t="str">
        <f>_xlfn.CONCAT(Sales_Data!C746,"-",Sales_Data!E746,"-",Sales_Data!A746)</f>
        <v>North-C1031-1745</v>
      </c>
      <c r="U746" t="str">
        <f t="shared" si="114"/>
        <v>Regular</v>
      </c>
      <c r="V746" t="str" cm="1">
        <f t="array" ref="V746">_xlfn.IFS(R746&gt;=100000,"Excellent",R746&gt;=50000,"Good",R746&gt;=20000,"Average",TRUE,"Poor")</f>
        <v>Poor</v>
      </c>
      <c r="W746">
        <f t="shared" si="115"/>
        <v>3</v>
      </c>
      <c r="X746" t="str">
        <f t="shared" si="116"/>
        <v>September</v>
      </c>
      <c r="Y746">
        <f>HLOOKUP("Q"&amp;W746,Bonus_HLookup!$A$1:$E$2,2,FALSE)</f>
        <v>0.06</v>
      </c>
      <c r="Z746">
        <f t="shared" si="117"/>
        <v>102333.99</v>
      </c>
      <c r="AA746" s="1">
        <f t="shared" si="118"/>
        <v>10152.374394133683</v>
      </c>
      <c r="AB746">
        <f t="shared" si="119"/>
        <v>473</v>
      </c>
    </row>
    <row r="747" spans="1:28" x14ac:dyDescent="0.3">
      <c r="A747">
        <v>1746</v>
      </c>
      <c r="B747" t="s">
        <v>237</v>
      </c>
      <c r="C747" t="s">
        <v>18</v>
      </c>
      <c r="D747" t="s">
        <v>33</v>
      </c>
      <c r="E747" t="s">
        <v>165</v>
      </c>
      <c r="F747" t="s">
        <v>36</v>
      </c>
      <c r="G747">
        <v>10</v>
      </c>
      <c r="H747">
        <v>55000</v>
      </c>
      <c r="I747">
        <v>12</v>
      </c>
      <c r="J747">
        <v>399257</v>
      </c>
      <c r="K747">
        <v>12</v>
      </c>
      <c r="L747">
        <v>3</v>
      </c>
      <c r="M747" t="str">
        <f>VLOOKUP(Sales_Data!F747,Product_Master!$A$2:$D$11,2)</f>
        <v>Laptop</v>
      </c>
      <c r="N747" t="str">
        <f>VLOOKUP(F747,Product_Master!$A$2:$C$11,3)</f>
        <v>Electronics</v>
      </c>
      <c r="O747">
        <f>VLOOKUP(F747,Product_Master!$A$2:$D$11,4,FALSE)</f>
        <v>45000</v>
      </c>
      <c r="P747">
        <f t="shared" si="110"/>
        <v>550000</v>
      </c>
      <c r="Q747">
        <f t="shared" si="111"/>
        <v>66000</v>
      </c>
      <c r="R747">
        <f t="shared" si="112"/>
        <v>484000</v>
      </c>
      <c r="S747">
        <f t="shared" si="113"/>
        <v>34000</v>
      </c>
      <c r="T747" t="str">
        <f>_xlfn.CONCAT(Sales_Data!C747,"-",Sales_Data!E747,"-",Sales_Data!A747)</f>
        <v>North-C1042-1746</v>
      </c>
      <c r="U747" t="str">
        <f t="shared" si="114"/>
        <v>High Value</v>
      </c>
      <c r="V747" t="str" cm="1">
        <f t="array" ref="V747">_xlfn.IFS(R747&gt;=100000,"Excellent",R747&gt;=50000,"Good",R747&gt;=20000,"Average",TRUE,"Poor")</f>
        <v>Excellent</v>
      </c>
      <c r="W747">
        <f t="shared" si="115"/>
        <v>2</v>
      </c>
      <c r="X747" t="str">
        <f t="shared" si="116"/>
        <v>April</v>
      </c>
      <c r="Y747">
        <f>HLOOKUP("Q"&amp;W747,Bonus_HLookup!$A$1:$E$2,2,FALSE)</f>
        <v>0.04</v>
      </c>
      <c r="Z747">
        <f t="shared" si="117"/>
        <v>143732.51999999999</v>
      </c>
      <c r="AA747" s="1">
        <f t="shared" si="118"/>
        <v>13261.045692949529</v>
      </c>
      <c r="AB747">
        <f t="shared" si="119"/>
        <v>10</v>
      </c>
    </row>
    <row r="748" spans="1:28" x14ac:dyDescent="0.3">
      <c r="A748">
        <v>1747</v>
      </c>
      <c r="B748" t="s">
        <v>403</v>
      </c>
      <c r="C748" t="s">
        <v>13</v>
      </c>
      <c r="D748" t="s">
        <v>14</v>
      </c>
      <c r="E748" t="s">
        <v>41</v>
      </c>
      <c r="F748" t="s">
        <v>21</v>
      </c>
      <c r="G748">
        <v>7</v>
      </c>
      <c r="H748">
        <v>12000</v>
      </c>
      <c r="I748">
        <v>12</v>
      </c>
      <c r="J748">
        <v>292127</v>
      </c>
      <c r="K748">
        <v>12</v>
      </c>
      <c r="L748">
        <v>2</v>
      </c>
      <c r="M748" t="str">
        <f>VLOOKUP(Sales_Data!F748,Product_Master!$A$2:$D$11,2)</f>
        <v>Monitor</v>
      </c>
      <c r="N748" t="str">
        <f>VLOOKUP(F748,Product_Master!$A$2:$C$11,3)</f>
        <v>Electronics</v>
      </c>
      <c r="O748">
        <f>VLOOKUP(F748,Product_Master!$A$2:$D$11,4,FALSE)</f>
        <v>9000</v>
      </c>
      <c r="P748">
        <f t="shared" si="110"/>
        <v>84000</v>
      </c>
      <c r="Q748">
        <f t="shared" si="111"/>
        <v>10080</v>
      </c>
      <c r="R748">
        <f t="shared" si="112"/>
        <v>73920</v>
      </c>
      <c r="S748">
        <f t="shared" si="113"/>
        <v>10920</v>
      </c>
      <c r="T748" t="str">
        <f>_xlfn.CONCAT(Sales_Data!C748,"-",Sales_Data!E748,"-",Sales_Data!A748)</f>
        <v>West-C1023-1747</v>
      </c>
      <c r="U748" t="str">
        <f t="shared" si="114"/>
        <v>High Value</v>
      </c>
      <c r="V748" t="str" cm="1">
        <f t="array" ref="V748">_xlfn.IFS(R748&gt;=100000,"Excellent",R748&gt;=50000,"Good",R748&gt;=20000,"Average",TRUE,"Poor")</f>
        <v>Good</v>
      </c>
      <c r="W748">
        <f t="shared" si="115"/>
        <v>4</v>
      </c>
      <c r="X748" t="str">
        <f t="shared" si="116"/>
        <v>October</v>
      </c>
      <c r="Y748">
        <f>HLOOKUP("Q"&amp;W748,Bonus_HLookup!$A$1:$E$2,2,FALSE)</f>
        <v>0.08</v>
      </c>
      <c r="Z748">
        <f t="shared" si="117"/>
        <v>70110.48</v>
      </c>
      <c r="AA748" s="1">
        <f t="shared" si="118"/>
        <v>13751.432220165649</v>
      </c>
      <c r="AB748">
        <f t="shared" si="119"/>
        <v>202</v>
      </c>
    </row>
    <row r="749" spans="1:28" x14ac:dyDescent="0.3">
      <c r="A749">
        <v>1748</v>
      </c>
      <c r="B749" t="s">
        <v>227</v>
      </c>
      <c r="C749" t="s">
        <v>30</v>
      </c>
      <c r="D749" t="s">
        <v>59</v>
      </c>
      <c r="E749" t="s">
        <v>47</v>
      </c>
      <c r="F749" t="s">
        <v>16</v>
      </c>
      <c r="G749">
        <v>10</v>
      </c>
      <c r="H749">
        <v>2500</v>
      </c>
      <c r="I749">
        <v>8</v>
      </c>
      <c r="J749">
        <v>51997</v>
      </c>
      <c r="K749">
        <v>8</v>
      </c>
      <c r="L749">
        <v>4</v>
      </c>
      <c r="M749" t="str">
        <f>VLOOKUP(Sales_Data!F749,Product_Master!$A$2:$D$11,2)</f>
        <v>Speaker</v>
      </c>
      <c r="N749" t="str">
        <f>VLOOKUP(F749,Product_Master!$A$2:$C$11,3)</f>
        <v>Accessories</v>
      </c>
      <c r="O749">
        <f>VLOOKUP(F749,Product_Master!$A$2:$D$11,4,FALSE)</f>
        <v>1800</v>
      </c>
      <c r="P749">
        <f t="shared" si="110"/>
        <v>25000</v>
      </c>
      <c r="Q749">
        <f t="shared" si="111"/>
        <v>2000</v>
      </c>
      <c r="R749">
        <f t="shared" si="112"/>
        <v>23000</v>
      </c>
      <c r="S749">
        <f t="shared" si="113"/>
        <v>5000</v>
      </c>
      <c r="T749" t="str">
        <f>_xlfn.CONCAT(Sales_Data!C749,"-",Sales_Data!E749,"-",Sales_Data!A749)</f>
        <v>South-C1030-1748</v>
      </c>
      <c r="U749" t="str">
        <f t="shared" si="114"/>
        <v>Regular</v>
      </c>
      <c r="V749" t="str" cm="1">
        <f t="array" ref="V749">_xlfn.IFS(R749&gt;=100000,"Excellent",R749&gt;=50000,"Good",R749&gt;=20000,"Average",TRUE,"Poor")</f>
        <v>Average</v>
      </c>
      <c r="W749">
        <f t="shared" si="115"/>
        <v>2</v>
      </c>
      <c r="X749" t="str">
        <f t="shared" si="116"/>
        <v>May</v>
      </c>
      <c r="Y749">
        <f>HLOOKUP("Q"&amp;W749,Bonus_HLookup!$A$1:$E$2,2,FALSE)</f>
        <v>0.04</v>
      </c>
      <c r="Z749">
        <f t="shared" si="117"/>
        <v>16639.04</v>
      </c>
      <c r="AA749" s="1">
        <f t="shared" si="118"/>
        <v>1269.3987229911047</v>
      </c>
      <c r="AB749">
        <f t="shared" si="119"/>
        <v>407</v>
      </c>
    </row>
    <row r="750" spans="1:28" x14ac:dyDescent="0.3">
      <c r="A750">
        <v>1749</v>
      </c>
      <c r="B750" t="s">
        <v>291</v>
      </c>
      <c r="C750" t="s">
        <v>62</v>
      </c>
      <c r="D750" t="s">
        <v>91</v>
      </c>
      <c r="E750" t="s">
        <v>38</v>
      </c>
      <c r="F750" t="s">
        <v>16</v>
      </c>
      <c r="G750">
        <v>3</v>
      </c>
      <c r="H750">
        <v>2500</v>
      </c>
      <c r="I750">
        <v>12</v>
      </c>
      <c r="J750">
        <v>347335</v>
      </c>
      <c r="K750">
        <v>7</v>
      </c>
      <c r="L750">
        <v>1</v>
      </c>
      <c r="M750" t="str">
        <f>VLOOKUP(Sales_Data!F750,Product_Master!$A$2:$D$11,2)</f>
        <v>Speaker</v>
      </c>
      <c r="N750" t="str">
        <f>VLOOKUP(F750,Product_Master!$A$2:$C$11,3)</f>
        <v>Accessories</v>
      </c>
      <c r="O750">
        <f>VLOOKUP(F750,Product_Master!$A$2:$D$11,4,FALSE)</f>
        <v>1800</v>
      </c>
      <c r="P750">
        <f t="shared" si="110"/>
        <v>7500</v>
      </c>
      <c r="Q750">
        <f t="shared" si="111"/>
        <v>900</v>
      </c>
      <c r="R750">
        <f t="shared" si="112"/>
        <v>6600</v>
      </c>
      <c r="S750">
        <f t="shared" si="113"/>
        <v>1200</v>
      </c>
      <c r="T750" t="str">
        <f>_xlfn.CONCAT(Sales_Data!C750,"-",Sales_Data!E750,"-",Sales_Data!A750)</f>
        <v>East-C1009-1749</v>
      </c>
      <c r="U750" t="str">
        <f t="shared" si="114"/>
        <v>Regular</v>
      </c>
      <c r="V750" t="str" cm="1">
        <f t="array" ref="V750">_xlfn.IFS(R750&gt;=100000,"Excellent",R750&gt;=50000,"Good",R750&gt;=20000,"Average",TRUE,"Poor")</f>
        <v>Poor</v>
      </c>
      <c r="W750">
        <f t="shared" si="115"/>
        <v>1</v>
      </c>
      <c r="X750" t="str">
        <f t="shared" si="116"/>
        <v>March</v>
      </c>
      <c r="Y750">
        <f>HLOOKUP("Q"&amp;W750,Bonus_HLookup!$A$1:$E$2,2,FALSE)</f>
        <v>0.02</v>
      </c>
      <c r="Z750">
        <f t="shared" si="117"/>
        <v>24313.45</v>
      </c>
      <c r="AA750" s="1">
        <f t="shared" si="118"/>
        <v>30053.767355996781</v>
      </c>
      <c r="AB750">
        <f t="shared" si="119"/>
        <v>738</v>
      </c>
    </row>
    <row r="751" spans="1:28" x14ac:dyDescent="0.3">
      <c r="A751">
        <v>1750</v>
      </c>
      <c r="B751" t="s">
        <v>26</v>
      </c>
      <c r="C751" t="s">
        <v>13</v>
      </c>
      <c r="D751" t="s">
        <v>14</v>
      </c>
      <c r="E751" t="s">
        <v>24</v>
      </c>
      <c r="F751" t="s">
        <v>52</v>
      </c>
      <c r="G751">
        <v>9</v>
      </c>
      <c r="H751">
        <v>500</v>
      </c>
      <c r="I751">
        <v>0</v>
      </c>
      <c r="J751">
        <v>95157</v>
      </c>
      <c r="K751">
        <v>11</v>
      </c>
      <c r="L751">
        <v>4</v>
      </c>
      <c r="M751" t="str">
        <f>VLOOKUP(Sales_Data!F751,Product_Master!$A$2:$D$11,2)</f>
        <v>Mouse</v>
      </c>
      <c r="N751" t="str">
        <f>VLOOKUP(F751,Product_Master!$A$2:$C$11,3)</f>
        <v>Accessories</v>
      </c>
      <c r="O751">
        <f>VLOOKUP(F751,Product_Master!$A$2:$D$11,4,FALSE)</f>
        <v>350</v>
      </c>
      <c r="P751">
        <f t="shared" si="110"/>
        <v>4500</v>
      </c>
      <c r="Q751">
        <f t="shared" si="111"/>
        <v>0</v>
      </c>
      <c r="R751">
        <f t="shared" si="112"/>
        <v>4500</v>
      </c>
      <c r="S751">
        <f t="shared" si="113"/>
        <v>1350</v>
      </c>
      <c r="T751" t="str">
        <f>_xlfn.CONCAT(Sales_Data!C751,"-",Sales_Data!E751,"-",Sales_Data!A751)</f>
        <v>West-C1029-1750</v>
      </c>
      <c r="U751" t="str">
        <f t="shared" si="114"/>
        <v>Regular</v>
      </c>
      <c r="V751" t="str" cm="1">
        <f t="array" ref="V751">_xlfn.IFS(R751&gt;=100000,"Excellent",R751&gt;=50000,"Good",R751&gt;=20000,"Average",TRUE,"Poor")</f>
        <v>Poor</v>
      </c>
      <c r="W751">
        <f t="shared" si="115"/>
        <v>2</v>
      </c>
      <c r="X751" t="str">
        <f t="shared" si="116"/>
        <v>June</v>
      </c>
      <c r="Y751">
        <f>HLOOKUP("Q"&amp;W751,Bonus_HLookup!$A$1:$E$2,2,FALSE)</f>
        <v>0.04</v>
      </c>
      <c r="Z751">
        <f t="shared" si="117"/>
        <v>41869.08</v>
      </c>
      <c r="AA751" s="1">
        <f t="shared" si="118"/>
        <v>2459.3823951380155</v>
      </c>
      <c r="AB751">
        <f t="shared" si="119"/>
        <v>805</v>
      </c>
    </row>
    <row r="752" spans="1:28" x14ac:dyDescent="0.3">
      <c r="A752">
        <v>1751</v>
      </c>
      <c r="B752" t="s">
        <v>404</v>
      </c>
      <c r="C752" t="s">
        <v>62</v>
      </c>
      <c r="D752" t="s">
        <v>59</v>
      </c>
      <c r="E752" t="s">
        <v>66</v>
      </c>
      <c r="F752" t="s">
        <v>42</v>
      </c>
      <c r="G752">
        <v>2</v>
      </c>
      <c r="H752">
        <v>8000</v>
      </c>
      <c r="I752">
        <v>10</v>
      </c>
      <c r="J752">
        <v>428779</v>
      </c>
      <c r="K752">
        <v>8</v>
      </c>
      <c r="L752">
        <v>4</v>
      </c>
      <c r="M752" t="str">
        <f>VLOOKUP(Sales_Data!F752,Product_Master!$A$2:$D$11,2)</f>
        <v>Printer</v>
      </c>
      <c r="N752" t="str">
        <f>VLOOKUP(F752,Product_Master!$A$2:$C$11,3)</f>
        <v>Electronics</v>
      </c>
      <c r="O752">
        <f>VLOOKUP(F752,Product_Master!$A$2:$D$11,4,FALSE)</f>
        <v>6500</v>
      </c>
      <c r="P752">
        <f t="shared" si="110"/>
        <v>16000</v>
      </c>
      <c r="Q752">
        <f t="shared" si="111"/>
        <v>1600</v>
      </c>
      <c r="R752">
        <f t="shared" si="112"/>
        <v>14400</v>
      </c>
      <c r="S752">
        <f t="shared" si="113"/>
        <v>1400</v>
      </c>
      <c r="T752" t="str">
        <f>_xlfn.CONCAT(Sales_Data!C752,"-",Sales_Data!E752,"-",Sales_Data!A752)</f>
        <v>East-C1010-1751</v>
      </c>
      <c r="U752" t="str">
        <f t="shared" si="114"/>
        <v>Regular</v>
      </c>
      <c r="V752" t="str" cm="1">
        <f t="array" ref="V752">_xlfn.IFS(R752&gt;=100000,"Excellent",R752&gt;=50000,"Good",R752&gt;=20000,"Average",TRUE,"Poor")</f>
        <v>Poor</v>
      </c>
      <c r="W752">
        <f t="shared" si="115"/>
        <v>4</v>
      </c>
      <c r="X752" t="str">
        <f t="shared" si="116"/>
        <v>November</v>
      </c>
      <c r="Y752">
        <f>HLOOKUP("Q"&amp;W752,Bonus_HLookup!$A$1:$E$2,2,FALSE)</f>
        <v>0.08</v>
      </c>
      <c r="Z752">
        <f t="shared" si="117"/>
        <v>137209.28</v>
      </c>
      <c r="AA752" s="1">
        <f t="shared" si="118"/>
        <v>10467.748428667093</v>
      </c>
      <c r="AB752">
        <f t="shared" si="119"/>
        <v>534</v>
      </c>
    </row>
    <row r="753" spans="1:28" x14ac:dyDescent="0.3">
      <c r="A753">
        <v>1752</v>
      </c>
      <c r="B753" t="s">
        <v>405</v>
      </c>
      <c r="C753" t="s">
        <v>30</v>
      </c>
      <c r="D753" t="s">
        <v>33</v>
      </c>
      <c r="E753" t="s">
        <v>169</v>
      </c>
      <c r="F753" t="s">
        <v>69</v>
      </c>
      <c r="G753">
        <v>2</v>
      </c>
      <c r="H753">
        <v>2000</v>
      </c>
      <c r="I753">
        <v>5</v>
      </c>
      <c r="J753">
        <v>253078</v>
      </c>
      <c r="K753">
        <v>12</v>
      </c>
      <c r="L753">
        <v>3</v>
      </c>
      <c r="M753" t="str">
        <f>VLOOKUP(Sales_Data!F753,Product_Master!$A$2:$D$11,2)</f>
        <v>Headset</v>
      </c>
      <c r="N753" t="str">
        <f>VLOOKUP(F753,Product_Master!$A$2:$C$11,3)</f>
        <v>Accessories</v>
      </c>
      <c r="O753">
        <f>VLOOKUP(F753,Product_Master!$A$2:$D$11,4,FALSE)</f>
        <v>1500</v>
      </c>
      <c r="P753">
        <f t="shared" si="110"/>
        <v>4000</v>
      </c>
      <c r="Q753">
        <f t="shared" si="111"/>
        <v>200</v>
      </c>
      <c r="R753">
        <f t="shared" si="112"/>
        <v>3800</v>
      </c>
      <c r="S753">
        <f t="shared" si="113"/>
        <v>800</v>
      </c>
      <c r="T753" t="str">
        <f>_xlfn.CONCAT(Sales_Data!C753,"-",Sales_Data!E753,"-",Sales_Data!A753)</f>
        <v>South-C1038-1752</v>
      </c>
      <c r="U753" t="str">
        <f t="shared" si="114"/>
        <v>Regular</v>
      </c>
      <c r="V753" t="str" cm="1">
        <f t="array" ref="V753">_xlfn.IFS(R753&gt;=100000,"Excellent",R753&gt;=50000,"Good",R753&gt;=20000,"Average",TRUE,"Poor")</f>
        <v>Poor</v>
      </c>
      <c r="W753">
        <f t="shared" si="115"/>
        <v>1</v>
      </c>
      <c r="X753" t="str">
        <f t="shared" si="116"/>
        <v>March</v>
      </c>
      <c r="Y753">
        <f>HLOOKUP("Q"&amp;W753,Bonus_HLookup!$A$1:$E$2,2,FALSE)</f>
        <v>0.02</v>
      </c>
      <c r="Z753">
        <f t="shared" si="117"/>
        <v>91108.08</v>
      </c>
      <c r="AA753" s="1">
        <f t="shared" si="118"/>
        <v>8405.8110988167537</v>
      </c>
      <c r="AB753">
        <f t="shared" si="119"/>
        <v>854</v>
      </c>
    </row>
    <row r="754" spans="1:28" x14ac:dyDescent="0.3">
      <c r="A754">
        <v>1753</v>
      </c>
      <c r="B754" t="s">
        <v>238</v>
      </c>
      <c r="C754" t="s">
        <v>30</v>
      </c>
      <c r="D754" t="s">
        <v>14</v>
      </c>
      <c r="E754" t="s">
        <v>172</v>
      </c>
      <c r="F754" t="s">
        <v>69</v>
      </c>
      <c r="G754">
        <v>4</v>
      </c>
      <c r="H754">
        <v>2000</v>
      </c>
      <c r="I754">
        <v>8</v>
      </c>
      <c r="J754">
        <v>301146</v>
      </c>
      <c r="K754">
        <v>11</v>
      </c>
      <c r="L754">
        <v>3</v>
      </c>
      <c r="M754" t="str">
        <f>VLOOKUP(Sales_Data!F754,Product_Master!$A$2:$D$11,2)</f>
        <v>Headset</v>
      </c>
      <c r="N754" t="str">
        <f>VLOOKUP(F754,Product_Master!$A$2:$C$11,3)</f>
        <v>Accessories</v>
      </c>
      <c r="O754">
        <f>VLOOKUP(F754,Product_Master!$A$2:$D$11,4,FALSE)</f>
        <v>1500</v>
      </c>
      <c r="P754">
        <f t="shared" si="110"/>
        <v>8000</v>
      </c>
      <c r="Q754">
        <f t="shared" si="111"/>
        <v>640</v>
      </c>
      <c r="R754">
        <f t="shared" si="112"/>
        <v>7360</v>
      </c>
      <c r="S754">
        <f t="shared" si="113"/>
        <v>1360</v>
      </c>
      <c r="T754" t="str">
        <f>_xlfn.CONCAT(Sales_Data!C754,"-",Sales_Data!E754,"-",Sales_Data!A754)</f>
        <v>South-C1033-1753</v>
      </c>
      <c r="U754" t="str">
        <f t="shared" si="114"/>
        <v>Regular</v>
      </c>
      <c r="V754" t="str" cm="1">
        <f t="array" ref="V754">_xlfn.IFS(R754&gt;=100000,"Excellent",R754&gt;=50000,"Good",R754&gt;=20000,"Average",TRUE,"Poor")</f>
        <v>Poor</v>
      </c>
      <c r="W754">
        <f t="shared" si="115"/>
        <v>1</v>
      </c>
      <c r="X754" t="str">
        <f t="shared" si="116"/>
        <v>February</v>
      </c>
      <c r="Y754">
        <f>HLOOKUP("Q"&amp;W754,Bonus_HLookup!$A$1:$E$2,2,FALSE)</f>
        <v>0.02</v>
      </c>
      <c r="Z754">
        <f t="shared" si="117"/>
        <v>99378.18</v>
      </c>
      <c r="AA754" s="1">
        <f t="shared" si="118"/>
        <v>9859.1337049166959</v>
      </c>
      <c r="AB754">
        <f t="shared" si="119"/>
        <v>709</v>
      </c>
    </row>
    <row r="755" spans="1:28" x14ac:dyDescent="0.3">
      <c r="A755">
        <v>1754</v>
      </c>
      <c r="B755" t="s">
        <v>288</v>
      </c>
      <c r="C755" t="s">
        <v>13</v>
      </c>
      <c r="D755" t="s">
        <v>91</v>
      </c>
      <c r="E755" t="s">
        <v>131</v>
      </c>
      <c r="F755" t="s">
        <v>42</v>
      </c>
      <c r="G755">
        <v>3</v>
      </c>
      <c r="H755">
        <v>8000</v>
      </c>
      <c r="I755">
        <v>10</v>
      </c>
      <c r="J755">
        <v>483090</v>
      </c>
      <c r="K755">
        <v>8</v>
      </c>
      <c r="L755">
        <v>4</v>
      </c>
      <c r="M755" t="str">
        <f>VLOOKUP(Sales_Data!F755,Product_Master!$A$2:$D$11,2)</f>
        <v>Printer</v>
      </c>
      <c r="N755" t="str">
        <f>VLOOKUP(F755,Product_Master!$A$2:$C$11,3)</f>
        <v>Electronics</v>
      </c>
      <c r="O755">
        <f>VLOOKUP(F755,Product_Master!$A$2:$D$11,4,FALSE)</f>
        <v>6500</v>
      </c>
      <c r="P755">
        <f t="shared" si="110"/>
        <v>24000</v>
      </c>
      <c r="Q755">
        <f t="shared" si="111"/>
        <v>2400</v>
      </c>
      <c r="R755">
        <f t="shared" si="112"/>
        <v>21600</v>
      </c>
      <c r="S755">
        <f t="shared" si="113"/>
        <v>2100</v>
      </c>
      <c r="T755" t="str">
        <f>_xlfn.CONCAT(Sales_Data!C755,"-",Sales_Data!E755,"-",Sales_Data!A755)</f>
        <v>West-C1047-1754</v>
      </c>
      <c r="U755" t="str">
        <f t="shared" si="114"/>
        <v>Regular</v>
      </c>
      <c r="V755" t="str" cm="1">
        <f t="array" ref="V755">_xlfn.IFS(R755&gt;=100000,"Excellent",R755&gt;=50000,"Good",R755&gt;=20000,"Average",TRUE,"Poor")</f>
        <v>Average</v>
      </c>
      <c r="W755">
        <f t="shared" si="115"/>
        <v>2</v>
      </c>
      <c r="X755" t="str">
        <f t="shared" si="116"/>
        <v>May</v>
      </c>
      <c r="Y755">
        <f>HLOOKUP("Q"&amp;W755,Bonus_HLookup!$A$1:$E$2,2,FALSE)</f>
        <v>0.04</v>
      </c>
      <c r="Z755">
        <f t="shared" si="117"/>
        <v>154588.79999999999</v>
      </c>
      <c r="AA755" s="1">
        <f t="shared" si="118"/>
        <v>11793.638653956436</v>
      </c>
      <c r="AB755">
        <f t="shared" si="119"/>
        <v>424</v>
      </c>
    </row>
    <row r="756" spans="1:28" x14ac:dyDescent="0.3">
      <c r="A756">
        <v>1755</v>
      </c>
      <c r="B756" t="s">
        <v>397</v>
      </c>
      <c r="C756" t="s">
        <v>30</v>
      </c>
      <c r="D756" t="s">
        <v>14</v>
      </c>
      <c r="E756" t="s">
        <v>172</v>
      </c>
      <c r="F756" t="s">
        <v>42</v>
      </c>
      <c r="G756">
        <v>7</v>
      </c>
      <c r="H756">
        <v>8000</v>
      </c>
      <c r="I756">
        <v>10</v>
      </c>
      <c r="J756">
        <v>310885</v>
      </c>
      <c r="K756">
        <v>11</v>
      </c>
      <c r="L756">
        <v>1</v>
      </c>
      <c r="M756" t="str">
        <f>VLOOKUP(Sales_Data!F756,Product_Master!$A$2:$D$11,2)</f>
        <v>Printer</v>
      </c>
      <c r="N756" t="str">
        <f>VLOOKUP(F756,Product_Master!$A$2:$C$11,3)</f>
        <v>Electronics</v>
      </c>
      <c r="O756">
        <f>VLOOKUP(F756,Product_Master!$A$2:$D$11,4,FALSE)</f>
        <v>6500</v>
      </c>
      <c r="P756">
        <f t="shared" si="110"/>
        <v>56000</v>
      </c>
      <c r="Q756">
        <f t="shared" si="111"/>
        <v>5600</v>
      </c>
      <c r="R756">
        <f t="shared" si="112"/>
        <v>50400</v>
      </c>
      <c r="S756">
        <f t="shared" si="113"/>
        <v>4900</v>
      </c>
      <c r="T756" t="str">
        <f>_xlfn.CONCAT(Sales_Data!C756,"-",Sales_Data!E756,"-",Sales_Data!A756)</f>
        <v>South-C1033-1755</v>
      </c>
      <c r="U756" t="str">
        <f t="shared" si="114"/>
        <v>High Value</v>
      </c>
      <c r="V756" t="str" cm="1">
        <f t="array" ref="V756">_xlfn.IFS(R756&gt;=100000,"Excellent",R756&gt;=50000,"Good",R756&gt;=20000,"Average",TRUE,"Poor")</f>
        <v>Good</v>
      </c>
      <c r="W756">
        <f t="shared" si="115"/>
        <v>2</v>
      </c>
      <c r="X756" t="str">
        <f t="shared" si="116"/>
        <v>April</v>
      </c>
      <c r="Y756">
        <f>HLOOKUP("Q"&amp;W756,Bonus_HLookup!$A$1:$E$2,2,FALSE)</f>
        <v>0.04</v>
      </c>
      <c r="Z756">
        <f t="shared" si="117"/>
        <v>34197.35</v>
      </c>
      <c r="AA756" s="1">
        <f t="shared" si="118"/>
        <v>27476.531909488869</v>
      </c>
      <c r="AB756">
        <f t="shared" si="119"/>
        <v>294</v>
      </c>
    </row>
    <row r="757" spans="1:28" x14ac:dyDescent="0.3">
      <c r="A757">
        <v>1756</v>
      </c>
      <c r="B757" t="s">
        <v>147</v>
      </c>
      <c r="C757" t="s">
        <v>30</v>
      </c>
      <c r="D757" t="s">
        <v>14</v>
      </c>
      <c r="E757" t="s">
        <v>122</v>
      </c>
      <c r="F757" t="s">
        <v>25</v>
      </c>
      <c r="G757">
        <v>3</v>
      </c>
      <c r="H757">
        <v>1500</v>
      </c>
      <c r="I757">
        <v>15</v>
      </c>
      <c r="J757">
        <v>226243</v>
      </c>
      <c r="K757">
        <v>9</v>
      </c>
      <c r="L757">
        <v>3</v>
      </c>
      <c r="M757" t="str">
        <f>VLOOKUP(Sales_Data!F757,Product_Master!$A$2:$D$11,2)</f>
        <v>Keyboard</v>
      </c>
      <c r="N757" t="str">
        <f>VLOOKUP(F757,Product_Master!$A$2:$C$11,3)</f>
        <v>Accessories</v>
      </c>
      <c r="O757">
        <f>VLOOKUP(F757,Product_Master!$A$2:$D$11,4,FALSE)</f>
        <v>1200</v>
      </c>
      <c r="P757">
        <f t="shared" si="110"/>
        <v>4500</v>
      </c>
      <c r="Q757">
        <f t="shared" si="111"/>
        <v>675</v>
      </c>
      <c r="R757">
        <f t="shared" si="112"/>
        <v>3825</v>
      </c>
      <c r="S757">
        <f t="shared" si="113"/>
        <v>225</v>
      </c>
      <c r="T757" t="str">
        <f>_xlfn.CONCAT(Sales_Data!C757,"-",Sales_Data!E757,"-",Sales_Data!A757)</f>
        <v>South-C1046-1756</v>
      </c>
      <c r="U757" t="str">
        <f t="shared" si="114"/>
        <v>Regular</v>
      </c>
      <c r="V757" t="str" cm="1">
        <f t="array" ref="V757">_xlfn.IFS(R757&gt;=100000,"Excellent",R757&gt;=50000,"Good",R757&gt;=20000,"Average",TRUE,"Poor")</f>
        <v>Poor</v>
      </c>
      <c r="W757">
        <f t="shared" si="115"/>
        <v>3</v>
      </c>
      <c r="X757" t="str">
        <f t="shared" si="116"/>
        <v>August</v>
      </c>
      <c r="Y757">
        <f>HLOOKUP("Q"&amp;W757,Bonus_HLookup!$A$1:$E$2,2,FALSE)</f>
        <v>0.06</v>
      </c>
      <c r="Z757">
        <f t="shared" si="117"/>
        <v>61085.61</v>
      </c>
      <c r="AA757" s="1">
        <f t="shared" si="118"/>
        <v>7194.4669161829606</v>
      </c>
      <c r="AB757">
        <f t="shared" si="119"/>
        <v>850</v>
      </c>
    </row>
    <row r="758" spans="1:28" x14ac:dyDescent="0.3">
      <c r="A758">
        <v>1757</v>
      </c>
      <c r="B758" t="s">
        <v>55</v>
      </c>
      <c r="C758" t="s">
        <v>30</v>
      </c>
      <c r="D758" t="s">
        <v>33</v>
      </c>
      <c r="E758" t="s">
        <v>82</v>
      </c>
      <c r="F758" t="s">
        <v>69</v>
      </c>
      <c r="G758">
        <v>9</v>
      </c>
      <c r="H758">
        <v>2000</v>
      </c>
      <c r="I758">
        <v>5</v>
      </c>
      <c r="J758">
        <v>99809</v>
      </c>
      <c r="K758">
        <v>10</v>
      </c>
      <c r="L758">
        <v>3</v>
      </c>
      <c r="M758" t="str">
        <f>VLOOKUP(Sales_Data!F758,Product_Master!$A$2:$D$11,2)</f>
        <v>Headset</v>
      </c>
      <c r="N758" t="str">
        <f>VLOOKUP(F758,Product_Master!$A$2:$C$11,3)</f>
        <v>Accessories</v>
      </c>
      <c r="O758">
        <f>VLOOKUP(F758,Product_Master!$A$2:$D$11,4,FALSE)</f>
        <v>1500</v>
      </c>
      <c r="P758">
        <f t="shared" si="110"/>
        <v>18000</v>
      </c>
      <c r="Q758">
        <f t="shared" si="111"/>
        <v>900</v>
      </c>
      <c r="R758">
        <f t="shared" si="112"/>
        <v>17100</v>
      </c>
      <c r="S758">
        <f t="shared" si="113"/>
        <v>3600</v>
      </c>
      <c r="T758" t="str">
        <f>_xlfn.CONCAT(Sales_Data!C758,"-",Sales_Data!E758,"-",Sales_Data!A758)</f>
        <v>South-C1045-1757</v>
      </c>
      <c r="U758" t="str">
        <f t="shared" si="114"/>
        <v>Regular</v>
      </c>
      <c r="V758" t="str" cm="1">
        <f t="array" ref="V758">_xlfn.IFS(R758&gt;=100000,"Excellent",R758&gt;=50000,"Good",R758&gt;=20000,"Average",TRUE,"Poor")</f>
        <v>Poor</v>
      </c>
      <c r="W758">
        <f t="shared" si="115"/>
        <v>1</v>
      </c>
      <c r="X758" t="str">
        <f t="shared" si="116"/>
        <v>February</v>
      </c>
      <c r="Y758">
        <f>HLOOKUP("Q"&amp;W758,Bonus_HLookup!$A$1:$E$2,2,FALSE)</f>
        <v>0.02</v>
      </c>
      <c r="Z758">
        <f t="shared" si="117"/>
        <v>29942.7</v>
      </c>
      <c r="AA758" s="1">
        <f t="shared" si="118"/>
        <v>3220.5556866297256</v>
      </c>
      <c r="AB758">
        <f t="shared" si="119"/>
        <v>501</v>
      </c>
    </row>
    <row r="759" spans="1:28" x14ac:dyDescent="0.3">
      <c r="A759">
        <v>1758</v>
      </c>
      <c r="B759" t="s">
        <v>123</v>
      </c>
      <c r="C759" t="s">
        <v>18</v>
      </c>
      <c r="D759" t="s">
        <v>50</v>
      </c>
      <c r="E759" t="s">
        <v>60</v>
      </c>
      <c r="F759" t="s">
        <v>21</v>
      </c>
      <c r="G759">
        <v>5</v>
      </c>
      <c r="H759">
        <v>12000</v>
      </c>
      <c r="I759">
        <v>10</v>
      </c>
      <c r="J759">
        <v>217237</v>
      </c>
      <c r="K759">
        <v>8</v>
      </c>
      <c r="L759">
        <v>3</v>
      </c>
      <c r="M759" t="str">
        <f>VLOOKUP(Sales_Data!F759,Product_Master!$A$2:$D$11,2)</f>
        <v>Monitor</v>
      </c>
      <c r="N759" t="str">
        <f>VLOOKUP(F759,Product_Master!$A$2:$C$11,3)</f>
        <v>Electronics</v>
      </c>
      <c r="O759">
        <f>VLOOKUP(F759,Product_Master!$A$2:$D$11,4,FALSE)</f>
        <v>9000</v>
      </c>
      <c r="P759">
        <f t="shared" si="110"/>
        <v>60000</v>
      </c>
      <c r="Q759">
        <f t="shared" si="111"/>
        <v>6000</v>
      </c>
      <c r="R759">
        <f t="shared" si="112"/>
        <v>54000</v>
      </c>
      <c r="S759">
        <f t="shared" si="113"/>
        <v>9000</v>
      </c>
      <c r="T759" t="str">
        <f>_xlfn.CONCAT(Sales_Data!C759,"-",Sales_Data!E759,"-",Sales_Data!A759)</f>
        <v>North-C1018-1758</v>
      </c>
      <c r="U759" t="str">
        <f t="shared" si="114"/>
        <v>High Value</v>
      </c>
      <c r="V759" t="str" cm="1">
        <f t="array" ref="V759">_xlfn.IFS(R759&gt;=100000,"Excellent",R759&gt;=50000,"Good",R759&gt;=20000,"Average",TRUE,"Poor")</f>
        <v>Good</v>
      </c>
      <c r="W759">
        <f t="shared" si="115"/>
        <v>1</v>
      </c>
      <c r="X759" t="str">
        <f t="shared" si="116"/>
        <v>February</v>
      </c>
      <c r="Y759">
        <f>HLOOKUP("Q"&amp;W759,Bonus_HLookup!$A$1:$E$2,2,FALSE)</f>
        <v>0.02</v>
      </c>
      <c r="Z759">
        <f t="shared" si="117"/>
        <v>52136.88</v>
      </c>
      <c r="AA759" s="1">
        <f t="shared" si="118"/>
        <v>6807.4180237448536</v>
      </c>
      <c r="AB759">
        <f t="shared" si="119"/>
        <v>276</v>
      </c>
    </row>
    <row r="760" spans="1:28" x14ac:dyDescent="0.3">
      <c r="A760">
        <v>1759</v>
      </c>
      <c r="B760" t="s">
        <v>135</v>
      </c>
      <c r="C760" t="s">
        <v>18</v>
      </c>
      <c r="D760" t="s">
        <v>23</v>
      </c>
      <c r="E760" t="s">
        <v>203</v>
      </c>
      <c r="F760" t="s">
        <v>36</v>
      </c>
      <c r="G760">
        <v>7</v>
      </c>
      <c r="H760">
        <v>55000</v>
      </c>
      <c r="I760">
        <v>12</v>
      </c>
      <c r="J760">
        <v>170917</v>
      </c>
      <c r="K760">
        <v>7</v>
      </c>
      <c r="L760">
        <v>5</v>
      </c>
      <c r="M760" t="str">
        <f>VLOOKUP(Sales_Data!F760,Product_Master!$A$2:$D$11,2)</f>
        <v>Laptop</v>
      </c>
      <c r="N760" t="str">
        <f>VLOOKUP(F760,Product_Master!$A$2:$C$11,3)</f>
        <v>Electronics</v>
      </c>
      <c r="O760">
        <f>VLOOKUP(F760,Product_Master!$A$2:$D$11,4,FALSE)</f>
        <v>45000</v>
      </c>
      <c r="P760">
        <f t="shared" si="110"/>
        <v>385000</v>
      </c>
      <c r="Q760">
        <f t="shared" si="111"/>
        <v>46200</v>
      </c>
      <c r="R760">
        <f t="shared" si="112"/>
        <v>338800</v>
      </c>
      <c r="S760">
        <f t="shared" si="113"/>
        <v>23800</v>
      </c>
      <c r="T760" t="str">
        <f>_xlfn.CONCAT(Sales_Data!C760,"-",Sales_Data!E760,"-",Sales_Data!A760)</f>
        <v>North-C1037-1759</v>
      </c>
      <c r="U760" t="str">
        <f t="shared" si="114"/>
        <v>High Value</v>
      </c>
      <c r="V760" t="str" cm="1">
        <f t="array" ref="V760">_xlfn.IFS(R760&gt;=100000,"Excellent",R760&gt;=50000,"Good",R760&gt;=20000,"Average",TRUE,"Poor")</f>
        <v>Excellent</v>
      </c>
      <c r="W760">
        <f t="shared" si="115"/>
        <v>2</v>
      </c>
      <c r="X760" t="str">
        <f t="shared" si="116"/>
        <v>May</v>
      </c>
      <c r="Y760">
        <f>HLOOKUP("Q"&amp;W760,Bonus_HLookup!$A$1:$E$2,2,FALSE)</f>
        <v>0.04</v>
      </c>
      <c r="Z760">
        <f t="shared" si="117"/>
        <v>59820.95</v>
      </c>
      <c r="AA760" s="1">
        <f t="shared" si="118"/>
        <v>3384.3614509209215</v>
      </c>
      <c r="AB760">
        <f t="shared" si="119"/>
        <v>37</v>
      </c>
    </row>
    <row r="761" spans="1:28" x14ac:dyDescent="0.3">
      <c r="A761">
        <v>1760</v>
      </c>
      <c r="B761" t="s">
        <v>331</v>
      </c>
      <c r="C761" t="s">
        <v>62</v>
      </c>
      <c r="D761" t="s">
        <v>46</v>
      </c>
      <c r="E761" t="s">
        <v>128</v>
      </c>
      <c r="F761" t="s">
        <v>16</v>
      </c>
      <c r="G761">
        <v>8</v>
      </c>
      <c r="H761">
        <v>2500</v>
      </c>
      <c r="I761">
        <v>2</v>
      </c>
      <c r="J761">
        <v>87011</v>
      </c>
      <c r="K761">
        <v>8</v>
      </c>
      <c r="L761">
        <v>5</v>
      </c>
      <c r="M761" t="str">
        <f>VLOOKUP(Sales_Data!F761,Product_Master!$A$2:$D$11,2)</f>
        <v>Speaker</v>
      </c>
      <c r="N761" t="str">
        <f>VLOOKUP(F761,Product_Master!$A$2:$C$11,3)</f>
        <v>Accessories</v>
      </c>
      <c r="O761">
        <f>VLOOKUP(F761,Product_Master!$A$2:$D$11,4,FALSE)</f>
        <v>1800</v>
      </c>
      <c r="P761">
        <f t="shared" si="110"/>
        <v>20000</v>
      </c>
      <c r="Q761">
        <f t="shared" si="111"/>
        <v>400</v>
      </c>
      <c r="R761">
        <f t="shared" si="112"/>
        <v>19600</v>
      </c>
      <c r="S761">
        <f t="shared" si="113"/>
        <v>5200</v>
      </c>
      <c r="T761" t="str">
        <f>_xlfn.CONCAT(Sales_Data!C761,"-",Sales_Data!E761,"-",Sales_Data!A761)</f>
        <v>East-C1013-1760</v>
      </c>
      <c r="U761" t="str">
        <f t="shared" si="114"/>
        <v>Regular</v>
      </c>
      <c r="V761" t="str" cm="1">
        <f t="array" ref="V761">_xlfn.IFS(R761&gt;=100000,"Excellent",R761&gt;=50000,"Good",R761&gt;=20000,"Average",TRUE,"Poor")</f>
        <v>Poor</v>
      </c>
      <c r="W761">
        <f t="shared" si="115"/>
        <v>2</v>
      </c>
      <c r="X761" t="str">
        <f t="shared" si="116"/>
        <v>April</v>
      </c>
      <c r="Y761">
        <f>HLOOKUP("Q"&amp;W761,Bonus_HLookup!$A$1:$E$2,2,FALSE)</f>
        <v>0.04</v>
      </c>
      <c r="Z761">
        <f t="shared" si="117"/>
        <v>34804.400000000001</v>
      </c>
      <c r="AA761" s="1">
        <f t="shared" si="118"/>
        <v>1764.269343429163</v>
      </c>
      <c r="AB761">
        <f t="shared" si="119"/>
        <v>461</v>
      </c>
    </row>
    <row r="762" spans="1:28" x14ac:dyDescent="0.3">
      <c r="A762">
        <v>1761</v>
      </c>
      <c r="B762" t="s">
        <v>222</v>
      </c>
      <c r="C762" t="s">
        <v>18</v>
      </c>
      <c r="D762" t="s">
        <v>33</v>
      </c>
      <c r="E762" t="s">
        <v>140</v>
      </c>
      <c r="F762" t="s">
        <v>74</v>
      </c>
      <c r="G762">
        <v>5</v>
      </c>
      <c r="H762">
        <v>35000</v>
      </c>
      <c r="I762">
        <v>10</v>
      </c>
      <c r="J762">
        <v>348462</v>
      </c>
      <c r="K762">
        <v>12</v>
      </c>
      <c r="L762">
        <v>1</v>
      </c>
      <c r="M762" t="str">
        <f>VLOOKUP(Sales_Data!F762,Product_Master!$A$2:$D$11,2)</f>
        <v>Tablet</v>
      </c>
      <c r="N762" t="str">
        <f>VLOOKUP(F762,Product_Master!$A$2:$C$11,3)</f>
        <v>Electronics</v>
      </c>
      <c r="O762">
        <f>VLOOKUP(F762,Product_Master!$A$2:$D$11,4,FALSE)</f>
        <v>29000</v>
      </c>
      <c r="P762">
        <f t="shared" si="110"/>
        <v>175000</v>
      </c>
      <c r="Q762">
        <f t="shared" si="111"/>
        <v>17500</v>
      </c>
      <c r="R762">
        <f t="shared" si="112"/>
        <v>157500</v>
      </c>
      <c r="S762">
        <f t="shared" si="113"/>
        <v>12500</v>
      </c>
      <c r="T762" t="str">
        <f>_xlfn.CONCAT(Sales_Data!C762,"-",Sales_Data!E762,"-",Sales_Data!A762)</f>
        <v>North-C1011-1761</v>
      </c>
      <c r="U762" t="str">
        <f t="shared" si="114"/>
        <v>High Value</v>
      </c>
      <c r="V762" t="str" cm="1">
        <f t="array" ref="V762">_xlfn.IFS(R762&gt;=100000,"Excellent",R762&gt;=50000,"Good",R762&gt;=20000,"Average",TRUE,"Poor")</f>
        <v>Excellent</v>
      </c>
      <c r="W762">
        <f t="shared" si="115"/>
        <v>2</v>
      </c>
      <c r="X762" t="str">
        <f t="shared" si="116"/>
        <v>June</v>
      </c>
      <c r="Y762">
        <f>HLOOKUP("Q"&amp;W762,Bonus_HLookup!$A$1:$E$2,2,FALSE)</f>
        <v>0.04</v>
      </c>
      <c r="Z762">
        <f t="shared" si="117"/>
        <v>41815.440000000002</v>
      </c>
      <c r="AA762" s="1">
        <f t="shared" si="118"/>
        <v>30960.426600432304</v>
      </c>
      <c r="AB762">
        <f t="shared" si="119"/>
        <v>126</v>
      </c>
    </row>
    <row r="763" spans="1:28" x14ac:dyDescent="0.3">
      <c r="A763">
        <v>1762</v>
      </c>
      <c r="B763" t="s">
        <v>144</v>
      </c>
      <c r="C763" t="s">
        <v>13</v>
      </c>
      <c r="D763" t="s">
        <v>23</v>
      </c>
      <c r="E763" t="s">
        <v>24</v>
      </c>
      <c r="F763" t="s">
        <v>42</v>
      </c>
      <c r="G763">
        <v>4</v>
      </c>
      <c r="H763">
        <v>8000</v>
      </c>
      <c r="I763">
        <v>12</v>
      </c>
      <c r="J763">
        <v>356550</v>
      </c>
      <c r="K763">
        <v>7</v>
      </c>
      <c r="L763">
        <v>4</v>
      </c>
      <c r="M763" t="str">
        <f>VLOOKUP(Sales_Data!F763,Product_Master!$A$2:$D$11,2)</f>
        <v>Printer</v>
      </c>
      <c r="N763" t="str">
        <f>VLOOKUP(F763,Product_Master!$A$2:$C$11,3)</f>
        <v>Electronics</v>
      </c>
      <c r="O763">
        <f>VLOOKUP(F763,Product_Master!$A$2:$D$11,4,FALSE)</f>
        <v>6500</v>
      </c>
      <c r="P763">
        <f t="shared" si="110"/>
        <v>32000</v>
      </c>
      <c r="Q763">
        <f t="shared" si="111"/>
        <v>3840</v>
      </c>
      <c r="R763">
        <f t="shared" si="112"/>
        <v>28160</v>
      </c>
      <c r="S763">
        <f t="shared" si="113"/>
        <v>2160</v>
      </c>
      <c r="T763" t="str">
        <f>_xlfn.CONCAT(Sales_Data!C763,"-",Sales_Data!E763,"-",Sales_Data!A763)</f>
        <v>West-C1029-1762</v>
      </c>
      <c r="U763" t="str">
        <f t="shared" si="114"/>
        <v>Regular</v>
      </c>
      <c r="V763" t="str" cm="1">
        <f t="array" ref="V763">_xlfn.IFS(R763&gt;=100000,"Excellent",R763&gt;=50000,"Good",R763&gt;=20000,"Average",TRUE,"Poor")</f>
        <v>Average</v>
      </c>
      <c r="W763">
        <f t="shared" si="115"/>
        <v>2</v>
      </c>
      <c r="X763" t="str">
        <f t="shared" si="116"/>
        <v>June</v>
      </c>
      <c r="Y763">
        <f>HLOOKUP("Q"&amp;W763,Bonus_HLookup!$A$1:$E$2,2,FALSE)</f>
        <v>0.04</v>
      </c>
      <c r="Z763">
        <f t="shared" si="117"/>
        <v>99834</v>
      </c>
      <c r="AA763" s="1">
        <f t="shared" si="118"/>
        <v>8538.0335343940187</v>
      </c>
      <c r="AB763">
        <f t="shared" si="119"/>
        <v>388</v>
      </c>
    </row>
    <row r="764" spans="1:28" x14ac:dyDescent="0.3">
      <c r="A764">
        <v>1763</v>
      </c>
      <c r="B764" t="s">
        <v>78</v>
      </c>
      <c r="C764" t="s">
        <v>13</v>
      </c>
      <c r="D764" t="s">
        <v>23</v>
      </c>
      <c r="E764" t="s">
        <v>85</v>
      </c>
      <c r="F764" t="s">
        <v>52</v>
      </c>
      <c r="G764">
        <v>8</v>
      </c>
      <c r="H764">
        <v>500</v>
      </c>
      <c r="I764">
        <v>2</v>
      </c>
      <c r="J764">
        <v>269375</v>
      </c>
      <c r="K764">
        <v>8</v>
      </c>
      <c r="L764">
        <v>1</v>
      </c>
      <c r="M764" t="str">
        <f>VLOOKUP(Sales_Data!F764,Product_Master!$A$2:$D$11,2)</f>
        <v>Mouse</v>
      </c>
      <c r="N764" t="str">
        <f>VLOOKUP(F764,Product_Master!$A$2:$C$11,3)</f>
        <v>Accessories</v>
      </c>
      <c r="O764">
        <f>VLOOKUP(F764,Product_Master!$A$2:$D$11,4,FALSE)</f>
        <v>350</v>
      </c>
      <c r="P764">
        <f t="shared" si="110"/>
        <v>4000</v>
      </c>
      <c r="Q764">
        <f t="shared" si="111"/>
        <v>80</v>
      </c>
      <c r="R764">
        <f t="shared" si="112"/>
        <v>3920</v>
      </c>
      <c r="S764">
        <f t="shared" si="113"/>
        <v>1120</v>
      </c>
      <c r="T764" t="str">
        <f>_xlfn.CONCAT(Sales_Data!C764,"-",Sales_Data!E764,"-",Sales_Data!A764)</f>
        <v>West-C1005-1763</v>
      </c>
      <c r="U764" t="str">
        <f t="shared" si="114"/>
        <v>Regular</v>
      </c>
      <c r="V764" t="str" cm="1">
        <f t="array" ref="V764">_xlfn.IFS(R764&gt;=100000,"Excellent",R764&gt;=50000,"Good",R764&gt;=20000,"Average",TRUE,"Poor")</f>
        <v>Poor</v>
      </c>
      <c r="W764">
        <f t="shared" si="115"/>
        <v>2</v>
      </c>
      <c r="X764" t="str">
        <f t="shared" si="116"/>
        <v>May</v>
      </c>
      <c r="Y764">
        <f>HLOOKUP("Q"&amp;W764,Bonus_HLookup!$A$1:$E$2,2,FALSE)</f>
        <v>0.04</v>
      </c>
      <c r="Z764">
        <f t="shared" si="117"/>
        <v>21550</v>
      </c>
      <c r="AA764" s="1">
        <f t="shared" si="118"/>
        <v>23432.508084885299</v>
      </c>
      <c r="AB764">
        <f t="shared" si="119"/>
        <v>846</v>
      </c>
    </row>
    <row r="765" spans="1:28" x14ac:dyDescent="0.3">
      <c r="A765">
        <v>1764</v>
      </c>
      <c r="B765" t="s">
        <v>97</v>
      </c>
      <c r="C765" t="s">
        <v>18</v>
      </c>
      <c r="D765" t="s">
        <v>50</v>
      </c>
      <c r="E765" t="s">
        <v>73</v>
      </c>
      <c r="F765" t="s">
        <v>52</v>
      </c>
      <c r="G765">
        <v>2</v>
      </c>
      <c r="H765">
        <v>500</v>
      </c>
      <c r="I765">
        <v>15</v>
      </c>
      <c r="J765">
        <v>121513</v>
      </c>
      <c r="K765">
        <v>10</v>
      </c>
      <c r="L765">
        <v>3</v>
      </c>
      <c r="M765" t="str">
        <f>VLOOKUP(Sales_Data!F765,Product_Master!$A$2:$D$11,2)</f>
        <v>Mouse</v>
      </c>
      <c r="N765" t="str">
        <f>VLOOKUP(F765,Product_Master!$A$2:$C$11,3)</f>
        <v>Accessories</v>
      </c>
      <c r="O765">
        <f>VLOOKUP(F765,Product_Master!$A$2:$D$11,4,FALSE)</f>
        <v>350</v>
      </c>
      <c r="P765">
        <f t="shared" si="110"/>
        <v>1000</v>
      </c>
      <c r="Q765">
        <f t="shared" si="111"/>
        <v>150</v>
      </c>
      <c r="R765">
        <f t="shared" si="112"/>
        <v>850</v>
      </c>
      <c r="S765">
        <f t="shared" si="113"/>
        <v>150</v>
      </c>
      <c r="T765" t="str">
        <f>_xlfn.CONCAT(Sales_Data!C765,"-",Sales_Data!E765,"-",Sales_Data!A765)</f>
        <v>North-C1014-1764</v>
      </c>
      <c r="U765" t="str">
        <f t="shared" si="114"/>
        <v>Regular</v>
      </c>
      <c r="V765" t="str" cm="1">
        <f t="array" ref="V765">_xlfn.IFS(R765&gt;=100000,"Excellent",R765&gt;=50000,"Good",R765&gt;=20000,"Average",TRUE,"Poor")</f>
        <v>Poor</v>
      </c>
      <c r="W765">
        <f t="shared" si="115"/>
        <v>3</v>
      </c>
      <c r="X765" t="str">
        <f t="shared" si="116"/>
        <v>July</v>
      </c>
      <c r="Y765">
        <f>HLOOKUP("Q"&amp;W765,Bonus_HLookup!$A$1:$E$2,2,FALSE)</f>
        <v>0.06</v>
      </c>
      <c r="Z765">
        <f t="shared" si="117"/>
        <v>36453.9</v>
      </c>
      <c r="AA765" s="1">
        <f t="shared" si="118"/>
        <v>3920.8827174847743</v>
      </c>
      <c r="AB765">
        <f t="shared" si="119"/>
        <v>985</v>
      </c>
    </row>
    <row r="766" spans="1:28" x14ac:dyDescent="0.3">
      <c r="A766">
        <v>1765</v>
      </c>
      <c r="B766" t="s">
        <v>315</v>
      </c>
      <c r="C766" t="s">
        <v>18</v>
      </c>
      <c r="D766" t="s">
        <v>14</v>
      </c>
      <c r="E766" t="s">
        <v>54</v>
      </c>
      <c r="F766" t="s">
        <v>16</v>
      </c>
      <c r="G766">
        <v>6</v>
      </c>
      <c r="H766">
        <v>2500</v>
      </c>
      <c r="I766">
        <v>2</v>
      </c>
      <c r="J766">
        <v>273847</v>
      </c>
      <c r="K766">
        <v>9</v>
      </c>
      <c r="L766">
        <v>4</v>
      </c>
      <c r="M766" t="str">
        <f>VLOOKUP(Sales_Data!F766,Product_Master!$A$2:$D$11,2)</f>
        <v>Speaker</v>
      </c>
      <c r="N766" t="str">
        <f>VLOOKUP(F766,Product_Master!$A$2:$C$11,3)</f>
        <v>Accessories</v>
      </c>
      <c r="O766">
        <f>VLOOKUP(F766,Product_Master!$A$2:$D$11,4,FALSE)</f>
        <v>1800</v>
      </c>
      <c r="P766">
        <f t="shared" si="110"/>
        <v>15000</v>
      </c>
      <c r="Q766">
        <f t="shared" si="111"/>
        <v>300</v>
      </c>
      <c r="R766">
        <f t="shared" si="112"/>
        <v>14700</v>
      </c>
      <c r="S766">
        <f t="shared" si="113"/>
        <v>3900</v>
      </c>
      <c r="T766" t="str">
        <f>_xlfn.CONCAT(Sales_Data!C766,"-",Sales_Data!E766,"-",Sales_Data!A766)</f>
        <v>North-C1034-1765</v>
      </c>
      <c r="U766" t="str">
        <f t="shared" si="114"/>
        <v>Regular</v>
      </c>
      <c r="V766" t="str" cm="1">
        <f t="array" ref="V766">_xlfn.IFS(R766&gt;=100000,"Excellent",R766&gt;=50000,"Good",R766&gt;=20000,"Average",TRUE,"Poor")</f>
        <v>Poor</v>
      </c>
      <c r="W766">
        <f t="shared" si="115"/>
        <v>3</v>
      </c>
      <c r="X766" t="str">
        <f t="shared" si="116"/>
        <v>July</v>
      </c>
      <c r="Y766">
        <f>HLOOKUP("Q"&amp;W766,Bonus_HLookup!$A$1:$E$2,2,FALSE)</f>
        <v>0.06</v>
      </c>
      <c r="Z766">
        <f t="shared" si="117"/>
        <v>98584.92</v>
      </c>
      <c r="AA766" s="1">
        <f t="shared" si="118"/>
        <v>6814.6941989747611</v>
      </c>
      <c r="AB766">
        <f t="shared" si="119"/>
        <v>532</v>
      </c>
    </row>
    <row r="767" spans="1:28" x14ac:dyDescent="0.3">
      <c r="A767">
        <v>1766</v>
      </c>
      <c r="B767" t="s">
        <v>107</v>
      </c>
      <c r="C767" t="s">
        <v>62</v>
      </c>
      <c r="D767" t="s">
        <v>19</v>
      </c>
      <c r="E767" t="s">
        <v>71</v>
      </c>
      <c r="F767" t="s">
        <v>39</v>
      </c>
      <c r="G767">
        <v>8</v>
      </c>
      <c r="H767">
        <v>7000</v>
      </c>
      <c r="I767">
        <v>8</v>
      </c>
      <c r="J767">
        <v>391771</v>
      </c>
      <c r="K767">
        <v>12</v>
      </c>
      <c r="L767">
        <v>4</v>
      </c>
      <c r="M767" t="str">
        <f>VLOOKUP(Sales_Data!F767,Product_Master!$A$2:$D$11,2)</f>
        <v>Router</v>
      </c>
      <c r="N767" t="str">
        <f>VLOOKUP(F767,Product_Master!$A$2:$C$11,3)</f>
        <v>Electronics</v>
      </c>
      <c r="O767">
        <f>VLOOKUP(F767,Product_Master!$A$2:$D$11,4,FALSE)</f>
        <v>5000</v>
      </c>
      <c r="P767">
        <f t="shared" si="110"/>
        <v>56000</v>
      </c>
      <c r="Q767">
        <f t="shared" si="111"/>
        <v>4480</v>
      </c>
      <c r="R767">
        <f t="shared" si="112"/>
        <v>51520</v>
      </c>
      <c r="S767">
        <f t="shared" si="113"/>
        <v>11520</v>
      </c>
      <c r="T767" t="str">
        <f>_xlfn.CONCAT(Sales_Data!C767,"-",Sales_Data!E767,"-",Sales_Data!A767)</f>
        <v>East-C1019-1766</v>
      </c>
      <c r="U767" t="str">
        <f t="shared" si="114"/>
        <v>High Value</v>
      </c>
      <c r="V767" t="str" cm="1">
        <f t="array" ref="V767">_xlfn.IFS(R767&gt;=100000,"Excellent",R767&gt;=50000,"Good",R767&gt;=20000,"Average",TRUE,"Poor")</f>
        <v>Good</v>
      </c>
      <c r="W767">
        <f t="shared" si="115"/>
        <v>3</v>
      </c>
      <c r="X767" t="str">
        <f t="shared" si="116"/>
        <v>July</v>
      </c>
      <c r="Y767">
        <f>HLOOKUP("Q"&amp;W767,Bonus_HLookup!$A$1:$E$2,2,FALSE)</f>
        <v>0.06</v>
      </c>
      <c r="Z767">
        <f t="shared" si="117"/>
        <v>188050.08</v>
      </c>
      <c r="AA767" s="1">
        <f t="shared" si="118"/>
        <v>10316.833041001773</v>
      </c>
      <c r="AB767">
        <f t="shared" si="119"/>
        <v>287</v>
      </c>
    </row>
    <row r="768" spans="1:28" x14ac:dyDescent="0.3">
      <c r="A768">
        <v>1767</v>
      </c>
      <c r="B768" t="s">
        <v>101</v>
      </c>
      <c r="C768" t="s">
        <v>18</v>
      </c>
      <c r="D768" t="s">
        <v>59</v>
      </c>
      <c r="E768" t="s">
        <v>157</v>
      </c>
      <c r="F768" t="s">
        <v>39</v>
      </c>
      <c r="G768">
        <v>9</v>
      </c>
      <c r="H768">
        <v>7000</v>
      </c>
      <c r="I768">
        <v>2</v>
      </c>
      <c r="J768">
        <v>294725</v>
      </c>
      <c r="K768">
        <v>11</v>
      </c>
      <c r="L768">
        <v>5</v>
      </c>
      <c r="M768" t="str">
        <f>VLOOKUP(Sales_Data!F768,Product_Master!$A$2:$D$11,2)</f>
        <v>Router</v>
      </c>
      <c r="N768" t="str">
        <f>VLOOKUP(F768,Product_Master!$A$2:$C$11,3)</f>
        <v>Electronics</v>
      </c>
      <c r="O768">
        <f>VLOOKUP(F768,Product_Master!$A$2:$D$11,4,FALSE)</f>
        <v>5000</v>
      </c>
      <c r="P768">
        <f t="shared" si="110"/>
        <v>63000</v>
      </c>
      <c r="Q768">
        <f t="shared" si="111"/>
        <v>1260</v>
      </c>
      <c r="R768">
        <f t="shared" si="112"/>
        <v>61740</v>
      </c>
      <c r="S768">
        <f t="shared" si="113"/>
        <v>16740</v>
      </c>
      <c r="T768" t="str">
        <f>_xlfn.CONCAT(Sales_Data!C768,"-",Sales_Data!E768,"-",Sales_Data!A768)</f>
        <v>North-C1024-1767</v>
      </c>
      <c r="U768" t="str">
        <f t="shared" si="114"/>
        <v>High Value</v>
      </c>
      <c r="V768" t="str" cm="1">
        <f t="array" ref="V768">_xlfn.IFS(R768&gt;=100000,"Excellent",R768&gt;=50000,"Good",R768&gt;=20000,"Average",TRUE,"Poor")</f>
        <v>Good</v>
      </c>
      <c r="W768">
        <f t="shared" si="115"/>
        <v>4</v>
      </c>
      <c r="X768" t="str">
        <f t="shared" si="116"/>
        <v>October</v>
      </c>
      <c r="Y768">
        <f>HLOOKUP("Q"&amp;W768,Bonus_HLookup!$A$1:$E$2,2,FALSE)</f>
        <v>0.08</v>
      </c>
      <c r="Z768">
        <f t="shared" si="117"/>
        <v>162098.75</v>
      </c>
      <c r="AA768" s="1">
        <f t="shared" si="118"/>
        <v>6408.0356400847995</v>
      </c>
      <c r="AB768">
        <f t="shared" si="119"/>
        <v>248</v>
      </c>
    </row>
    <row r="769" spans="1:28" x14ac:dyDescent="0.3">
      <c r="A769">
        <v>1768</v>
      </c>
      <c r="B769" t="s">
        <v>215</v>
      </c>
      <c r="C769" t="s">
        <v>13</v>
      </c>
      <c r="D769" t="s">
        <v>46</v>
      </c>
      <c r="E769" t="s">
        <v>51</v>
      </c>
      <c r="F769" t="s">
        <v>16</v>
      </c>
      <c r="G769">
        <v>9</v>
      </c>
      <c r="H769">
        <v>2500</v>
      </c>
      <c r="I769">
        <v>8</v>
      </c>
      <c r="J769">
        <v>64977</v>
      </c>
      <c r="K769">
        <v>7</v>
      </c>
      <c r="L769">
        <v>3</v>
      </c>
      <c r="M769" t="str">
        <f>VLOOKUP(Sales_Data!F769,Product_Master!$A$2:$D$11,2)</f>
        <v>Speaker</v>
      </c>
      <c r="N769" t="str">
        <f>VLOOKUP(F769,Product_Master!$A$2:$C$11,3)</f>
        <v>Accessories</v>
      </c>
      <c r="O769">
        <f>VLOOKUP(F769,Product_Master!$A$2:$D$11,4,FALSE)</f>
        <v>1800</v>
      </c>
      <c r="P769">
        <f t="shared" si="110"/>
        <v>22500</v>
      </c>
      <c r="Q769">
        <f t="shared" si="111"/>
        <v>1800</v>
      </c>
      <c r="R769">
        <f t="shared" si="112"/>
        <v>20700</v>
      </c>
      <c r="S769">
        <f t="shared" si="113"/>
        <v>4500</v>
      </c>
      <c r="T769" t="str">
        <f>_xlfn.CONCAT(Sales_Data!C769,"-",Sales_Data!E769,"-",Sales_Data!A769)</f>
        <v>West-C1002-1768</v>
      </c>
      <c r="U769" t="str">
        <f t="shared" si="114"/>
        <v>Regular</v>
      </c>
      <c r="V769" t="str" cm="1">
        <f t="array" ref="V769">_xlfn.IFS(R769&gt;=100000,"Excellent",R769&gt;=50000,"Good",R769&gt;=20000,"Average",TRUE,"Poor")</f>
        <v>Average</v>
      </c>
      <c r="W769">
        <f t="shared" si="115"/>
        <v>1</v>
      </c>
      <c r="X769" t="str">
        <f t="shared" si="116"/>
        <v>March</v>
      </c>
      <c r="Y769">
        <f>HLOOKUP("Q"&amp;W769,Bonus_HLookup!$A$1:$E$2,2,FALSE)</f>
        <v>0.02</v>
      </c>
      <c r="Z769">
        <f t="shared" si="117"/>
        <v>13645.17</v>
      </c>
      <c r="AA769" s="1">
        <f t="shared" si="118"/>
        <v>2006.3011230212726</v>
      </c>
      <c r="AB769">
        <f t="shared" si="119"/>
        <v>438</v>
      </c>
    </row>
    <row r="770" spans="1:28" x14ac:dyDescent="0.3">
      <c r="A770">
        <v>1769</v>
      </c>
      <c r="B770" t="s">
        <v>294</v>
      </c>
      <c r="C770" t="s">
        <v>13</v>
      </c>
      <c r="D770" t="s">
        <v>59</v>
      </c>
      <c r="E770" t="s">
        <v>54</v>
      </c>
      <c r="F770" t="s">
        <v>25</v>
      </c>
      <c r="G770">
        <v>2</v>
      </c>
      <c r="H770">
        <v>1500</v>
      </c>
      <c r="I770">
        <v>15</v>
      </c>
      <c r="J770">
        <v>132145</v>
      </c>
      <c r="K770">
        <v>9</v>
      </c>
      <c r="L770">
        <v>1</v>
      </c>
      <c r="M770" t="str">
        <f>VLOOKUP(Sales_Data!F770,Product_Master!$A$2:$D$11,2)</f>
        <v>Keyboard</v>
      </c>
      <c r="N770" t="str">
        <f>VLOOKUP(F770,Product_Master!$A$2:$C$11,3)</f>
        <v>Accessories</v>
      </c>
      <c r="O770">
        <f>VLOOKUP(F770,Product_Master!$A$2:$D$11,4,FALSE)</f>
        <v>1200</v>
      </c>
      <c r="P770">
        <f t="shared" si="110"/>
        <v>3000</v>
      </c>
      <c r="Q770">
        <f t="shared" si="111"/>
        <v>450</v>
      </c>
      <c r="R770">
        <f t="shared" si="112"/>
        <v>2550</v>
      </c>
      <c r="S770">
        <f t="shared" si="113"/>
        <v>150</v>
      </c>
      <c r="T770" t="str">
        <f>_xlfn.CONCAT(Sales_Data!C770,"-",Sales_Data!E770,"-",Sales_Data!A770)</f>
        <v>West-C1034-1769</v>
      </c>
      <c r="U770" t="str">
        <f t="shared" si="114"/>
        <v>Regular</v>
      </c>
      <c r="V770" t="str" cm="1">
        <f t="array" ref="V770">_xlfn.IFS(R770&gt;=100000,"Excellent",R770&gt;=50000,"Good",R770&gt;=20000,"Average",TRUE,"Poor")</f>
        <v>Poor</v>
      </c>
      <c r="W770">
        <f t="shared" si="115"/>
        <v>3</v>
      </c>
      <c r="X770" t="str">
        <f t="shared" si="116"/>
        <v>July</v>
      </c>
      <c r="Y770">
        <f>HLOOKUP("Q"&amp;W770,Bonus_HLookup!$A$1:$E$2,2,FALSE)</f>
        <v>0.06</v>
      </c>
      <c r="Z770">
        <f t="shared" si="117"/>
        <v>11893.05</v>
      </c>
      <c r="AA770" s="1">
        <f t="shared" si="118"/>
        <v>11556.275397761267</v>
      </c>
      <c r="AB770">
        <f t="shared" si="119"/>
        <v>905</v>
      </c>
    </row>
    <row r="771" spans="1:28" x14ac:dyDescent="0.3">
      <c r="A771">
        <v>1770</v>
      </c>
      <c r="B771" t="s">
        <v>349</v>
      </c>
      <c r="C771" t="s">
        <v>13</v>
      </c>
      <c r="D771" t="s">
        <v>14</v>
      </c>
      <c r="E771" t="s">
        <v>183</v>
      </c>
      <c r="F771" t="s">
        <v>16</v>
      </c>
      <c r="G771">
        <v>1</v>
      </c>
      <c r="H771">
        <v>2500</v>
      </c>
      <c r="I771">
        <v>8</v>
      </c>
      <c r="J771">
        <v>404720</v>
      </c>
      <c r="K771">
        <v>7</v>
      </c>
      <c r="L771">
        <v>2</v>
      </c>
      <c r="M771" t="str">
        <f>VLOOKUP(Sales_Data!F771,Product_Master!$A$2:$D$11,2)</f>
        <v>Speaker</v>
      </c>
      <c r="N771" t="str">
        <f>VLOOKUP(F771,Product_Master!$A$2:$C$11,3)</f>
        <v>Accessories</v>
      </c>
      <c r="O771">
        <f>VLOOKUP(F771,Product_Master!$A$2:$D$11,4,FALSE)</f>
        <v>1800</v>
      </c>
      <c r="P771">
        <f t="shared" ref="P771:P834" si="120">H771*G771</f>
        <v>2500</v>
      </c>
      <c r="Q771">
        <f t="shared" ref="Q771:Q834" si="121">P771*(I771/100)</f>
        <v>200</v>
      </c>
      <c r="R771">
        <f t="shared" ref="R771:R834" si="122">P771-Q771</f>
        <v>2300</v>
      </c>
      <c r="S771">
        <f t="shared" ref="S771:S834" si="123">R771-(G771*O771)</f>
        <v>500</v>
      </c>
      <c r="T771" t="str">
        <f>_xlfn.CONCAT(Sales_Data!C771,"-",Sales_Data!E771,"-",Sales_Data!A771)</f>
        <v>West-C1008-1770</v>
      </c>
      <c r="U771" t="str">
        <f t="shared" ref="U771:U834" si="124">IF(R771&gt;=50000,"High Value","Regular")</f>
        <v>Regular</v>
      </c>
      <c r="V771" t="str" cm="1">
        <f t="array" ref="V771">_xlfn.IFS(R771&gt;=100000,"Excellent",R771&gt;=50000,"Good",R771&gt;=20000,"Average",TRUE,"Poor")</f>
        <v>Poor</v>
      </c>
      <c r="W771">
        <f t="shared" ref="W771:W834" si="125">ROUNDUP(MONTH(B771)/3,0)</f>
        <v>1</v>
      </c>
      <c r="X771" t="str">
        <f t="shared" ref="X771:X834" si="126">TEXT(B771,"mmmm")</f>
        <v>January</v>
      </c>
      <c r="Y771">
        <f>HLOOKUP("Q"&amp;W771,Bonus_HLookup!$A$1:$E$2,2,FALSE)</f>
        <v>0.02</v>
      </c>
      <c r="Z771">
        <f t="shared" ref="Z771:Z834" si="127">(J771*K771*L771)/100</f>
        <v>56660.800000000003</v>
      </c>
      <c r="AA771" s="1">
        <f t="shared" ref="AA771:AA834" si="128">PMT(K771/1200,L771*12,-J771)</f>
        <v>18120.358214625016</v>
      </c>
      <c r="AB771">
        <f t="shared" ref="AB771:AB834" si="129">RANK(R771,$R$2:$R$1001)</f>
        <v>917</v>
      </c>
    </row>
    <row r="772" spans="1:28" x14ac:dyDescent="0.3">
      <c r="A772">
        <v>1771</v>
      </c>
      <c r="B772" t="s">
        <v>148</v>
      </c>
      <c r="C772" t="s">
        <v>18</v>
      </c>
      <c r="D772" t="s">
        <v>23</v>
      </c>
      <c r="E772" t="s">
        <v>157</v>
      </c>
      <c r="F772" t="s">
        <v>36</v>
      </c>
      <c r="G772">
        <v>1</v>
      </c>
      <c r="H772">
        <v>55000</v>
      </c>
      <c r="I772">
        <v>15</v>
      </c>
      <c r="J772">
        <v>407934</v>
      </c>
      <c r="K772">
        <v>11</v>
      </c>
      <c r="L772">
        <v>2</v>
      </c>
      <c r="M772" t="str">
        <f>VLOOKUP(Sales_Data!F772,Product_Master!$A$2:$D$11,2)</f>
        <v>Laptop</v>
      </c>
      <c r="N772" t="str">
        <f>VLOOKUP(F772,Product_Master!$A$2:$C$11,3)</f>
        <v>Electronics</v>
      </c>
      <c r="O772">
        <f>VLOOKUP(F772,Product_Master!$A$2:$D$11,4,FALSE)</f>
        <v>45000</v>
      </c>
      <c r="P772">
        <f t="shared" si="120"/>
        <v>55000</v>
      </c>
      <c r="Q772">
        <f t="shared" si="121"/>
        <v>8250</v>
      </c>
      <c r="R772">
        <f t="shared" si="122"/>
        <v>46750</v>
      </c>
      <c r="S772">
        <f t="shared" si="123"/>
        <v>1750</v>
      </c>
      <c r="T772" t="str">
        <f>_xlfn.CONCAT(Sales_Data!C772,"-",Sales_Data!E772,"-",Sales_Data!A772)</f>
        <v>North-C1024-1771</v>
      </c>
      <c r="U772" t="str">
        <f t="shared" si="124"/>
        <v>Regular</v>
      </c>
      <c r="V772" t="str" cm="1">
        <f t="array" ref="V772">_xlfn.IFS(R772&gt;=100000,"Excellent",R772&gt;=50000,"Good",R772&gt;=20000,"Average",TRUE,"Poor")</f>
        <v>Average</v>
      </c>
      <c r="W772">
        <f t="shared" si="125"/>
        <v>2</v>
      </c>
      <c r="X772" t="str">
        <f t="shared" si="126"/>
        <v>May</v>
      </c>
      <c r="Y772">
        <f>HLOOKUP("Q"&amp;W772,Bonus_HLookup!$A$1:$E$2,2,FALSE)</f>
        <v>0.04</v>
      </c>
      <c r="Z772">
        <f t="shared" si="127"/>
        <v>89745.48</v>
      </c>
      <c r="AA772" s="1">
        <f t="shared" si="128"/>
        <v>19012.921866861256</v>
      </c>
      <c r="AB772">
        <f t="shared" si="129"/>
        <v>313</v>
      </c>
    </row>
    <row r="773" spans="1:28" x14ac:dyDescent="0.3">
      <c r="A773">
        <v>1772</v>
      </c>
      <c r="B773" t="s">
        <v>392</v>
      </c>
      <c r="C773" t="s">
        <v>18</v>
      </c>
      <c r="D773" t="s">
        <v>59</v>
      </c>
      <c r="E773" t="s">
        <v>44</v>
      </c>
      <c r="F773" t="s">
        <v>36</v>
      </c>
      <c r="G773">
        <v>8</v>
      </c>
      <c r="H773">
        <v>55000</v>
      </c>
      <c r="I773">
        <v>15</v>
      </c>
      <c r="J773">
        <v>168433</v>
      </c>
      <c r="K773">
        <v>9</v>
      </c>
      <c r="L773">
        <v>3</v>
      </c>
      <c r="M773" t="str">
        <f>VLOOKUP(Sales_Data!F773,Product_Master!$A$2:$D$11,2)</f>
        <v>Laptop</v>
      </c>
      <c r="N773" t="str">
        <f>VLOOKUP(F773,Product_Master!$A$2:$C$11,3)</f>
        <v>Electronics</v>
      </c>
      <c r="O773">
        <f>VLOOKUP(F773,Product_Master!$A$2:$D$11,4,FALSE)</f>
        <v>45000</v>
      </c>
      <c r="P773">
        <f t="shared" si="120"/>
        <v>440000</v>
      </c>
      <c r="Q773">
        <f t="shared" si="121"/>
        <v>66000</v>
      </c>
      <c r="R773">
        <f t="shared" si="122"/>
        <v>374000</v>
      </c>
      <c r="S773">
        <f t="shared" si="123"/>
        <v>14000</v>
      </c>
      <c r="T773" t="str">
        <f>_xlfn.CONCAT(Sales_Data!C773,"-",Sales_Data!E773,"-",Sales_Data!A773)</f>
        <v>North-C1028-1772</v>
      </c>
      <c r="U773" t="str">
        <f t="shared" si="124"/>
        <v>High Value</v>
      </c>
      <c r="V773" t="str" cm="1">
        <f t="array" ref="V773">_xlfn.IFS(R773&gt;=100000,"Excellent",R773&gt;=50000,"Good",R773&gt;=20000,"Average",TRUE,"Poor")</f>
        <v>Excellent</v>
      </c>
      <c r="W773">
        <f t="shared" si="125"/>
        <v>4</v>
      </c>
      <c r="X773" t="str">
        <f t="shared" si="126"/>
        <v>October</v>
      </c>
      <c r="Y773">
        <f>HLOOKUP("Q"&amp;W773,Bonus_HLookup!$A$1:$E$2,2,FALSE)</f>
        <v>0.08</v>
      </c>
      <c r="Z773">
        <f t="shared" si="127"/>
        <v>45476.91</v>
      </c>
      <c r="AA773" s="1">
        <f t="shared" si="128"/>
        <v>5356.1243711117895</v>
      </c>
      <c r="AB773">
        <f t="shared" si="129"/>
        <v>27</v>
      </c>
    </row>
    <row r="774" spans="1:28" x14ac:dyDescent="0.3">
      <c r="A774">
        <v>1773</v>
      </c>
      <c r="B774" t="s">
        <v>264</v>
      </c>
      <c r="C774" t="s">
        <v>18</v>
      </c>
      <c r="D774" t="s">
        <v>14</v>
      </c>
      <c r="E774" t="s">
        <v>140</v>
      </c>
      <c r="F774" t="s">
        <v>42</v>
      </c>
      <c r="G774">
        <v>2</v>
      </c>
      <c r="H774">
        <v>8000</v>
      </c>
      <c r="I774">
        <v>0</v>
      </c>
      <c r="J774">
        <v>293623</v>
      </c>
      <c r="K774">
        <v>12</v>
      </c>
      <c r="L774">
        <v>3</v>
      </c>
      <c r="M774" t="str">
        <f>VLOOKUP(Sales_Data!F774,Product_Master!$A$2:$D$11,2)</f>
        <v>Printer</v>
      </c>
      <c r="N774" t="str">
        <f>VLOOKUP(F774,Product_Master!$A$2:$C$11,3)</f>
        <v>Electronics</v>
      </c>
      <c r="O774">
        <f>VLOOKUP(F774,Product_Master!$A$2:$D$11,4,FALSE)</f>
        <v>6500</v>
      </c>
      <c r="P774">
        <f t="shared" si="120"/>
        <v>16000</v>
      </c>
      <c r="Q774">
        <f t="shared" si="121"/>
        <v>0</v>
      </c>
      <c r="R774">
        <f t="shared" si="122"/>
        <v>16000</v>
      </c>
      <c r="S774">
        <f t="shared" si="123"/>
        <v>3000</v>
      </c>
      <c r="T774" t="str">
        <f>_xlfn.CONCAT(Sales_Data!C774,"-",Sales_Data!E774,"-",Sales_Data!A774)</f>
        <v>North-C1011-1773</v>
      </c>
      <c r="U774" t="str">
        <f t="shared" si="124"/>
        <v>Regular</v>
      </c>
      <c r="V774" t="str" cm="1">
        <f t="array" ref="V774">_xlfn.IFS(R774&gt;=100000,"Excellent",R774&gt;=50000,"Good",R774&gt;=20000,"Average",TRUE,"Poor")</f>
        <v>Poor</v>
      </c>
      <c r="W774">
        <f t="shared" si="125"/>
        <v>3</v>
      </c>
      <c r="X774" t="str">
        <f t="shared" si="126"/>
        <v>July</v>
      </c>
      <c r="Y774">
        <f>HLOOKUP("Q"&amp;W774,Bonus_HLookup!$A$1:$E$2,2,FALSE)</f>
        <v>0.06</v>
      </c>
      <c r="Z774">
        <f t="shared" si="127"/>
        <v>105704.28</v>
      </c>
      <c r="AA774" s="1">
        <f t="shared" si="128"/>
        <v>9752.4852901788054</v>
      </c>
      <c r="AB774">
        <f t="shared" si="129"/>
        <v>514</v>
      </c>
    </row>
    <row r="775" spans="1:28" x14ac:dyDescent="0.3">
      <c r="A775">
        <v>1774</v>
      </c>
      <c r="B775" t="s">
        <v>268</v>
      </c>
      <c r="C775" t="s">
        <v>62</v>
      </c>
      <c r="D775" t="s">
        <v>14</v>
      </c>
      <c r="E775" t="s">
        <v>146</v>
      </c>
      <c r="F775" t="s">
        <v>21</v>
      </c>
      <c r="G775">
        <v>8</v>
      </c>
      <c r="H775">
        <v>12000</v>
      </c>
      <c r="I775">
        <v>5</v>
      </c>
      <c r="J775">
        <v>472505</v>
      </c>
      <c r="K775">
        <v>12</v>
      </c>
      <c r="L775">
        <v>3</v>
      </c>
      <c r="M775" t="str">
        <f>VLOOKUP(Sales_Data!F775,Product_Master!$A$2:$D$11,2)</f>
        <v>Monitor</v>
      </c>
      <c r="N775" t="str">
        <f>VLOOKUP(F775,Product_Master!$A$2:$C$11,3)</f>
        <v>Electronics</v>
      </c>
      <c r="O775">
        <f>VLOOKUP(F775,Product_Master!$A$2:$D$11,4,FALSE)</f>
        <v>9000</v>
      </c>
      <c r="P775">
        <f t="shared" si="120"/>
        <v>96000</v>
      </c>
      <c r="Q775">
        <f t="shared" si="121"/>
        <v>4800</v>
      </c>
      <c r="R775">
        <f t="shared" si="122"/>
        <v>91200</v>
      </c>
      <c r="S775">
        <f t="shared" si="123"/>
        <v>19200</v>
      </c>
      <c r="T775" t="str">
        <f>_xlfn.CONCAT(Sales_Data!C775,"-",Sales_Data!E775,"-",Sales_Data!A775)</f>
        <v>East-C1017-1774</v>
      </c>
      <c r="U775" t="str">
        <f t="shared" si="124"/>
        <v>High Value</v>
      </c>
      <c r="V775" t="str" cm="1">
        <f t="array" ref="V775">_xlfn.IFS(R775&gt;=100000,"Excellent",R775&gt;=50000,"Good",R775&gt;=20000,"Average",TRUE,"Poor")</f>
        <v>Good</v>
      </c>
      <c r="W775">
        <f t="shared" si="125"/>
        <v>3</v>
      </c>
      <c r="X775" t="str">
        <f t="shared" si="126"/>
        <v>September</v>
      </c>
      <c r="Y775">
        <f>HLOOKUP("Q"&amp;W775,Bonus_HLookup!$A$1:$E$2,2,FALSE)</f>
        <v>0.06</v>
      </c>
      <c r="Z775">
        <f t="shared" si="127"/>
        <v>170101.8</v>
      </c>
      <c r="AA775" s="1">
        <f t="shared" si="128"/>
        <v>15693.92745812125</v>
      </c>
      <c r="AB775">
        <f t="shared" si="129"/>
        <v>184</v>
      </c>
    </row>
    <row r="776" spans="1:28" x14ac:dyDescent="0.3">
      <c r="A776">
        <v>1775</v>
      </c>
      <c r="B776" t="s">
        <v>12</v>
      </c>
      <c r="C776" t="s">
        <v>13</v>
      </c>
      <c r="D776" t="s">
        <v>91</v>
      </c>
      <c r="E776" t="s">
        <v>47</v>
      </c>
      <c r="F776" t="s">
        <v>74</v>
      </c>
      <c r="G776">
        <v>4</v>
      </c>
      <c r="H776">
        <v>35000</v>
      </c>
      <c r="I776">
        <v>12</v>
      </c>
      <c r="J776">
        <v>422833</v>
      </c>
      <c r="K776">
        <v>8</v>
      </c>
      <c r="L776">
        <v>3</v>
      </c>
      <c r="M776" t="str">
        <f>VLOOKUP(Sales_Data!F776,Product_Master!$A$2:$D$11,2)</f>
        <v>Tablet</v>
      </c>
      <c r="N776" t="str">
        <f>VLOOKUP(F776,Product_Master!$A$2:$C$11,3)</f>
        <v>Electronics</v>
      </c>
      <c r="O776">
        <f>VLOOKUP(F776,Product_Master!$A$2:$D$11,4,FALSE)</f>
        <v>29000</v>
      </c>
      <c r="P776">
        <f t="shared" si="120"/>
        <v>140000</v>
      </c>
      <c r="Q776">
        <f t="shared" si="121"/>
        <v>16800</v>
      </c>
      <c r="R776">
        <f t="shared" si="122"/>
        <v>123200</v>
      </c>
      <c r="S776">
        <f t="shared" si="123"/>
        <v>7200</v>
      </c>
      <c r="T776" t="str">
        <f>_xlfn.CONCAT(Sales_Data!C776,"-",Sales_Data!E776,"-",Sales_Data!A776)</f>
        <v>West-C1030-1775</v>
      </c>
      <c r="U776" t="str">
        <f t="shared" si="124"/>
        <v>High Value</v>
      </c>
      <c r="V776" t="str" cm="1">
        <f t="array" ref="V776">_xlfn.IFS(R776&gt;=100000,"Excellent",R776&gt;=50000,"Good",R776&gt;=20000,"Average",TRUE,"Poor")</f>
        <v>Excellent</v>
      </c>
      <c r="W776">
        <f t="shared" si="125"/>
        <v>4</v>
      </c>
      <c r="X776" t="str">
        <f t="shared" si="126"/>
        <v>December</v>
      </c>
      <c r="Y776">
        <f>HLOOKUP("Q"&amp;W776,Bonus_HLookup!$A$1:$E$2,2,FALSE)</f>
        <v>0.08</v>
      </c>
      <c r="Z776">
        <f t="shared" si="127"/>
        <v>101479.92</v>
      </c>
      <c r="AA776" s="1">
        <f t="shared" si="128"/>
        <v>13250.049417153192</v>
      </c>
      <c r="AB776">
        <f t="shared" si="129"/>
        <v>142</v>
      </c>
    </row>
    <row r="777" spans="1:28" x14ac:dyDescent="0.3">
      <c r="A777">
        <v>1776</v>
      </c>
      <c r="B777" t="s">
        <v>197</v>
      </c>
      <c r="C777" t="s">
        <v>62</v>
      </c>
      <c r="D777" t="s">
        <v>50</v>
      </c>
      <c r="E777" t="s">
        <v>71</v>
      </c>
      <c r="F777" t="s">
        <v>52</v>
      </c>
      <c r="G777">
        <v>10</v>
      </c>
      <c r="H777">
        <v>500</v>
      </c>
      <c r="I777">
        <v>10</v>
      </c>
      <c r="J777">
        <v>156340</v>
      </c>
      <c r="K777">
        <v>7</v>
      </c>
      <c r="L777">
        <v>5</v>
      </c>
      <c r="M777" t="str">
        <f>VLOOKUP(Sales_Data!F777,Product_Master!$A$2:$D$11,2)</f>
        <v>Mouse</v>
      </c>
      <c r="N777" t="str">
        <f>VLOOKUP(F777,Product_Master!$A$2:$C$11,3)</f>
        <v>Accessories</v>
      </c>
      <c r="O777">
        <f>VLOOKUP(F777,Product_Master!$A$2:$D$11,4,FALSE)</f>
        <v>350</v>
      </c>
      <c r="P777">
        <f t="shared" si="120"/>
        <v>5000</v>
      </c>
      <c r="Q777">
        <f t="shared" si="121"/>
        <v>500</v>
      </c>
      <c r="R777">
        <f t="shared" si="122"/>
        <v>4500</v>
      </c>
      <c r="S777">
        <f t="shared" si="123"/>
        <v>1000</v>
      </c>
      <c r="T777" t="str">
        <f>_xlfn.CONCAT(Sales_Data!C777,"-",Sales_Data!E777,"-",Sales_Data!A777)</f>
        <v>East-C1019-1776</v>
      </c>
      <c r="U777" t="str">
        <f t="shared" si="124"/>
        <v>Regular</v>
      </c>
      <c r="V777" t="str" cm="1">
        <f t="array" ref="V777">_xlfn.IFS(R777&gt;=100000,"Excellent",R777&gt;=50000,"Good",R777&gt;=20000,"Average",TRUE,"Poor")</f>
        <v>Poor</v>
      </c>
      <c r="W777">
        <f t="shared" si="125"/>
        <v>1</v>
      </c>
      <c r="X777" t="str">
        <f t="shared" si="126"/>
        <v>February</v>
      </c>
      <c r="Y777">
        <f>HLOOKUP("Q"&amp;W777,Bonus_HLookup!$A$1:$E$2,2,FALSE)</f>
        <v>0.02</v>
      </c>
      <c r="Z777">
        <f t="shared" si="127"/>
        <v>54719</v>
      </c>
      <c r="AA777" s="1">
        <f t="shared" si="128"/>
        <v>3095.7193797982459</v>
      </c>
      <c r="AB777">
        <f t="shared" si="129"/>
        <v>805</v>
      </c>
    </row>
    <row r="778" spans="1:28" x14ac:dyDescent="0.3">
      <c r="A778">
        <v>1777</v>
      </c>
      <c r="B778" t="s">
        <v>149</v>
      </c>
      <c r="C778" t="s">
        <v>13</v>
      </c>
      <c r="D778" t="s">
        <v>19</v>
      </c>
      <c r="E778" t="s">
        <v>231</v>
      </c>
      <c r="F778" t="s">
        <v>16</v>
      </c>
      <c r="G778">
        <v>8</v>
      </c>
      <c r="H778">
        <v>2500</v>
      </c>
      <c r="I778">
        <v>8</v>
      </c>
      <c r="J778">
        <v>353403</v>
      </c>
      <c r="K778">
        <v>9</v>
      </c>
      <c r="L778">
        <v>3</v>
      </c>
      <c r="M778" t="str">
        <f>VLOOKUP(Sales_Data!F778,Product_Master!$A$2:$D$11,2)</f>
        <v>Speaker</v>
      </c>
      <c r="N778" t="str">
        <f>VLOOKUP(F778,Product_Master!$A$2:$C$11,3)</f>
        <v>Accessories</v>
      </c>
      <c r="O778">
        <f>VLOOKUP(F778,Product_Master!$A$2:$D$11,4,FALSE)</f>
        <v>1800</v>
      </c>
      <c r="P778">
        <f t="shared" si="120"/>
        <v>20000</v>
      </c>
      <c r="Q778">
        <f t="shared" si="121"/>
        <v>1600</v>
      </c>
      <c r="R778">
        <f t="shared" si="122"/>
        <v>18400</v>
      </c>
      <c r="S778">
        <f t="shared" si="123"/>
        <v>4000</v>
      </c>
      <c r="T778" t="str">
        <f>_xlfn.CONCAT(Sales_Data!C778,"-",Sales_Data!E778,"-",Sales_Data!A778)</f>
        <v>West-C1006-1777</v>
      </c>
      <c r="U778" t="str">
        <f t="shared" si="124"/>
        <v>Regular</v>
      </c>
      <c r="V778" t="str" cm="1">
        <f t="array" ref="V778">_xlfn.IFS(R778&gt;=100000,"Excellent",R778&gt;=50000,"Good",R778&gt;=20000,"Average",TRUE,"Poor")</f>
        <v>Poor</v>
      </c>
      <c r="W778">
        <f t="shared" si="125"/>
        <v>2</v>
      </c>
      <c r="X778" t="str">
        <f t="shared" si="126"/>
        <v>June</v>
      </c>
      <c r="Y778">
        <f>HLOOKUP("Q"&amp;W778,Bonus_HLookup!$A$1:$E$2,2,FALSE)</f>
        <v>0.04</v>
      </c>
      <c r="Z778">
        <f t="shared" si="127"/>
        <v>95418.81</v>
      </c>
      <c r="AA778" s="1">
        <f t="shared" si="128"/>
        <v>11238.120921221018</v>
      </c>
      <c r="AB778">
        <f t="shared" si="129"/>
        <v>473</v>
      </c>
    </row>
    <row r="779" spans="1:28" x14ac:dyDescent="0.3">
      <c r="A779">
        <v>1778</v>
      </c>
      <c r="B779" t="s">
        <v>283</v>
      </c>
      <c r="C779" t="s">
        <v>18</v>
      </c>
      <c r="D779" t="s">
        <v>14</v>
      </c>
      <c r="E779" t="s">
        <v>122</v>
      </c>
      <c r="F779" t="s">
        <v>25</v>
      </c>
      <c r="G779">
        <v>9</v>
      </c>
      <c r="H779">
        <v>1500</v>
      </c>
      <c r="I779">
        <v>5</v>
      </c>
      <c r="J779">
        <v>183580</v>
      </c>
      <c r="K779">
        <v>7</v>
      </c>
      <c r="L779">
        <v>1</v>
      </c>
      <c r="M779" t="str">
        <f>VLOOKUP(Sales_Data!F779,Product_Master!$A$2:$D$11,2)</f>
        <v>Keyboard</v>
      </c>
      <c r="N779" t="str">
        <f>VLOOKUP(F779,Product_Master!$A$2:$C$11,3)</f>
        <v>Accessories</v>
      </c>
      <c r="O779">
        <f>VLOOKUP(F779,Product_Master!$A$2:$D$11,4,FALSE)</f>
        <v>1200</v>
      </c>
      <c r="P779">
        <f t="shared" si="120"/>
        <v>13500</v>
      </c>
      <c r="Q779">
        <f t="shared" si="121"/>
        <v>675</v>
      </c>
      <c r="R779">
        <f t="shared" si="122"/>
        <v>12825</v>
      </c>
      <c r="S779">
        <f t="shared" si="123"/>
        <v>2025</v>
      </c>
      <c r="T779" t="str">
        <f>_xlfn.CONCAT(Sales_Data!C779,"-",Sales_Data!E779,"-",Sales_Data!A779)</f>
        <v>North-C1046-1778</v>
      </c>
      <c r="U779" t="str">
        <f t="shared" si="124"/>
        <v>Regular</v>
      </c>
      <c r="V779" t="str" cm="1">
        <f t="array" ref="V779">_xlfn.IFS(R779&gt;=100000,"Excellent",R779&gt;=50000,"Good",R779&gt;=20000,"Average",TRUE,"Poor")</f>
        <v>Poor</v>
      </c>
      <c r="W779">
        <f t="shared" si="125"/>
        <v>1</v>
      </c>
      <c r="X779" t="str">
        <f t="shared" si="126"/>
        <v>January</v>
      </c>
      <c r="Y779">
        <f>HLOOKUP("Q"&amp;W779,Bonus_HLookup!$A$1:$E$2,2,FALSE)</f>
        <v>0.02</v>
      </c>
      <c r="Z779">
        <f t="shared" si="127"/>
        <v>12850.6</v>
      </c>
      <c r="AA779" s="1">
        <f t="shared" si="128"/>
        <v>15884.580048696183</v>
      </c>
      <c r="AB779">
        <f t="shared" si="129"/>
        <v>574</v>
      </c>
    </row>
    <row r="780" spans="1:28" x14ac:dyDescent="0.3">
      <c r="A780">
        <v>1779</v>
      </c>
      <c r="B780" t="s">
        <v>37</v>
      </c>
      <c r="C780" t="s">
        <v>62</v>
      </c>
      <c r="D780" t="s">
        <v>19</v>
      </c>
      <c r="E780" t="s">
        <v>131</v>
      </c>
      <c r="F780" t="s">
        <v>16</v>
      </c>
      <c r="G780">
        <v>3</v>
      </c>
      <c r="H780">
        <v>2500</v>
      </c>
      <c r="I780">
        <v>12</v>
      </c>
      <c r="J780">
        <v>285018</v>
      </c>
      <c r="K780">
        <v>8</v>
      </c>
      <c r="L780">
        <v>5</v>
      </c>
      <c r="M780" t="str">
        <f>VLOOKUP(Sales_Data!F780,Product_Master!$A$2:$D$11,2)</f>
        <v>Speaker</v>
      </c>
      <c r="N780" t="str">
        <f>VLOOKUP(F780,Product_Master!$A$2:$C$11,3)</f>
        <v>Accessories</v>
      </c>
      <c r="O780">
        <f>VLOOKUP(F780,Product_Master!$A$2:$D$11,4,FALSE)</f>
        <v>1800</v>
      </c>
      <c r="P780">
        <f t="shared" si="120"/>
        <v>7500</v>
      </c>
      <c r="Q780">
        <f t="shared" si="121"/>
        <v>900</v>
      </c>
      <c r="R780">
        <f t="shared" si="122"/>
        <v>6600</v>
      </c>
      <c r="S780">
        <f t="shared" si="123"/>
        <v>1200</v>
      </c>
      <c r="T780" t="str">
        <f>_xlfn.CONCAT(Sales_Data!C780,"-",Sales_Data!E780,"-",Sales_Data!A780)</f>
        <v>East-C1047-1779</v>
      </c>
      <c r="U780" t="str">
        <f t="shared" si="124"/>
        <v>Regular</v>
      </c>
      <c r="V780" t="str" cm="1">
        <f t="array" ref="V780">_xlfn.IFS(R780&gt;=100000,"Excellent",R780&gt;=50000,"Good",R780&gt;=20000,"Average",TRUE,"Poor")</f>
        <v>Poor</v>
      </c>
      <c r="W780">
        <f t="shared" si="125"/>
        <v>4</v>
      </c>
      <c r="X780" t="str">
        <f t="shared" si="126"/>
        <v>November</v>
      </c>
      <c r="Y780">
        <f>HLOOKUP("Q"&amp;W780,Bonus_HLookup!$A$1:$E$2,2,FALSE)</f>
        <v>0.08</v>
      </c>
      <c r="Z780">
        <f t="shared" si="127"/>
        <v>114007.2</v>
      </c>
      <c r="AA780" s="1">
        <f t="shared" si="128"/>
        <v>5779.1373472950909</v>
      </c>
      <c r="AB780">
        <f t="shared" si="129"/>
        <v>738</v>
      </c>
    </row>
    <row r="781" spans="1:28" x14ac:dyDescent="0.3">
      <c r="A781">
        <v>1780</v>
      </c>
      <c r="B781" t="s">
        <v>285</v>
      </c>
      <c r="C781" t="s">
        <v>30</v>
      </c>
      <c r="D781" t="s">
        <v>91</v>
      </c>
      <c r="E781" t="s">
        <v>231</v>
      </c>
      <c r="F781" t="s">
        <v>25</v>
      </c>
      <c r="G781">
        <v>4</v>
      </c>
      <c r="H781">
        <v>1500</v>
      </c>
      <c r="I781">
        <v>2</v>
      </c>
      <c r="J781">
        <v>497774</v>
      </c>
      <c r="K781">
        <v>7</v>
      </c>
      <c r="L781">
        <v>5</v>
      </c>
      <c r="M781" t="str">
        <f>VLOOKUP(Sales_Data!F781,Product_Master!$A$2:$D$11,2)</f>
        <v>Keyboard</v>
      </c>
      <c r="N781" t="str">
        <f>VLOOKUP(F781,Product_Master!$A$2:$C$11,3)</f>
        <v>Accessories</v>
      </c>
      <c r="O781">
        <f>VLOOKUP(F781,Product_Master!$A$2:$D$11,4,FALSE)</f>
        <v>1200</v>
      </c>
      <c r="P781">
        <f t="shared" si="120"/>
        <v>6000</v>
      </c>
      <c r="Q781">
        <f t="shared" si="121"/>
        <v>120</v>
      </c>
      <c r="R781">
        <f t="shared" si="122"/>
        <v>5880</v>
      </c>
      <c r="S781">
        <f t="shared" si="123"/>
        <v>1080</v>
      </c>
      <c r="T781" t="str">
        <f>_xlfn.CONCAT(Sales_Data!C781,"-",Sales_Data!E781,"-",Sales_Data!A781)</f>
        <v>South-C1006-1780</v>
      </c>
      <c r="U781" t="str">
        <f t="shared" si="124"/>
        <v>Regular</v>
      </c>
      <c r="V781" t="str" cm="1">
        <f t="array" ref="V781">_xlfn.IFS(R781&gt;=100000,"Excellent",R781&gt;=50000,"Good",R781&gt;=20000,"Average",TRUE,"Poor")</f>
        <v>Poor</v>
      </c>
      <c r="W781">
        <f t="shared" si="125"/>
        <v>2</v>
      </c>
      <c r="X781" t="str">
        <f t="shared" si="126"/>
        <v>May</v>
      </c>
      <c r="Y781">
        <f>HLOOKUP("Q"&amp;W781,Bonus_HLookup!$A$1:$E$2,2,FALSE)</f>
        <v>0.04</v>
      </c>
      <c r="Z781">
        <f t="shared" si="127"/>
        <v>174220.9</v>
      </c>
      <c r="AA781" s="1">
        <f t="shared" si="128"/>
        <v>9856.5218022239496</v>
      </c>
      <c r="AB781">
        <f t="shared" si="129"/>
        <v>763</v>
      </c>
    </row>
    <row r="782" spans="1:28" x14ac:dyDescent="0.3">
      <c r="A782">
        <v>1781</v>
      </c>
      <c r="B782" t="s">
        <v>406</v>
      </c>
      <c r="C782" t="s">
        <v>13</v>
      </c>
      <c r="D782" t="s">
        <v>14</v>
      </c>
      <c r="E782" t="s">
        <v>187</v>
      </c>
      <c r="F782" t="s">
        <v>36</v>
      </c>
      <c r="G782">
        <v>7</v>
      </c>
      <c r="H782">
        <v>55000</v>
      </c>
      <c r="I782">
        <v>8</v>
      </c>
      <c r="J782">
        <v>138073</v>
      </c>
      <c r="K782">
        <v>7</v>
      </c>
      <c r="L782">
        <v>3</v>
      </c>
      <c r="M782" t="str">
        <f>VLOOKUP(Sales_Data!F782,Product_Master!$A$2:$D$11,2)</f>
        <v>Laptop</v>
      </c>
      <c r="N782" t="str">
        <f>VLOOKUP(F782,Product_Master!$A$2:$C$11,3)</f>
        <v>Electronics</v>
      </c>
      <c r="O782">
        <f>VLOOKUP(F782,Product_Master!$A$2:$D$11,4,FALSE)</f>
        <v>45000</v>
      </c>
      <c r="P782">
        <f t="shared" si="120"/>
        <v>385000</v>
      </c>
      <c r="Q782">
        <f t="shared" si="121"/>
        <v>30800</v>
      </c>
      <c r="R782">
        <f t="shared" si="122"/>
        <v>354200</v>
      </c>
      <c r="S782">
        <f t="shared" si="123"/>
        <v>39200</v>
      </c>
      <c r="T782" t="str">
        <f>_xlfn.CONCAT(Sales_Data!C782,"-",Sales_Data!E782,"-",Sales_Data!A782)</f>
        <v>West-C1041-1781</v>
      </c>
      <c r="U782" t="str">
        <f t="shared" si="124"/>
        <v>High Value</v>
      </c>
      <c r="V782" t="str" cm="1">
        <f t="array" ref="V782">_xlfn.IFS(R782&gt;=100000,"Excellent",R782&gt;=50000,"Good",R782&gt;=20000,"Average",TRUE,"Poor")</f>
        <v>Excellent</v>
      </c>
      <c r="W782">
        <f t="shared" si="125"/>
        <v>1</v>
      </c>
      <c r="X782" t="str">
        <f t="shared" si="126"/>
        <v>March</v>
      </c>
      <c r="Y782">
        <f>HLOOKUP("Q"&amp;W782,Bonus_HLookup!$A$1:$E$2,2,FALSE)</f>
        <v>0.02</v>
      </c>
      <c r="Z782">
        <f t="shared" si="127"/>
        <v>28995.33</v>
      </c>
      <c r="AA782" s="1">
        <f t="shared" si="128"/>
        <v>4263.2933954925002</v>
      </c>
      <c r="AB782">
        <f t="shared" si="129"/>
        <v>31</v>
      </c>
    </row>
    <row r="783" spans="1:28" x14ac:dyDescent="0.3">
      <c r="A783">
        <v>1782</v>
      </c>
      <c r="B783" t="s">
        <v>261</v>
      </c>
      <c r="C783" t="s">
        <v>62</v>
      </c>
      <c r="D783" t="s">
        <v>14</v>
      </c>
      <c r="E783" t="s">
        <v>172</v>
      </c>
      <c r="F783" t="s">
        <v>74</v>
      </c>
      <c r="G783">
        <v>4</v>
      </c>
      <c r="H783">
        <v>35000</v>
      </c>
      <c r="I783">
        <v>15</v>
      </c>
      <c r="J783">
        <v>213576</v>
      </c>
      <c r="K783">
        <v>7</v>
      </c>
      <c r="L783">
        <v>5</v>
      </c>
      <c r="M783" t="str">
        <f>VLOOKUP(Sales_Data!F783,Product_Master!$A$2:$D$11,2)</f>
        <v>Tablet</v>
      </c>
      <c r="N783" t="str">
        <f>VLOOKUP(F783,Product_Master!$A$2:$C$11,3)</f>
        <v>Electronics</v>
      </c>
      <c r="O783">
        <f>VLOOKUP(F783,Product_Master!$A$2:$D$11,4,FALSE)</f>
        <v>29000</v>
      </c>
      <c r="P783">
        <f t="shared" si="120"/>
        <v>140000</v>
      </c>
      <c r="Q783">
        <f t="shared" si="121"/>
        <v>21000</v>
      </c>
      <c r="R783">
        <f t="shared" si="122"/>
        <v>119000</v>
      </c>
      <c r="S783">
        <f t="shared" si="123"/>
        <v>3000</v>
      </c>
      <c r="T783" t="str">
        <f>_xlfn.CONCAT(Sales_Data!C783,"-",Sales_Data!E783,"-",Sales_Data!A783)</f>
        <v>East-C1033-1782</v>
      </c>
      <c r="U783" t="str">
        <f t="shared" si="124"/>
        <v>High Value</v>
      </c>
      <c r="V783" t="str" cm="1">
        <f t="array" ref="V783">_xlfn.IFS(R783&gt;=100000,"Excellent",R783&gt;=50000,"Good",R783&gt;=20000,"Average",TRUE,"Poor")</f>
        <v>Excellent</v>
      </c>
      <c r="W783">
        <f t="shared" si="125"/>
        <v>4</v>
      </c>
      <c r="X783" t="str">
        <f t="shared" si="126"/>
        <v>December</v>
      </c>
      <c r="Y783">
        <f>HLOOKUP("Q"&amp;W783,Bonus_HLookup!$A$1:$E$2,2,FALSE)</f>
        <v>0.08</v>
      </c>
      <c r="Z783">
        <f t="shared" si="127"/>
        <v>74751.600000000006</v>
      </c>
      <c r="AA783" s="1">
        <f t="shared" si="128"/>
        <v>4229.0607794536927</v>
      </c>
      <c r="AB783">
        <f t="shared" si="129"/>
        <v>145</v>
      </c>
    </row>
    <row r="784" spans="1:28" x14ac:dyDescent="0.3">
      <c r="A784">
        <v>1783</v>
      </c>
      <c r="B784" t="s">
        <v>70</v>
      </c>
      <c r="C784" t="s">
        <v>62</v>
      </c>
      <c r="D784" t="s">
        <v>50</v>
      </c>
      <c r="E784" t="s">
        <v>128</v>
      </c>
      <c r="F784" t="s">
        <v>28</v>
      </c>
      <c r="G784">
        <v>5</v>
      </c>
      <c r="H784">
        <v>950</v>
      </c>
      <c r="I784">
        <v>2</v>
      </c>
      <c r="J784">
        <v>374218</v>
      </c>
      <c r="K784">
        <v>10</v>
      </c>
      <c r="L784">
        <v>3</v>
      </c>
      <c r="M784" t="str">
        <f>VLOOKUP(Sales_Data!F784,Product_Master!$A$2:$D$11,2)</f>
        <v>Webcam</v>
      </c>
      <c r="N784" t="str">
        <f>VLOOKUP(F784,Product_Master!$A$2:$C$11,3)</f>
        <v>Accessories</v>
      </c>
      <c r="O784">
        <f>VLOOKUP(F784,Product_Master!$A$2:$D$11,4,FALSE)</f>
        <v>700</v>
      </c>
      <c r="P784">
        <f t="shared" si="120"/>
        <v>4750</v>
      </c>
      <c r="Q784">
        <f t="shared" si="121"/>
        <v>95</v>
      </c>
      <c r="R784">
        <f t="shared" si="122"/>
        <v>4655</v>
      </c>
      <c r="S784">
        <f t="shared" si="123"/>
        <v>1155</v>
      </c>
      <c r="T784" t="str">
        <f>_xlfn.CONCAT(Sales_Data!C784,"-",Sales_Data!E784,"-",Sales_Data!A784)</f>
        <v>East-C1013-1783</v>
      </c>
      <c r="U784" t="str">
        <f t="shared" si="124"/>
        <v>Regular</v>
      </c>
      <c r="V784" t="str" cm="1">
        <f t="array" ref="V784">_xlfn.IFS(R784&gt;=100000,"Excellent",R784&gt;=50000,"Good",R784&gt;=20000,"Average",TRUE,"Poor")</f>
        <v>Poor</v>
      </c>
      <c r="W784">
        <f t="shared" si="125"/>
        <v>1</v>
      </c>
      <c r="X784" t="str">
        <f t="shared" si="126"/>
        <v>March</v>
      </c>
      <c r="Y784">
        <f>HLOOKUP("Q"&amp;W784,Bonus_HLookup!$A$1:$E$2,2,FALSE)</f>
        <v>0.02</v>
      </c>
      <c r="Z784">
        <f t="shared" si="127"/>
        <v>112265.4</v>
      </c>
      <c r="AA784" s="1">
        <f t="shared" si="128"/>
        <v>12074.962257303476</v>
      </c>
      <c r="AB784">
        <f t="shared" si="129"/>
        <v>800</v>
      </c>
    </row>
    <row r="785" spans="1:28" x14ac:dyDescent="0.3">
      <c r="A785">
        <v>1784</v>
      </c>
      <c r="B785" t="s">
        <v>261</v>
      </c>
      <c r="C785" t="s">
        <v>62</v>
      </c>
      <c r="D785" t="s">
        <v>46</v>
      </c>
      <c r="E785" t="s">
        <v>20</v>
      </c>
      <c r="F785" t="s">
        <v>16</v>
      </c>
      <c r="G785">
        <v>9</v>
      </c>
      <c r="H785">
        <v>2500</v>
      </c>
      <c r="I785">
        <v>10</v>
      </c>
      <c r="J785">
        <v>133239</v>
      </c>
      <c r="K785">
        <v>7</v>
      </c>
      <c r="L785">
        <v>4</v>
      </c>
      <c r="M785" t="str">
        <f>VLOOKUP(Sales_Data!F785,Product_Master!$A$2:$D$11,2)</f>
        <v>Speaker</v>
      </c>
      <c r="N785" t="str">
        <f>VLOOKUP(F785,Product_Master!$A$2:$C$11,3)</f>
        <v>Accessories</v>
      </c>
      <c r="O785">
        <f>VLOOKUP(F785,Product_Master!$A$2:$D$11,4,FALSE)</f>
        <v>1800</v>
      </c>
      <c r="P785">
        <f t="shared" si="120"/>
        <v>22500</v>
      </c>
      <c r="Q785">
        <f t="shared" si="121"/>
        <v>2250</v>
      </c>
      <c r="R785">
        <f t="shared" si="122"/>
        <v>20250</v>
      </c>
      <c r="S785">
        <f t="shared" si="123"/>
        <v>4050</v>
      </c>
      <c r="T785" t="str">
        <f>_xlfn.CONCAT(Sales_Data!C785,"-",Sales_Data!E785,"-",Sales_Data!A785)</f>
        <v>East-C1003-1784</v>
      </c>
      <c r="U785" t="str">
        <f t="shared" si="124"/>
        <v>Regular</v>
      </c>
      <c r="V785" t="str" cm="1">
        <f t="array" ref="V785">_xlfn.IFS(R785&gt;=100000,"Excellent",R785&gt;=50000,"Good",R785&gt;=20000,"Average",TRUE,"Poor")</f>
        <v>Average</v>
      </c>
      <c r="W785">
        <f t="shared" si="125"/>
        <v>4</v>
      </c>
      <c r="X785" t="str">
        <f t="shared" si="126"/>
        <v>December</v>
      </c>
      <c r="Y785">
        <f>HLOOKUP("Q"&amp;W785,Bonus_HLookup!$A$1:$E$2,2,FALSE)</f>
        <v>0.08</v>
      </c>
      <c r="Z785">
        <f t="shared" si="127"/>
        <v>37306.92</v>
      </c>
      <c r="AA785" s="1">
        <f t="shared" si="128"/>
        <v>3190.5736925792303</v>
      </c>
      <c r="AB785">
        <f t="shared" si="129"/>
        <v>449</v>
      </c>
    </row>
    <row r="786" spans="1:28" x14ac:dyDescent="0.3">
      <c r="A786">
        <v>1785</v>
      </c>
      <c r="B786" t="s">
        <v>385</v>
      </c>
      <c r="C786" t="s">
        <v>13</v>
      </c>
      <c r="D786" t="s">
        <v>33</v>
      </c>
      <c r="E786" t="s">
        <v>71</v>
      </c>
      <c r="F786" t="s">
        <v>36</v>
      </c>
      <c r="G786">
        <v>7</v>
      </c>
      <c r="H786">
        <v>55000</v>
      </c>
      <c r="I786">
        <v>15</v>
      </c>
      <c r="J786">
        <v>466960</v>
      </c>
      <c r="K786">
        <v>8</v>
      </c>
      <c r="L786">
        <v>4</v>
      </c>
      <c r="M786" t="str">
        <f>VLOOKUP(Sales_Data!F786,Product_Master!$A$2:$D$11,2)</f>
        <v>Laptop</v>
      </c>
      <c r="N786" t="str">
        <f>VLOOKUP(F786,Product_Master!$A$2:$C$11,3)</f>
        <v>Electronics</v>
      </c>
      <c r="O786">
        <f>VLOOKUP(F786,Product_Master!$A$2:$D$11,4,FALSE)</f>
        <v>45000</v>
      </c>
      <c r="P786">
        <f t="shared" si="120"/>
        <v>385000</v>
      </c>
      <c r="Q786">
        <f t="shared" si="121"/>
        <v>57750</v>
      </c>
      <c r="R786">
        <f t="shared" si="122"/>
        <v>327250</v>
      </c>
      <c r="S786">
        <f t="shared" si="123"/>
        <v>12250</v>
      </c>
      <c r="T786" t="str">
        <f>_xlfn.CONCAT(Sales_Data!C786,"-",Sales_Data!E786,"-",Sales_Data!A786)</f>
        <v>West-C1019-1785</v>
      </c>
      <c r="U786" t="str">
        <f t="shared" si="124"/>
        <v>High Value</v>
      </c>
      <c r="V786" t="str" cm="1">
        <f t="array" ref="V786">_xlfn.IFS(R786&gt;=100000,"Excellent",R786&gt;=50000,"Good",R786&gt;=20000,"Average",TRUE,"Poor")</f>
        <v>Excellent</v>
      </c>
      <c r="W786">
        <f t="shared" si="125"/>
        <v>4</v>
      </c>
      <c r="X786" t="str">
        <f t="shared" si="126"/>
        <v>December</v>
      </c>
      <c r="Y786">
        <f>HLOOKUP("Q"&amp;W786,Bonus_HLookup!$A$1:$E$2,2,FALSE)</f>
        <v>0.08</v>
      </c>
      <c r="Z786">
        <f t="shared" si="127"/>
        <v>149427.20000000001</v>
      </c>
      <c r="AA786" s="1">
        <f t="shared" si="128"/>
        <v>11399.858216588</v>
      </c>
      <c r="AB786">
        <f t="shared" si="129"/>
        <v>41</v>
      </c>
    </row>
    <row r="787" spans="1:28" x14ac:dyDescent="0.3">
      <c r="A787">
        <v>1786</v>
      </c>
      <c r="B787" t="s">
        <v>326</v>
      </c>
      <c r="C787" t="s">
        <v>13</v>
      </c>
      <c r="D787" t="s">
        <v>19</v>
      </c>
      <c r="E787" t="s">
        <v>73</v>
      </c>
      <c r="F787" t="s">
        <v>16</v>
      </c>
      <c r="G787">
        <v>7</v>
      </c>
      <c r="H787">
        <v>2500</v>
      </c>
      <c r="I787">
        <v>2</v>
      </c>
      <c r="J787">
        <v>417737</v>
      </c>
      <c r="K787">
        <v>8</v>
      </c>
      <c r="L787">
        <v>4</v>
      </c>
      <c r="M787" t="str">
        <f>VLOOKUP(Sales_Data!F787,Product_Master!$A$2:$D$11,2)</f>
        <v>Speaker</v>
      </c>
      <c r="N787" t="str">
        <f>VLOOKUP(F787,Product_Master!$A$2:$C$11,3)</f>
        <v>Accessories</v>
      </c>
      <c r="O787">
        <f>VLOOKUP(F787,Product_Master!$A$2:$D$11,4,FALSE)</f>
        <v>1800</v>
      </c>
      <c r="P787">
        <f t="shared" si="120"/>
        <v>17500</v>
      </c>
      <c r="Q787">
        <f t="shared" si="121"/>
        <v>350</v>
      </c>
      <c r="R787">
        <f t="shared" si="122"/>
        <v>17150</v>
      </c>
      <c r="S787">
        <f t="shared" si="123"/>
        <v>4550</v>
      </c>
      <c r="T787" t="str">
        <f>_xlfn.CONCAT(Sales_Data!C787,"-",Sales_Data!E787,"-",Sales_Data!A787)</f>
        <v>West-C1014-1786</v>
      </c>
      <c r="U787" t="str">
        <f t="shared" si="124"/>
        <v>Regular</v>
      </c>
      <c r="V787" t="str" cm="1">
        <f t="array" ref="V787">_xlfn.IFS(R787&gt;=100000,"Excellent",R787&gt;=50000,"Good",R787&gt;=20000,"Average",TRUE,"Poor")</f>
        <v>Poor</v>
      </c>
      <c r="W787">
        <f t="shared" si="125"/>
        <v>3</v>
      </c>
      <c r="X787" t="str">
        <f t="shared" si="126"/>
        <v>September</v>
      </c>
      <c r="Y787">
        <f>HLOOKUP("Q"&amp;W787,Bonus_HLookup!$A$1:$E$2,2,FALSE)</f>
        <v>0.06</v>
      </c>
      <c r="Z787">
        <f t="shared" si="127"/>
        <v>133675.84</v>
      </c>
      <c r="AA787" s="1">
        <f t="shared" si="128"/>
        <v>10198.180940172222</v>
      </c>
      <c r="AB787">
        <f t="shared" si="129"/>
        <v>498</v>
      </c>
    </row>
    <row r="788" spans="1:28" x14ac:dyDescent="0.3">
      <c r="A788">
        <v>1787</v>
      </c>
      <c r="B788" t="s">
        <v>58</v>
      </c>
      <c r="C788" t="s">
        <v>62</v>
      </c>
      <c r="D788" t="s">
        <v>91</v>
      </c>
      <c r="E788" t="s">
        <v>146</v>
      </c>
      <c r="F788" t="s">
        <v>25</v>
      </c>
      <c r="G788">
        <v>10</v>
      </c>
      <c r="H788">
        <v>1500</v>
      </c>
      <c r="I788">
        <v>10</v>
      </c>
      <c r="J788">
        <v>442410</v>
      </c>
      <c r="K788">
        <v>8</v>
      </c>
      <c r="L788">
        <v>5</v>
      </c>
      <c r="M788" t="str">
        <f>VLOOKUP(Sales_Data!F788,Product_Master!$A$2:$D$11,2)</f>
        <v>Keyboard</v>
      </c>
      <c r="N788" t="str">
        <f>VLOOKUP(F788,Product_Master!$A$2:$C$11,3)</f>
        <v>Accessories</v>
      </c>
      <c r="O788">
        <f>VLOOKUP(F788,Product_Master!$A$2:$D$11,4,FALSE)</f>
        <v>1200</v>
      </c>
      <c r="P788">
        <f t="shared" si="120"/>
        <v>15000</v>
      </c>
      <c r="Q788">
        <f t="shared" si="121"/>
        <v>1500</v>
      </c>
      <c r="R788">
        <f t="shared" si="122"/>
        <v>13500</v>
      </c>
      <c r="S788">
        <f t="shared" si="123"/>
        <v>1500</v>
      </c>
      <c r="T788" t="str">
        <f>_xlfn.CONCAT(Sales_Data!C788,"-",Sales_Data!E788,"-",Sales_Data!A788)</f>
        <v>East-C1017-1787</v>
      </c>
      <c r="U788" t="str">
        <f t="shared" si="124"/>
        <v>Regular</v>
      </c>
      <c r="V788" t="str" cm="1">
        <f t="array" ref="V788">_xlfn.IFS(R788&gt;=100000,"Excellent",R788&gt;=50000,"Good",R788&gt;=20000,"Average",TRUE,"Poor")</f>
        <v>Poor</v>
      </c>
      <c r="W788">
        <f t="shared" si="125"/>
        <v>4</v>
      </c>
      <c r="X788" t="str">
        <f t="shared" si="126"/>
        <v>November</v>
      </c>
      <c r="Y788">
        <f>HLOOKUP("Q"&amp;W788,Bonus_HLookup!$A$1:$E$2,2,FALSE)</f>
        <v>0.08</v>
      </c>
      <c r="Z788">
        <f t="shared" si="127"/>
        <v>176964</v>
      </c>
      <c r="AA788" s="1">
        <f t="shared" si="128"/>
        <v>8970.4795971370968</v>
      </c>
      <c r="AB788">
        <f t="shared" si="129"/>
        <v>553</v>
      </c>
    </row>
    <row r="789" spans="1:28" x14ac:dyDescent="0.3">
      <c r="A789">
        <v>1788</v>
      </c>
      <c r="B789" t="s">
        <v>200</v>
      </c>
      <c r="C789" t="s">
        <v>30</v>
      </c>
      <c r="D789" t="s">
        <v>59</v>
      </c>
      <c r="E789" t="s">
        <v>196</v>
      </c>
      <c r="F789" t="s">
        <v>69</v>
      </c>
      <c r="G789">
        <v>9</v>
      </c>
      <c r="H789">
        <v>2000</v>
      </c>
      <c r="I789">
        <v>0</v>
      </c>
      <c r="J789">
        <v>308315</v>
      </c>
      <c r="K789">
        <v>9</v>
      </c>
      <c r="L789">
        <v>1</v>
      </c>
      <c r="M789" t="str">
        <f>VLOOKUP(Sales_Data!F789,Product_Master!$A$2:$D$11,2)</f>
        <v>Headset</v>
      </c>
      <c r="N789" t="str">
        <f>VLOOKUP(F789,Product_Master!$A$2:$C$11,3)</f>
        <v>Accessories</v>
      </c>
      <c r="O789">
        <f>VLOOKUP(F789,Product_Master!$A$2:$D$11,4,FALSE)</f>
        <v>1500</v>
      </c>
      <c r="P789">
        <f t="shared" si="120"/>
        <v>18000</v>
      </c>
      <c r="Q789">
        <f t="shared" si="121"/>
        <v>0</v>
      </c>
      <c r="R789">
        <f t="shared" si="122"/>
        <v>18000</v>
      </c>
      <c r="S789">
        <f t="shared" si="123"/>
        <v>4500</v>
      </c>
      <c r="T789" t="str">
        <f>_xlfn.CONCAT(Sales_Data!C789,"-",Sales_Data!E789,"-",Sales_Data!A789)</f>
        <v>South-C1032-1788</v>
      </c>
      <c r="U789" t="str">
        <f t="shared" si="124"/>
        <v>Regular</v>
      </c>
      <c r="V789" t="str" cm="1">
        <f t="array" ref="V789">_xlfn.IFS(R789&gt;=100000,"Excellent",R789&gt;=50000,"Good",R789&gt;=20000,"Average",TRUE,"Poor")</f>
        <v>Poor</v>
      </c>
      <c r="W789">
        <f t="shared" si="125"/>
        <v>2</v>
      </c>
      <c r="X789" t="str">
        <f t="shared" si="126"/>
        <v>May</v>
      </c>
      <c r="Y789">
        <f>HLOOKUP("Q"&amp;W789,Bonus_HLookup!$A$1:$E$2,2,FALSE)</f>
        <v>0.04</v>
      </c>
      <c r="Z789">
        <f t="shared" si="127"/>
        <v>27748.35</v>
      </c>
      <c r="AA789" s="1">
        <f t="shared" si="128"/>
        <v>26962.602060318328</v>
      </c>
      <c r="AB789">
        <f t="shared" si="129"/>
        <v>480</v>
      </c>
    </row>
    <row r="790" spans="1:28" x14ac:dyDescent="0.3">
      <c r="A790">
        <v>1789</v>
      </c>
      <c r="B790" t="s">
        <v>229</v>
      </c>
      <c r="C790" t="s">
        <v>18</v>
      </c>
      <c r="D790" t="s">
        <v>19</v>
      </c>
      <c r="E790" t="s">
        <v>51</v>
      </c>
      <c r="F790" t="s">
        <v>16</v>
      </c>
      <c r="G790">
        <v>6</v>
      </c>
      <c r="H790">
        <v>2500</v>
      </c>
      <c r="I790">
        <v>12</v>
      </c>
      <c r="J790">
        <v>459447</v>
      </c>
      <c r="K790">
        <v>7</v>
      </c>
      <c r="L790">
        <v>4</v>
      </c>
      <c r="M790" t="str">
        <f>VLOOKUP(Sales_Data!F790,Product_Master!$A$2:$D$11,2)</f>
        <v>Speaker</v>
      </c>
      <c r="N790" t="str">
        <f>VLOOKUP(F790,Product_Master!$A$2:$C$11,3)</f>
        <v>Accessories</v>
      </c>
      <c r="O790">
        <f>VLOOKUP(F790,Product_Master!$A$2:$D$11,4,FALSE)</f>
        <v>1800</v>
      </c>
      <c r="P790">
        <f t="shared" si="120"/>
        <v>15000</v>
      </c>
      <c r="Q790">
        <f t="shared" si="121"/>
        <v>1800</v>
      </c>
      <c r="R790">
        <f t="shared" si="122"/>
        <v>13200</v>
      </c>
      <c r="S790">
        <f t="shared" si="123"/>
        <v>2400</v>
      </c>
      <c r="T790" t="str">
        <f>_xlfn.CONCAT(Sales_Data!C790,"-",Sales_Data!E790,"-",Sales_Data!A790)</f>
        <v>North-C1002-1789</v>
      </c>
      <c r="U790" t="str">
        <f t="shared" si="124"/>
        <v>Regular</v>
      </c>
      <c r="V790" t="str" cm="1">
        <f t="array" ref="V790">_xlfn.IFS(R790&gt;=100000,"Excellent",R790&gt;=50000,"Good",R790&gt;=20000,"Average",TRUE,"Poor")</f>
        <v>Poor</v>
      </c>
      <c r="W790">
        <f t="shared" si="125"/>
        <v>1</v>
      </c>
      <c r="X790" t="str">
        <f t="shared" si="126"/>
        <v>January</v>
      </c>
      <c r="Y790">
        <f>HLOOKUP("Q"&amp;W790,Bonus_HLookup!$A$1:$E$2,2,FALSE)</f>
        <v>0.02</v>
      </c>
      <c r="Z790">
        <f t="shared" si="127"/>
        <v>128645.16</v>
      </c>
      <c r="AA790" s="1">
        <f t="shared" si="128"/>
        <v>11002.030271425407</v>
      </c>
      <c r="AB790">
        <f t="shared" si="129"/>
        <v>564</v>
      </c>
    </row>
    <row r="791" spans="1:28" x14ac:dyDescent="0.3">
      <c r="A791">
        <v>1790</v>
      </c>
      <c r="B791" t="s">
        <v>299</v>
      </c>
      <c r="C791" t="s">
        <v>62</v>
      </c>
      <c r="D791" t="s">
        <v>46</v>
      </c>
      <c r="E791" t="s">
        <v>38</v>
      </c>
      <c r="F791" t="s">
        <v>52</v>
      </c>
      <c r="G791">
        <v>10</v>
      </c>
      <c r="H791">
        <v>500</v>
      </c>
      <c r="I791">
        <v>10</v>
      </c>
      <c r="J791">
        <v>395627</v>
      </c>
      <c r="K791">
        <v>11</v>
      </c>
      <c r="L791">
        <v>5</v>
      </c>
      <c r="M791" t="str">
        <f>VLOOKUP(Sales_Data!F791,Product_Master!$A$2:$D$11,2)</f>
        <v>Mouse</v>
      </c>
      <c r="N791" t="str">
        <f>VLOOKUP(F791,Product_Master!$A$2:$C$11,3)</f>
        <v>Accessories</v>
      </c>
      <c r="O791">
        <f>VLOOKUP(F791,Product_Master!$A$2:$D$11,4,FALSE)</f>
        <v>350</v>
      </c>
      <c r="P791">
        <f t="shared" si="120"/>
        <v>5000</v>
      </c>
      <c r="Q791">
        <f t="shared" si="121"/>
        <v>500</v>
      </c>
      <c r="R791">
        <f t="shared" si="122"/>
        <v>4500</v>
      </c>
      <c r="S791">
        <f t="shared" si="123"/>
        <v>1000</v>
      </c>
      <c r="T791" t="str">
        <f>_xlfn.CONCAT(Sales_Data!C791,"-",Sales_Data!E791,"-",Sales_Data!A791)</f>
        <v>East-C1009-1790</v>
      </c>
      <c r="U791" t="str">
        <f t="shared" si="124"/>
        <v>Regular</v>
      </c>
      <c r="V791" t="str" cm="1">
        <f t="array" ref="V791">_xlfn.IFS(R791&gt;=100000,"Excellent",R791&gt;=50000,"Good",R791&gt;=20000,"Average",TRUE,"Poor")</f>
        <v>Poor</v>
      </c>
      <c r="W791">
        <f t="shared" si="125"/>
        <v>4</v>
      </c>
      <c r="X791" t="str">
        <f t="shared" si="126"/>
        <v>December</v>
      </c>
      <c r="Y791">
        <f>HLOOKUP("Q"&amp;W791,Bonus_HLookup!$A$1:$E$2,2,FALSE)</f>
        <v>0.08</v>
      </c>
      <c r="Z791">
        <f t="shared" si="127"/>
        <v>217594.85</v>
      </c>
      <c r="AA791" s="1">
        <f t="shared" si="128"/>
        <v>8601.8896129606546</v>
      </c>
      <c r="AB791">
        <f t="shared" si="129"/>
        <v>805</v>
      </c>
    </row>
    <row r="792" spans="1:28" x14ac:dyDescent="0.3">
      <c r="A792">
        <v>1791</v>
      </c>
      <c r="B792" t="s">
        <v>86</v>
      </c>
      <c r="C792" t="s">
        <v>13</v>
      </c>
      <c r="D792" t="s">
        <v>19</v>
      </c>
      <c r="E792" t="s">
        <v>172</v>
      </c>
      <c r="F792" t="s">
        <v>28</v>
      </c>
      <c r="G792">
        <v>3</v>
      </c>
      <c r="H792">
        <v>950</v>
      </c>
      <c r="I792">
        <v>10</v>
      </c>
      <c r="J792">
        <v>243780</v>
      </c>
      <c r="K792">
        <v>9</v>
      </c>
      <c r="L792">
        <v>4</v>
      </c>
      <c r="M792" t="str">
        <f>VLOOKUP(Sales_Data!F792,Product_Master!$A$2:$D$11,2)</f>
        <v>Webcam</v>
      </c>
      <c r="N792" t="str">
        <f>VLOOKUP(F792,Product_Master!$A$2:$C$11,3)</f>
        <v>Accessories</v>
      </c>
      <c r="O792">
        <f>VLOOKUP(F792,Product_Master!$A$2:$D$11,4,FALSE)</f>
        <v>700</v>
      </c>
      <c r="P792">
        <f t="shared" si="120"/>
        <v>2850</v>
      </c>
      <c r="Q792">
        <f t="shared" si="121"/>
        <v>285</v>
      </c>
      <c r="R792">
        <f t="shared" si="122"/>
        <v>2565</v>
      </c>
      <c r="S792">
        <f t="shared" si="123"/>
        <v>465</v>
      </c>
      <c r="T792" t="str">
        <f>_xlfn.CONCAT(Sales_Data!C792,"-",Sales_Data!E792,"-",Sales_Data!A792)</f>
        <v>West-C1033-1791</v>
      </c>
      <c r="U792" t="str">
        <f t="shared" si="124"/>
        <v>Regular</v>
      </c>
      <c r="V792" t="str" cm="1">
        <f t="array" ref="V792">_xlfn.IFS(R792&gt;=100000,"Excellent",R792&gt;=50000,"Good",R792&gt;=20000,"Average",TRUE,"Poor")</f>
        <v>Poor</v>
      </c>
      <c r="W792">
        <f t="shared" si="125"/>
        <v>1</v>
      </c>
      <c r="X792" t="str">
        <f t="shared" si="126"/>
        <v>March</v>
      </c>
      <c r="Y792">
        <f>HLOOKUP("Q"&amp;W792,Bonus_HLookup!$A$1:$E$2,2,FALSE)</f>
        <v>0.02</v>
      </c>
      <c r="Z792">
        <f t="shared" si="127"/>
        <v>87760.8</v>
      </c>
      <c r="AA792" s="1">
        <f t="shared" si="128"/>
        <v>6066.4756299176815</v>
      </c>
      <c r="AB792">
        <f t="shared" si="129"/>
        <v>901</v>
      </c>
    </row>
    <row r="793" spans="1:28" x14ac:dyDescent="0.3">
      <c r="A793">
        <v>1792</v>
      </c>
      <c r="B793" t="s">
        <v>407</v>
      </c>
      <c r="C793" t="s">
        <v>13</v>
      </c>
      <c r="D793" t="s">
        <v>14</v>
      </c>
      <c r="E793" t="s">
        <v>203</v>
      </c>
      <c r="F793" t="s">
        <v>52</v>
      </c>
      <c r="G793">
        <v>5</v>
      </c>
      <c r="H793">
        <v>500</v>
      </c>
      <c r="I793">
        <v>15</v>
      </c>
      <c r="J793">
        <v>344390</v>
      </c>
      <c r="K793">
        <v>9</v>
      </c>
      <c r="L793">
        <v>3</v>
      </c>
      <c r="M793" t="str">
        <f>VLOOKUP(Sales_Data!F793,Product_Master!$A$2:$D$11,2)</f>
        <v>Mouse</v>
      </c>
      <c r="N793" t="str">
        <f>VLOOKUP(F793,Product_Master!$A$2:$C$11,3)</f>
        <v>Accessories</v>
      </c>
      <c r="O793">
        <f>VLOOKUP(F793,Product_Master!$A$2:$D$11,4,FALSE)</f>
        <v>350</v>
      </c>
      <c r="P793">
        <f t="shared" si="120"/>
        <v>2500</v>
      </c>
      <c r="Q793">
        <f t="shared" si="121"/>
        <v>375</v>
      </c>
      <c r="R793">
        <f t="shared" si="122"/>
        <v>2125</v>
      </c>
      <c r="S793">
        <f t="shared" si="123"/>
        <v>375</v>
      </c>
      <c r="T793" t="str">
        <f>_xlfn.CONCAT(Sales_Data!C793,"-",Sales_Data!E793,"-",Sales_Data!A793)</f>
        <v>West-C1037-1792</v>
      </c>
      <c r="U793" t="str">
        <f t="shared" si="124"/>
        <v>Regular</v>
      </c>
      <c r="V793" t="str" cm="1">
        <f t="array" ref="V793">_xlfn.IFS(R793&gt;=100000,"Excellent",R793&gt;=50000,"Good",R793&gt;=20000,"Average",TRUE,"Poor")</f>
        <v>Poor</v>
      </c>
      <c r="W793">
        <f t="shared" si="125"/>
        <v>3</v>
      </c>
      <c r="X793" t="str">
        <f t="shared" si="126"/>
        <v>July</v>
      </c>
      <c r="Y793">
        <f>HLOOKUP("Q"&amp;W793,Bonus_HLookup!$A$1:$E$2,2,FALSE)</f>
        <v>0.06</v>
      </c>
      <c r="Z793">
        <f t="shared" si="127"/>
        <v>92985.3</v>
      </c>
      <c r="AA793" s="1">
        <f t="shared" si="128"/>
        <v>10951.509930756973</v>
      </c>
      <c r="AB793">
        <f t="shared" si="129"/>
        <v>923</v>
      </c>
    </row>
    <row r="794" spans="1:28" x14ac:dyDescent="0.3">
      <c r="A794">
        <v>1793</v>
      </c>
      <c r="B794" t="s">
        <v>235</v>
      </c>
      <c r="C794" t="s">
        <v>13</v>
      </c>
      <c r="D794" t="s">
        <v>46</v>
      </c>
      <c r="E794" t="s">
        <v>196</v>
      </c>
      <c r="F794" t="s">
        <v>74</v>
      </c>
      <c r="G794">
        <v>4</v>
      </c>
      <c r="H794">
        <v>35000</v>
      </c>
      <c r="I794">
        <v>2</v>
      </c>
      <c r="J794">
        <v>115435</v>
      </c>
      <c r="K794">
        <v>7</v>
      </c>
      <c r="L794">
        <v>3</v>
      </c>
      <c r="M794" t="str">
        <f>VLOOKUP(Sales_Data!F794,Product_Master!$A$2:$D$11,2)</f>
        <v>Tablet</v>
      </c>
      <c r="N794" t="str">
        <f>VLOOKUP(F794,Product_Master!$A$2:$C$11,3)</f>
        <v>Electronics</v>
      </c>
      <c r="O794">
        <f>VLOOKUP(F794,Product_Master!$A$2:$D$11,4,FALSE)</f>
        <v>29000</v>
      </c>
      <c r="P794">
        <f t="shared" si="120"/>
        <v>140000</v>
      </c>
      <c r="Q794">
        <f t="shared" si="121"/>
        <v>2800</v>
      </c>
      <c r="R794">
        <f t="shared" si="122"/>
        <v>137200</v>
      </c>
      <c r="S794">
        <f t="shared" si="123"/>
        <v>21200</v>
      </c>
      <c r="T794" t="str">
        <f>_xlfn.CONCAT(Sales_Data!C794,"-",Sales_Data!E794,"-",Sales_Data!A794)</f>
        <v>West-C1032-1793</v>
      </c>
      <c r="U794" t="str">
        <f t="shared" si="124"/>
        <v>High Value</v>
      </c>
      <c r="V794" t="str" cm="1">
        <f t="array" ref="V794">_xlfn.IFS(R794&gt;=100000,"Excellent",R794&gt;=50000,"Good",R794&gt;=20000,"Average",TRUE,"Poor")</f>
        <v>Excellent</v>
      </c>
      <c r="W794">
        <f t="shared" si="125"/>
        <v>1</v>
      </c>
      <c r="X794" t="str">
        <f t="shared" si="126"/>
        <v>February</v>
      </c>
      <c r="Y794">
        <f>HLOOKUP("Q"&amp;W794,Bonus_HLookup!$A$1:$E$2,2,FALSE)</f>
        <v>0.02</v>
      </c>
      <c r="Z794">
        <f t="shared" si="127"/>
        <v>24241.35</v>
      </c>
      <c r="AA794" s="1">
        <f t="shared" si="128"/>
        <v>3564.2976766542101</v>
      </c>
      <c r="AB794">
        <f t="shared" si="129"/>
        <v>139</v>
      </c>
    </row>
    <row r="795" spans="1:28" x14ac:dyDescent="0.3">
      <c r="A795">
        <v>1794</v>
      </c>
      <c r="B795" t="s">
        <v>223</v>
      </c>
      <c r="C795" t="s">
        <v>18</v>
      </c>
      <c r="D795" t="s">
        <v>19</v>
      </c>
      <c r="E795" t="s">
        <v>85</v>
      </c>
      <c r="F795" t="s">
        <v>16</v>
      </c>
      <c r="G795">
        <v>6</v>
      </c>
      <c r="H795">
        <v>2500</v>
      </c>
      <c r="I795">
        <v>8</v>
      </c>
      <c r="J795">
        <v>283797</v>
      </c>
      <c r="K795">
        <v>11</v>
      </c>
      <c r="L795">
        <v>2</v>
      </c>
      <c r="M795" t="str">
        <f>VLOOKUP(Sales_Data!F795,Product_Master!$A$2:$D$11,2)</f>
        <v>Speaker</v>
      </c>
      <c r="N795" t="str">
        <f>VLOOKUP(F795,Product_Master!$A$2:$C$11,3)</f>
        <v>Accessories</v>
      </c>
      <c r="O795">
        <f>VLOOKUP(F795,Product_Master!$A$2:$D$11,4,FALSE)</f>
        <v>1800</v>
      </c>
      <c r="P795">
        <f t="shared" si="120"/>
        <v>15000</v>
      </c>
      <c r="Q795">
        <f t="shared" si="121"/>
        <v>1200</v>
      </c>
      <c r="R795">
        <f t="shared" si="122"/>
        <v>13800</v>
      </c>
      <c r="S795">
        <f t="shared" si="123"/>
        <v>3000</v>
      </c>
      <c r="T795" t="str">
        <f>_xlfn.CONCAT(Sales_Data!C795,"-",Sales_Data!E795,"-",Sales_Data!A795)</f>
        <v>North-C1005-1794</v>
      </c>
      <c r="U795" t="str">
        <f t="shared" si="124"/>
        <v>Regular</v>
      </c>
      <c r="V795" t="str" cm="1">
        <f t="array" ref="V795">_xlfn.IFS(R795&gt;=100000,"Excellent",R795&gt;=50000,"Good",R795&gt;=20000,"Average",TRUE,"Poor")</f>
        <v>Poor</v>
      </c>
      <c r="W795">
        <f t="shared" si="125"/>
        <v>2</v>
      </c>
      <c r="X795" t="str">
        <f t="shared" si="126"/>
        <v>April</v>
      </c>
      <c r="Y795">
        <f>HLOOKUP("Q"&amp;W795,Bonus_HLookup!$A$1:$E$2,2,FALSE)</f>
        <v>0.04</v>
      </c>
      <c r="Z795">
        <f t="shared" si="127"/>
        <v>62435.34</v>
      </c>
      <c r="AA795" s="1">
        <f t="shared" si="128"/>
        <v>13227.164656659223</v>
      </c>
      <c r="AB795">
        <f t="shared" si="129"/>
        <v>544</v>
      </c>
    </row>
    <row r="796" spans="1:28" x14ac:dyDescent="0.3">
      <c r="A796">
        <v>1795</v>
      </c>
      <c r="B796" t="s">
        <v>255</v>
      </c>
      <c r="C796" t="s">
        <v>62</v>
      </c>
      <c r="D796" t="s">
        <v>19</v>
      </c>
      <c r="E796" t="s">
        <v>112</v>
      </c>
      <c r="F796" t="s">
        <v>74</v>
      </c>
      <c r="G796">
        <v>8</v>
      </c>
      <c r="H796">
        <v>35000</v>
      </c>
      <c r="I796">
        <v>8</v>
      </c>
      <c r="J796">
        <v>373327</v>
      </c>
      <c r="K796">
        <v>12</v>
      </c>
      <c r="L796">
        <v>1</v>
      </c>
      <c r="M796" t="str">
        <f>VLOOKUP(Sales_Data!F796,Product_Master!$A$2:$D$11,2)</f>
        <v>Tablet</v>
      </c>
      <c r="N796" t="str">
        <f>VLOOKUP(F796,Product_Master!$A$2:$C$11,3)</f>
        <v>Electronics</v>
      </c>
      <c r="O796">
        <f>VLOOKUP(F796,Product_Master!$A$2:$D$11,4,FALSE)</f>
        <v>29000</v>
      </c>
      <c r="P796">
        <f t="shared" si="120"/>
        <v>280000</v>
      </c>
      <c r="Q796">
        <f t="shared" si="121"/>
        <v>22400</v>
      </c>
      <c r="R796">
        <f t="shared" si="122"/>
        <v>257600</v>
      </c>
      <c r="S796">
        <f t="shared" si="123"/>
        <v>25600</v>
      </c>
      <c r="T796" t="str">
        <f>_xlfn.CONCAT(Sales_Data!C796,"-",Sales_Data!E796,"-",Sales_Data!A796)</f>
        <v>East-C1048-1795</v>
      </c>
      <c r="U796" t="str">
        <f t="shared" si="124"/>
        <v>High Value</v>
      </c>
      <c r="V796" t="str" cm="1">
        <f t="array" ref="V796">_xlfn.IFS(R796&gt;=100000,"Excellent",R796&gt;=50000,"Good",R796&gt;=20000,"Average",TRUE,"Poor")</f>
        <v>Excellent</v>
      </c>
      <c r="W796">
        <f t="shared" si="125"/>
        <v>2</v>
      </c>
      <c r="X796" t="str">
        <f t="shared" si="126"/>
        <v>June</v>
      </c>
      <c r="Y796">
        <f>HLOOKUP("Q"&amp;W796,Bonus_HLookup!$A$1:$E$2,2,FALSE)</f>
        <v>0.04</v>
      </c>
      <c r="Z796">
        <f t="shared" si="127"/>
        <v>44799.24</v>
      </c>
      <c r="AA796" s="1">
        <f t="shared" si="128"/>
        <v>33169.651730919264</v>
      </c>
      <c r="AB796">
        <f t="shared" si="129"/>
        <v>72</v>
      </c>
    </row>
    <row r="797" spans="1:28" x14ac:dyDescent="0.3">
      <c r="A797">
        <v>1796</v>
      </c>
      <c r="B797" t="s">
        <v>142</v>
      </c>
      <c r="C797" t="s">
        <v>18</v>
      </c>
      <c r="D797" t="s">
        <v>59</v>
      </c>
      <c r="E797" t="s">
        <v>133</v>
      </c>
      <c r="F797" t="s">
        <v>16</v>
      </c>
      <c r="G797">
        <v>10</v>
      </c>
      <c r="H797">
        <v>2500</v>
      </c>
      <c r="I797">
        <v>10</v>
      </c>
      <c r="J797">
        <v>492243</v>
      </c>
      <c r="K797">
        <v>8</v>
      </c>
      <c r="L797">
        <v>5</v>
      </c>
      <c r="M797" t="str">
        <f>VLOOKUP(Sales_Data!F797,Product_Master!$A$2:$D$11,2)</f>
        <v>Speaker</v>
      </c>
      <c r="N797" t="str">
        <f>VLOOKUP(F797,Product_Master!$A$2:$C$11,3)</f>
        <v>Accessories</v>
      </c>
      <c r="O797">
        <f>VLOOKUP(F797,Product_Master!$A$2:$D$11,4,FALSE)</f>
        <v>1800</v>
      </c>
      <c r="P797">
        <f t="shared" si="120"/>
        <v>25000</v>
      </c>
      <c r="Q797">
        <f t="shared" si="121"/>
        <v>2500</v>
      </c>
      <c r="R797">
        <f t="shared" si="122"/>
        <v>22500</v>
      </c>
      <c r="S797">
        <f t="shared" si="123"/>
        <v>4500</v>
      </c>
      <c r="T797" t="str">
        <f>_xlfn.CONCAT(Sales_Data!C797,"-",Sales_Data!E797,"-",Sales_Data!A797)</f>
        <v>North-C1021-1796</v>
      </c>
      <c r="U797" t="str">
        <f t="shared" si="124"/>
        <v>Regular</v>
      </c>
      <c r="V797" t="str" cm="1">
        <f t="array" ref="V797">_xlfn.IFS(R797&gt;=100000,"Excellent",R797&gt;=50000,"Good",R797&gt;=20000,"Average",TRUE,"Poor")</f>
        <v>Average</v>
      </c>
      <c r="W797">
        <f t="shared" si="125"/>
        <v>1</v>
      </c>
      <c r="X797" t="str">
        <f t="shared" si="126"/>
        <v>January</v>
      </c>
      <c r="Y797">
        <f>HLOOKUP("Q"&amp;W797,Bonus_HLookup!$A$1:$E$2,2,FALSE)</f>
        <v>0.02</v>
      </c>
      <c r="Z797">
        <f t="shared" si="127"/>
        <v>196897.2</v>
      </c>
      <c r="AA797" s="1">
        <f t="shared" si="128"/>
        <v>9980.9131537116155</v>
      </c>
      <c r="AB797">
        <f t="shared" si="129"/>
        <v>416</v>
      </c>
    </row>
    <row r="798" spans="1:28" x14ac:dyDescent="0.3">
      <c r="A798">
        <v>1797</v>
      </c>
      <c r="B798" t="s">
        <v>75</v>
      </c>
      <c r="C798" t="s">
        <v>30</v>
      </c>
      <c r="D798" t="s">
        <v>14</v>
      </c>
      <c r="E798" t="s">
        <v>160</v>
      </c>
      <c r="F798" t="s">
        <v>39</v>
      </c>
      <c r="G798">
        <v>2</v>
      </c>
      <c r="H798">
        <v>7000</v>
      </c>
      <c r="I798">
        <v>5</v>
      </c>
      <c r="J798">
        <v>195292</v>
      </c>
      <c r="K798">
        <v>8</v>
      </c>
      <c r="L798">
        <v>2</v>
      </c>
      <c r="M798" t="str">
        <f>VLOOKUP(Sales_Data!F798,Product_Master!$A$2:$D$11,2)</f>
        <v>Router</v>
      </c>
      <c r="N798" t="str">
        <f>VLOOKUP(F798,Product_Master!$A$2:$C$11,3)</f>
        <v>Electronics</v>
      </c>
      <c r="O798">
        <f>VLOOKUP(F798,Product_Master!$A$2:$D$11,4,FALSE)</f>
        <v>5000</v>
      </c>
      <c r="P798">
        <f t="shared" si="120"/>
        <v>14000</v>
      </c>
      <c r="Q798">
        <f t="shared" si="121"/>
        <v>700</v>
      </c>
      <c r="R798">
        <f t="shared" si="122"/>
        <v>13300</v>
      </c>
      <c r="S798">
        <f t="shared" si="123"/>
        <v>3300</v>
      </c>
      <c r="T798" t="str">
        <f>_xlfn.CONCAT(Sales_Data!C798,"-",Sales_Data!E798,"-",Sales_Data!A798)</f>
        <v>South-C1040-1797</v>
      </c>
      <c r="U798" t="str">
        <f t="shared" si="124"/>
        <v>Regular</v>
      </c>
      <c r="V798" t="str" cm="1">
        <f t="array" ref="V798">_xlfn.IFS(R798&gt;=100000,"Excellent",R798&gt;=50000,"Good",R798&gt;=20000,"Average",TRUE,"Poor")</f>
        <v>Poor</v>
      </c>
      <c r="W798">
        <f t="shared" si="125"/>
        <v>1</v>
      </c>
      <c r="X798" t="str">
        <f t="shared" si="126"/>
        <v>February</v>
      </c>
      <c r="Y798">
        <f>HLOOKUP("Q"&amp;W798,Bonus_HLookup!$A$1:$E$2,2,FALSE)</f>
        <v>0.02</v>
      </c>
      <c r="Z798">
        <f t="shared" si="127"/>
        <v>31246.720000000001</v>
      </c>
      <c r="AA798" s="1">
        <f t="shared" si="128"/>
        <v>8832.5282030611143</v>
      </c>
      <c r="AB798">
        <f t="shared" si="129"/>
        <v>559</v>
      </c>
    </row>
    <row r="799" spans="1:28" x14ac:dyDescent="0.3">
      <c r="A799">
        <v>1798</v>
      </c>
      <c r="B799" t="s">
        <v>408</v>
      </c>
      <c r="C799" t="s">
        <v>13</v>
      </c>
      <c r="D799" t="s">
        <v>59</v>
      </c>
      <c r="E799" t="s">
        <v>172</v>
      </c>
      <c r="F799" t="s">
        <v>52</v>
      </c>
      <c r="G799">
        <v>9</v>
      </c>
      <c r="H799">
        <v>500</v>
      </c>
      <c r="I799">
        <v>15</v>
      </c>
      <c r="J799">
        <v>113801</v>
      </c>
      <c r="K799">
        <v>8</v>
      </c>
      <c r="L799">
        <v>3</v>
      </c>
      <c r="M799" t="str">
        <f>VLOOKUP(Sales_Data!F799,Product_Master!$A$2:$D$11,2)</f>
        <v>Mouse</v>
      </c>
      <c r="N799" t="str">
        <f>VLOOKUP(F799,Product_Master!$A$2:$C$11,3)</f>
        <v>Accessories</v>
      </c>
      <c r="O799">
        <f>VLOOKUP(F799,Product_Master!$A$2:$D$11,4,FALSE)</f>
        <v>350</v>
      </c>
      <c r="P799">
        <f t="shared" si="120"/>
        <v>4500</v>
      </c>
      <c r="Q799">
        <f t="shared" si="121"/>
        <v>675</v>
      </c>
      <c r="R799">
        <f t="shared" si="122"/>
        <v>3825</v>
      </c>
      <c r="S799">
        <f t="shared" si="123"/>
        <v>675</v>
      </c>
      <c r="T799" t="str">
        <f>_xlfn.CONCAT(Sales_Data!C799,"-",Sales_Data!E799,"-",Sales_Data!A799)</f>
        <v>West-C1033-1798</v>
      </c>
      <c r="U799" t="str">
        <f t="shared" si="124"/>
        <v>Regular</v>
      </c>
      <c r="V799" t="str" cm="1">
        <f t="array" ref="V799">_xlfn.IFS(R799&gt;=100000,"Excellent",R799&gt;=50000,"Good",R799&gt;=20000,"Average",TRUE,"Poor")</f>
        <v>Poor</v>
      </c>
      <c r="W799">
        <f t="shared" si="125"/>
        <v>4</v>
      </c>
      <c r="X799" t="str">
        <f t="shared" si="126"/>
        <v>December</v>
      </c>
      <c r="Y799">
        <f>HLOOKUP("Q"&amp;W799,Bonus_HLookup!$A$1:$E$2,2,FALSE)</f>
        <v>0.08</v>
      </c>
      <c r="Z799">
        <f t="shared" si="127"/>
        <v>27312.240000000002</v>
      </c>
      <c r="AA799" s="1">
        <f t="shared" si="128"/>
        <v>3566.1097258762925</v>
      </c>
      <c r="AB799">
        <f t="shared" si="129"/>
        <v>850</v>
      </c>
    </row>
    <row r="800" spans="1:28" x14ac:dyDescent="0.3">
      <c r="A800">
        <v>1799</v>
      </c>
      <c r="B800" t="s">
        <v>79</v>
      </c>
      <c r="C800" t="s">
        <v>13</v>
      </c>
      <c r="D800" t="s">
        <v>46</v>
      </c>
      <c r="E800" t="s">
        <v>73</v>
      </c>
      <c r="F800" t="s">
        <v>28</v>
      </c>
      <c r="G800">
        <v>7</v>
      </c>
      <c r="H800">
        <v>950</v>
      </c>
      <c r="I800">
        <v>0</v>
      </c>
      <c r="J800">
        <v>499603</v>
      </c>
      <c r="K800">
        <v>12</v>
      </c>
      <c r="L800">
        <v>2</v>
      </c>
      <c r="M800" t="str">
        <f>VLOOKUP(Sales_Data!F800,Product_Master!$A$2:$D$11,2)</f>
        <v>Webcam</v>
      </c>
      <c r="N800" t="str">
        <f>VLOOKUP(F800,Product_Master!$A$2:$C$11,3)</f>
        <v>Accessories</v>
      </c>
      <c r="O800">
        <f>VLOOKUP(F800,Product_Master!$A$2:$D$11,4,FALSE)</f>
        <v>700</v>
      </c>
      <c r="P800">
        <f t="shared" si="120"/>
        <v>6650</v>
      </c>
      <c r="Q800">
        <f t="shared" si="121"/>
        <v>0</v>
      </c>
      <c r="R800">
        <f t="shared" si="122"/>
        <v>6650</v>
      </c>
      <c r="S800">
        <f t="shared" si="123"/>
        <v>1750</v>
      </c>
      <c r="T800" t="str">
        <f>_xlfn.CONCAT(Sales_Data!C800,"-",Sales_Data!E800,"-",Sales_Data!A800)</f>
        <v>West-C1014-1799</v>
      </c>
      <c r="U800" t="str">
        <f t="shared" si="124"/>
        <v>Regular</v>
      </c>
      <c r="V800" t="str" cm="1">
        <f t="array" ref="V800">_xlfn.IFS(R800&gt;=100000,"Excellent",R800&gt;=50000,"Good",R800&gt;=20000,"Average",TRUE,"Poor")</f>
        <v>Poor</v>
      </c>
      <c r="W800">
        <f t="shared" si="125"/>
        <v>1</v>
      </c>
      <c r="X800" t="str">
        <f t="shared" si="126"/>
        <v>March</v>
      </c>
      <c r="Y800">
        <f>HLOOKUP("Q"&amp;W800,Bonus_HLookup!$A$1:$E$2,2,FALSE)</f>
        <v>0.02</v>
      </c>
      <c r="Z800">
        <f t="shared" si="127"/>
        <v>119904.72</v>
      </c>
      <c r="AA800" s="1">
        <f t="shared" si="128"/>
        <v>23518.047943159716</v>
      </c>
      <c r="AB800">
        <f t="shared" si="129"/>
        <v>734</v>
      </c>
    </row>
    <row r="801" spans="1:28" x14ac:dyDescent="0.3">
      <c r="A801">
        <v>1800</v>
      </c>
      <c r="B801" t="s">
        <v>78</v>
      </c>
      <c r="C801" t="s">
        <v>30</v>
      </c>
      <c r="D801" t="s">
        <v>50</v>
      </c>
      <c r="E801" t="s">
        <v>115</v>
      </c>
      <c r="F801" t="s">
        <v>16</v>
      </c>
      <c r="G801">
        <v>8</v>
      </c>
      <c r="H801">
        <v>2500</v>
      </c>
      <c r="I801">
        <v>8</v>
      </c>
      <c r="J801">
        <v>290481</v>
      </c>
      <c r="K801">
        <v>11</v>
      </c>
      <c r="L801">
        <v>1</v>
      </c>
      <c r="M801" t="str">
        <f>VLOOKUP(Sales_Data!F801,Product_Master!$A$2:$D$11,2)</f>
        <v>Speaker</v>
      </c>
      <c r="N801" t="str">
        <f>VLOOKUP(F801,Product_Master!$A$2:$C$11,3)</f>
        <v>Accessories</v>
      </c>
      <c r="O801">
        <f>VLOOKUP(F801,Product_Master!$A$2:$D$11,4,FALSE)</f>
        <v>1800</v>
      </c>
      <c r="P801">
        <f t="shared" si="120"/>
        <v>20000</v>
      </c>
      <c r="Q801">
        <f t="shared" si="121"/>
        <v>1600</v>
      </c>
      <c r="R801">
        <f t="shared" si="122"/>
        <v>18400</v>
      </c>
      <c r="S801">
        <f t="shared" si="123"/>
        <v>4000</v>
      </c>
      <c r="T801" t="str">
        <f>_xlfn.CONCAT(Sales_Data!C801,"-",Sales_Data!E801,"-",Sales_Data!A801)</f>
        <v>South-C1026-1800</v>
      </c>
      <c r="U801" t="str">
        <f t="shared" si="124"/>
        <v>Regular</v>
      </c>
      <c r="V801" t="str" cm="1">
        <f t="array" ref="V801">_xlfn.IFS(R801&gt;=100000,"Excellent",R801&gt;=50000,"Good",R801&gt;=20000,"Average",TRUE,"Poor")</f>
        <v>Poor</v>
      </c>
      <c r="W801">
        <f t="shared" si="125"/>
        <v>2</v>
      </c>
      <c r="X801" t="str">
        <f t="shared" si="126"/>
        <v>May</v>
      </c>
      <c r="Y801">
        <f>HLOOKUP("Q"&amp;W801,Bonus_HLookup!$A$1:$E$2,2,FALSE)</f>
        <v>0.04</v>
      </c>
      <c r="Z801">
        <f t="shared" si="127"/>
        <v>31952.91</v>
      </c>
      <c r="AA801" s="1">
        <f t="shared" si="128"/>
        <v>25673.19254901406</v>
      </c>
      <c r="AB801">
        <f t="shared" si="129"/>
        <v>473</v>
      </c>
    </row>
    <row r="802" spans="1:28" x14ac:dyDescent="0.3">
      <c r="A802">
        <v>1801</v>
      </c>
      <c r="B802" t="s">
        <v>166</v>
      </c>
      <c r="C802" t="s">
        <v>62</v>
      </c>
      <c r="D802" t="s">
        <v>46</v>
      </c>
      <c r="E802" t="s">
        <v>47</v>
      </c>
      <c r="F802" t="s">
        <v>39</v>
      </c>
      <c r="G802">
        <v>4</v>
      </c>
      <c r="H802">
        <v>7000</v>
      </c>
      <c r="I802">
        <v>10</v>
      </c>
      <c r="J802">
        <v>357711</v>
      </c>
      <c r="K802">
        <v>9</v>
      </c>
      <c r="L802">
        <v>5</v>
      </c>
      <c r="M802" t="str">
        <f>VLOOKUP(Sales_Data!F802,Product_Master!$A$2:$D$11,2)</f>
        <v>Router</v>
      </c>
      <c r="N802" t="str">
        <f>VLOOKUP(F802,Product_Master!$A$2:$C$11,3)</f>
        <v>Electronics</v>
      </c>
      <c r="O802">
        <f>VLOOKUP(F802,Product_Master!$A$2:$D$11,4,FALSE)</f>
        <v>5000</v>
      </c>
      <c r="P802">
        <f t="shared" si="120"/>
        <v>28000</v>
      </c>
      <c r="Q802">
        <f t="shared" si="121"/>
        <v>2800</v>
      </c>
      <c r="R802">
        <f t="shared" si="122"/>
        <v>25200</v>
      </c>
      <c r="S802">
        <f t="shared" si="123"/>
        <v>5200</v>
      </c>
      <c r="T802" t="str">
        <f>_xlfn.CONCAT(Sales_Data!C802,"-",Sales_Data!E802,"-",Sales_Data!A802)</f>
        <v>East-C1030-1801</v>
      </c>
      <c r="U802" t="str">
        <f t="shared" si="124"/>
        <v>Regular</v>
      </c>
      <c r="V802" t="str" cm="1">
        <f t="array" ref="V802">_xlfn.IFS(R802&gt;=100000,"Excellent",R802&gt;=50000,"Good",R802&gt;=20000,"Average",TRUE,"Poor")</f>
        <v>Average</v>
      </c>
      <c r="W802">
        <f t="shared" si="125"/>
        <v>4</v>
      </c>
      <c r="X802" t="str">
        <f t="shared" si="126"/>
        <v>December</v>
      </c>
      <c r="Y802">
        <f>HLOOKUP("Q"&amp;W802,Bonus_HLookup!$A$1:$E$2,2,FALSE)</f>
        <v>0.08</v>
      </c>
      <c r="Z802">
        <f t="shared" si="127"/>
        <v>160969.95000000001</v>
      </c>
      <c r="AA802" s="1">
        <f t="shared" si="128"/>
        <v>7425.4920063743184</v>
      </c>
      <c r="AB802">
        <f t="shared" si="129"/>
        <v>395</v>
      </c>
    </row>
    <row r="803" spans="1:28" x14ac:dyDescent="0.3">
      <c r="A803">
        <v>1802</v>
      </c>
      <c r="B803" t="s">
        <v>90</v>
      </c>
      <c r="C803" t="s">
        <v>30</v>
      </c>
      <c r="D803" t="s">
        <v>19</v>
      </c>
      <c r="E803" t="s">
        <v>27</v>
      </c>
      <c r="F803" t="s">
        <v>25</v>
      </c>
      <c r="G803">
        <v>3</v>
      </c>
      <c r="H803">
        <v>1500</v>
      </c>
      <c r="I803">
        <v>12</v>
      </c>
      <c r="J803">
        <v>66677</v>
      </c>
      <c r="K803">
        <v>9</v>
      </c>
      <c r="L803">
        <v>5</v>
      </c>
      <c r="M803" t="str">
        <f>VLOOKUP(Sales_Data!F803,Product_Master!$A$2:$D$11,2)</f>
        <v>Keyboard</v>
      </c>
      <c r="N803" t="str">
        <f>VLOOKUP(F803,Product_Master!$A$2:$C$11,3)</f>
        <v>Accessories</v>
      </c>
      <c r="O803">
        <f>VLOOKUP(F803,Product_Master!$A$2:$D$11,4,FALSE)</f>
        <v>1200</v>
      </c>
      <c r="P803">
        <f t="shared" si="120"/>
        <v>4500</v>
      </c>
      <c r="Q803">
        <f t="shared" si="121"/>
        <v>540</v>
      </c>
      <c r="R803">
        <f t="shared" si="122"/>
        <v>3960</v>
      </c>
      <c r="S803">
        <f t="shared" si="123"/>
        <v>360</v>
      </c>
      <c r="T803" t="str">
        <f>_xlfn.CONCAT(Sales_Data!C803,"-",Sales_Data!E803,"-",Sales_Data!A803)</f>
        <v>South-C1007-1802</v>
      </c>
      <c r="U803" t="str">
        <f t="shared" si="124"/>
        <v>Regular</v>
      </c>
      <c r="V803" t="str" cm="1">
        <f t="array" ref="V803">_xlfn.IFS(R803&gt;=100000,"Excellent",R803&gt;=50000,"Good",R803&gt;=20000,"Average",TRUE,"Poor")</f>
        <v>Poor</v>
      </c>
      <c r="W803">
        <f t="shared" si="125"/>
        <v>2</v>
      </c>
      <c r="X803" t="str">
        <f t="shared" si="126"/>
        <v>May</v>
      </c>
      <c r="Y803">
        <f>HLOOKUP("Q"&amp;W803,Bonus_HLookup!$A$1:$E$2,2,FALSE)</f>
        <v>0.04</v>
      </c>
      <c r="Z803">
        <f t="shared" si="127"/>
        <v>30004.65</v>
      </c>
      <c r="AA803" s="1">
        <f t="shared" si="128"/>
        <v>1384.1048514276063</v>
      </c>
      <c r="AB803">
        <f t="shared" si="129"/>
        <v>840</v>
      </c>
    </row>
    <row r="804" spans="1:28" x14ac:dyDescent="0.3">
      <c r="A804">
        <v>1803</v>
      </c>
      <c r="B804" t="s">
        <v>361</v>
      </c>
      <c r="C804" t="s">
        <v>62</v>
      </c>
      <c r="D804" t="s">
        <v>46</v>
      </c>
      <c r="E804" t="s">
        <v>85</v>
      </c>
      <c r="F804" t="s">
        <v>16</v>
      </c>
      <c r="G804">
        <v>8</v>
      </c>
      <c r="H804">
        <v>2500</v>
      </c>
      <c r="I804">
        <v>2</v>
      </c>
      <c r="J804">
        <v>180376</v>
      </c>
      <c r="K804">
        <v>8</v>
      </c>
      <c r="L804">
        <v>2</v>
      </c>
      <c r="M804" t="str">
        <f>VLOOKUP(Sales_Data!F804,Product_Master!$A$2:$D$11,2)</f>
        <v>Speaker</v>
      </c>
      <c r="N804" t="str">
        <f>VLOOKUP(F804,Product_Master!$A$2:$C$11,3)</f>
        <v>Accessories</v>
      </c>
      <c r="O804">
        <f>VLOOKUP(F804,Product_Master!$A$2:$D$11,4,FALSE)</f>
        <v>1800</v>
      </c>
      <c r="P804">
        <f t="shared" si="120"/>
        <v>20000</v>
      </c>
      <c r="Q804">
        <f t="shared" si="121"/>
        <v>400</v>
      </c>
      <c r="R804">
        <f t="shared" si="122"/>
        <v>19600</v>
      </c>
      <c r="S804">
        <f t="shared" si="123"/>
        <v>5200</v>
      </c>
      <c r="T804" t="str">
        <f>_xlfn.CONCAT(Sales_Data!C804,"-",Sales_Data!E804,"-",Sales_Data!A804)</f>
        <v>East-C1005-1803</v>
      </c>
      <c r="U804" t="str">
        <f t="shared" si="124"/>
        <v>Regular</v>
      </c>
      <c r="V804" t="str" cm="1">
        <f t="array" ref="V804">_xlfn.IFS(R804&gt;=100000,"Excellent",R804&gt;=50000,"Good",R804&gt;=20000,"Average",TRUE,"Poor")</f>
        <v>Poor</v>
      </c>
      <c r="W804">
        <f t="shared" si="125"/>
        <v>3</v>
      </c>
      <c r="X804" t="str">
        <f t="shared" si="126"/>
        <v>August</v>
      </c>
      <c r="Y804">
        <f>HLOOKUP("Q"&amp;W804,Bonus_HLookup!$A$1:$E$2,2,FALSE)</f>
        <v>0.06</v>
      </c>
      <c r="Z804">
        <f t="shared" si="127"/>
        <v>28860.16</v>
      </c>
      <c r="AA804" s="1">
        <f t="shared" si="128"/>
        <v>8157.9179237006738</v>
      </c>
      <c r="AB804">
        <f t="shared" si="129"/>
        <v>461</v>
      </c>
    </row>
    <row r="805" spans="1:28" x14ac:dyDescent="0.3">
      <c r="A805">
        <v>1804</v>
      </c>
      <c r="B805" t="s">
        <v>171</v>
      </c>
      <c r="C805" t="s">
        <v>62</v>
      </c>
      <c r="D805" t="s">
        <v>91</v>
      </c>
      <c r="E805" t="s">
        <v>41</v>
      </c>
      <c r="F805" t="s">
        <v>28</v>
      </c>
      <c r="G805">
        <v>1</v>
      </c>
      <c r="H805">
        <v>950</v>
      </c>
      <c r="I805">
        <v>12</v>
      </c>
      <c r="J805">
        <v>263181</v>
      </c>
      <c r="K805">
        <v>7</v>
      </c>
      <c r="L805">
        <v>4</v>
      </c>
      <c r="M805" t="str">
        <f>VLOOKUP(Sales_Data!F805,Product_Master!$A$2:$D$11,2)</f>
        <v>Webcam</v>
      </c>
      <c r="N805" t="str">
        <f>VLOOKUP(F805,Product_Master!$A$2:$C$11,3)</f>
        <v>Accessories</v>
      </c>
      <c r="O805">
        <f>VLOOKUP(F805,Product_Master!$A$2:$D$11,4,FALSE)</f>
        <v>700</v>
      </c>
      <c r="P805">
        <f t="shared" si="120"/>
        <v>950</v>
      </c>
      <c r="Q805">
        <f t="shared" si="121"/>
        <v>114</v>
      </c>
      <c r="R805">
        <f t="shared" si="122"/>
        <v>836</v>
      </c>
      <c r="S805">
        <f t="shared" si="123"/>
        <v>136</v>
      </c>
      <c r="T805" t="str">
        <f>_xlfn.CONCAT(Sales_Data!C805,"-",Sales_Data!E805,"-",Sales_Data!A805)</f>
        <v>East-C1023-1804</v>
      </c>
      <c r="U805" t="str">
        <f t="shared" si="124"/>
        <v>Regular</v>
      </c>
      <c r="V805" t="str" cm="1">
        <f t="array" ref="V805">_xlfn.IFS(R805&gt;=100000,"Excellent",R805&gt;=50000,"Good",R805&gt;=20000,"Average",TRUE,"Poor")</f>
        <v>Poor</v>
      </c>
      <c r="W805">
        <f t="shared" si="125"/>
        <v>1</v>
      </c>
      <c r="X805" t="str">
        <f t="shared" si="126"/>
        <v>February</v>
      </c>
      <c r="Y805">
        <f>HLOOKUP("Q"&amp;W805,Bonus_HLookup!$A$1:$E$2,2,FALSE)</f>
        <v>0.02</v>
      </c>
      <c r="Z805">
        <f t="shared" si="127"/>
        <v>73690.679999999993</v>
      </c>
      <c r="AA805" s="1">
        <f t="shared" si="128"/>
        <v>6302.1966165063868</v>
      </c>
      <c r="AB805">
        <f t="shared" si="129"/>
        <v>989</v>
      </c>
    </row>
    <row r="806" spans="1:28" x14ac:dyDescent="0.3">
      <c r="A806">
        <v>1805</v>
      </c>
      <c r="B806" t="s">
        <v>152</v>
      </c>
      <c r="C806" t="s">
        <v>30</v>
      </c>
      <c r="D806" t="s">
        <v>14</v>
      </c>
      <c r="E806" t="s">
        <v>99</v>
      </c>
      <c r="F806" t="s">
        <v>36</v>
      </c>
      <c r="G806">
        <v>10</v>
      </c>
      <c r="H806">
        <v>55000</v>
      </c>
      <c r="I806">
        <v>12</v>
      </c>
      <c r="J806">
        <v>323005</v>
      </c>
      <c r="K806">
        <v>11</v>
      </c>
      <c r="L806">
        <v>4</v>
      </c>
      <c r="M806" t="str">
        <f>VLOOKUP(Sales_Data!F806,Product_Master!$A$2:$D$11,2)</f>
        <v>Laptop</v>
      </c>
      <c r="N806" t="str">
        <f>VLOOKUP(F806,Product_Master!$A$2:$C$11,3)</f>
        <v>Electronics</v>
      </c>
      <c r="O806">
        <f>VLOOKUP(F806,Product_Master!$A$2:$D$11,4,FALSE)</f>
        <v>45000</v>
      </c>
      <c r="P806">
        <f t="shared" si="120"/>
        <v>550000</v>
      </c>
      <c r="Q806">
        <f t="shared" si="121"/>
        <v>66000</v>
      </c>
      <c r="R806">
        <f t="shared" si="122"/>
        <v>484000</v>
      </c>
      <c r="S806">
        <f t="shared" si="123"/>
        <v>34000</v>
      </c>
      <c r="T806" t="str">
        <f>_xlfn.CONCAT(Sales_Data!C806,"-",Sales_Data!E806,"-",Sales_Data!A806)</f>
        <v>South-C1050-1805</v>
      </c>
      <c r="U806" t="str">
        <f t="shared" si="124"/>
        <v>High Value</v>
      </c>
      <c r="V806" t="str" cm="1">
        <f t="array" ref="V806">_xlfn.IFS(R806&gt;=100000,"Excellent",R806&gt;=50000,"Good",R806&gt;=20000,"Average",TRUE,"Poor")</f>
        <v>Excellent</v>
      </c>
      <c r="W806">
        <f t="shared" si="125"/>
        <v>4</v>
      </c>
      <c r="X806" t="str">
        <f t="shared" si="126"/>
        <v>October</v>
      </c>
      <c r="Y806">
        <f>HLOOKUP("Q"&amp;W806,Bonus_HLookup!$A$1:$E$2,2,FALSE)</f>
        <v>0.08</v>
      </c>
      <c r="Z806">
        <f t="shared" si="127"/>
        <v>142122.20000000001</v>
      </c>
      <c r="AA806" s="1">
        <f t="shared" si="128"/>
        <v>8348.2330311123151</v>
      </c>
      <c r="AB806">
        <f t="shared" si="129"/>
        <v>10</v>
      </c>
    </row>
    <row r="807" spans="1:28" x14ac:dyDescent="0.3">
      <c r="A807">
        <v>1806</v>
      </c>
      <c r="B807" t="s">
        <v>83</v>
      </c>
      <c r="C807" t="s">
        <v>13</v>
      </c>
      <c r="D807" t="s">
        <v>91</v>
      </c>
      <c r="E807" t="s">
        <v>231</v>
      </c>
      <c r="F807" t="s">
        <v>21</v>
      </c>
      <c r="G807">
        <v>4</v>
      </c>
      <c r="H807">
        <v>12000</v>
      </c>
      <c r="I807">
        <v>2</v>
      </c>
      <c r="J807">
        <v>470453</v>
      </c>
      <c r="K807">
        <v>12</v>
      </c>
      <c r="L807">
        <v>1</v>
      </c>
      <c r="M807" t="str">
        <f>VLOOKUP(Sales_Data!F807,Product_Master!$A$2:$D$11,2)</f>
        <v>Monitor</v>
      </c>
      <c r="N807" t="str">
        <f>VLOOKUP(F807,Product_Master!$A$2:$C$11,3)</f>
        <v>Electronics</v>
      </c>
      <c r="O807">
        <f>VLOOKUP(F807,Product_Master!$A$2:$D$11,4,FALSE)</f>
        <v>9000</v>
      </c>
      <c r="P807">
        <f t="shared" si="120"/>
        <v>48000</v>
      </c>
      <c r="Q807">
        <f t="shared" si="121"/>
        <v>960</v>
      </c>
      <c r="R807">
        <f t="shared" si="122"/>
        <v>47040</v>
      </c>
      <c r="S807">
        <f t="shared" si="123"/>
        <v>11040</v>
      </c>
      <c r="T807" t="str">
        <f>_xlfn.CONCAT(Sales_Data!C807,"-",Sales_Data!E807,"-",Sales_Data!A807)</f>
        <v>West-C1006-1806</v>
      </c>
      <c r="U807" t="str">
        <f t="shared" si="124"/>
        <v>Regular</v>
      </c>
      <c r="V807" t="str" cm="1">
        <f t="array" ref="V807">_xlfn.IFS(R807&gt;=100000,"Excellent",R807&gt;=50000,"Good",R807&gt;=20000,"Average",TRUE,"Poor")</f>
        <v>Average</v>
      </c>
      <c r="W807">
        <f t="shared" si="125"/>
        <v>1</v>
      </c>
      <c r="X807" t="str">
        <f t="shared" si="126"/>
        <v>January</v>
      </c>
      <c r="Y807">
        <f>HLOOKUP("Q"&amp;W807,Bonus_HLookup!$A$1:$E$2,2,FALSE)</f>
        <v>0.02</v>
      </c>
      <c r="Z807">
        <f t="shared" si="127"/>
        <v>56454.36</v>
      </c>
      <c r="AA807" s="1">
        <f t="shared" si="128"/>
        <v>41799.17918009188</v>
      </c>
      <c r="AB807">
        <f t="shared" si="129"/>
        <v>310</v>
      </c>
    </row>
    <row r="808" spans="1:28" x14ac:dyDescent="0.3">
      <c r="A808">
        <v>1807</v>
      </c>
      <c r="B808" t="s">
        <v>216</v>
      </c>
      <c r="C808" t="s">
        <v>62</v>
      </c>
      <c r="D808" t="s">
        <v>23</v>
      </c>
      <c r="E808" t="s">
        <v>31</v>
      </c>
      <c r="F808" t="s">
        <v>25</v>
      </c>
      <c r="G808">
        <v>7</v>
      </c>
      <c r="H808">
        <v>1500</v>
      </c>
      <c r="I808">
        <v>12</v>
      </c>
      <c r="J808">
        <v>276248</v>
      </c>
      <c r="K808">
        <v>9</v>
      </c>
      <c r="L808">
        <v>5</v>
      </c>
      <c r="M808" t="str">
        <f>VLOOKUP(Sales_Data!F808,Product_Master!$A$2:$D$11,2)</f>
        <v>Keyboard</v>
      </c>
      <c r="N808" t="str">
        <f>VLOOKUP(F808,Product_Master!$A$2:$C$11,3)</f>
        <v>Accessories</v>
      </c>
      <c r="O808">
        <f>VLOOKUP(F808,Product_Master!$A$2:$D$11,4,FALSE)</f>
        <v>1200</v>
      </c>
      <c r="P808">
        <f t="shared" si="120"/>
        <v>10500</v>
      </c>
      <c r="Q808">
        <f t="shared" si="121"/>
        <v>1260</v>
      </c>
      <c r="R808">
        <f t="shared" si="122"/>
        <v>9240</v>
      </c>
      <c r="S808">
        <f t="shared" si="123"/>
        <v>840</v>
      </c>
      <c r="T808" t="str">
        <f>_xlfn.CONCAT(Sales_Data!C808,"-",Sales_Data!E808,"-",Sales_Data!A808)</f>
        <v>East-C1025-1807</v>
      </c>
      <c r="U808" t="str">
        <f t="shared" si="124"/>
        <v>Regular</v>
      </c>
      <c r="V808" t="str" cm="1">
        <f t="array" ref="V808">_xlfn.IFS(R808&gt;=100000,"Excellent",R808&gt;=50000,"Good",R808&gt;=20000,"Average",TRUE,"Poor")</f>
        <v>Poor</v>
      </c>
      <c r="W808">
        <f t="shared" si="125"/>
        <v>1</v>
      </c>
      <c r="X808" t="str">
        <f t="shared" si="126"/>
        <v>February</v>
      </c>
      <c r="Y808">
        <f>HLOOKUP("Q"&amp;W808,Bonus_HLookup!$A$1:$E$2,2,FALSE)</f>
        <v>0.02</v>
      </c>
      <c r="Z808">
        <f t="shared" si="127"/>
        <v>124311.6</v>
      </c>
      <c r="AA808" s="1">
        <f t="shared" si="128"/>
        <v>5734.4541145698422</v>
      </c>
      <c r="AB808">
        <f t="shared" si="129"/>
        <v>655</v>
      </c>
    </row>
    <row r="809" spans="1:28" x14ac:dyDescent="0.3">
      <c r="A809">
        <v>1808</v>
      </c>
      <c r="B809" t="s">
        <v>409</v>
      </c>
      <c r="C809" t="s">
        <v>13</v>
      </c>
      <c r="D809" t="s">
        <v>19</v>
      </c>
      <c r="E809" t="s">
        <v>51</v>
      </c>
      <c r="F809" t="s">
        <v>39</v>
      </c>
      <c r="G809">
        <v>3</v>
      </c>
      <c r="H809">
        <v>7000</v>
      </c>
      <c r="I809">
        <v>12</v>
      </c>
      <c r="J809">
        <v>200198</v>
      </c>
      <c r="K809">
        <v>9</v>
      </c>
      <c r="L809">
        <v>4</v>
      </c>
      <c r="M809" t="str">
        <f>VLOOKUP(Sales_Data!F809,Product_Master!$A$2:$D$11,2)</f>
        <v>Router</v>
      </c>
      <c r="N809" t="str">
        <f>VLOOKUP(F809,Product_Master!$A$2:$C$11,3)</f>
        <v>Electronics</v>
      </c>
      <c r="O809">
        <f>VLOOKUP(F809,Product_Master!$A$2:$D$11,4,FALSE)</f>
        <v>5000</v>
      </c>
      <c r="P809">
        <f t="shared" si="120"/>
        <v>21000</v>
      </c>
      <c r="Q809">
        <f t="shared" si="121"/>
        <v>2520</v>
      </c>
      <c r="R809">
        <f t="shared" si="122"/>
        <v>18480</v>
      </c>
      <c r="S809">
        <f t="shared" si="123"/>
        <v>3480</v>
      </c>
      <c r="T809" t="str">
        <f>_xlfn.CONCAT(Sales_Data!C809,"-",Sales_Data!E809,"-",Sales_Data!A809)</f>
        <v>West-C1002-1808</v>
      </c>
      <c r="U809" t="str">
        <f t="shared" si="124"/>
        <v>Regular</v>
      </c>
      <c r="V809" t="str" cm="1">
        <f t="array" ref="V809">_xlfn.IFS(R809&gt;=100000,"Excellent",R809&gt;=50000,"Good",R809&gt;=20000,"Average",TRUE,"Poor")</f>
        <v>Poor</v>
      </c>
      <c r="W809">
        <f t="shared" si="125"/>
        <v>4</v>
      </c>
      <c r="X809" t="str">
        <f t="shared" si="126"/>
        <v>December</v>
      </c>
      <c r="Y809">
        <f>HLOOKUP("Q"&amp;W809,Bonus_HLookup!$A$1:$E$2,2,FALSE)</f>
        <v>0.08</v>
      </c>
      <c r="Z809">
        <f t="shared" si="127"/>
        <v>72071.28</v>
      </c>
      <c r="AA809" s="1">
        <f t="shared" si="128"/>
        <v>4981.9357131768811</v>
      </c>
      <c r="AB809">
        <f t="shared" si="129"/>
        <v>472</v>
      </c>
    </row>
    <row r="810" spans="1:28" x14ac:dyDescent="0.3">
      <c r="A810">
        <v>1809</v>
      </c>
      <c r="B810" t="s">
        <v>407</v>
      </c>
      <c r="C810" t="s">
        <v>30</v>
      </c>
      <c r="D810" t="s">
        <v>50</v>
      </c>
      <c r="E810" t="s">
        <v>47</v>
      </c>
      <c r="F810" t="s">
        <v>28</v>
      </c>
      <c r="G810">
        <v>6</v>
      </c>
      <c r="H810">
        <v>950</v>
      </c>
      <c r="I810">
        <v>5</v>
      </c>
      <c r="J810">
        <v>475592</v>
      </c>
      <c r="K810">
        <v>7</v>
      </c>
      <c r="L810">
        <v>1</v>
      </c>
      <c r="M810" t="str">
        <f>VLOOKUP(Sales_Data!F810,Product_Master!$A$2:$D$11,2)</f>
        <v>Webcam</v>
      </c>
      <c r="N810" t="str">
        <f>VLOOKUP(F810,Product_Master!$A$2:$C$11,3)</f>
        <v>Accessories</v>
      </c>
      <c r="O810">
        <f>VLOOKUP(F810,Product_Master!$A$2:$D$11,4,FALSE)</f>
        <v>700</v>
      </c>
      <c r="P810">
        <f t="shared" si="120"/>
        <v>5700</v>
      </c>
      <c r="Q810">
        <f t="shared" si="121"/>
        <v>285</v>
      </c>
      <c r="R810">
        <f t="shared" si="122"/>
        <v>5415</v>
      </c>
      <c r="S810">
        <f t="shared" si="123"/>
        <v>1215</v>
      </c>
      <c r="T810" t="str">
        <f>_xlfn.CONCAT(Sales_Data!C810,"-",Sales_Data!E810,"-",Sales_Data!A810)</f>
        <v>South-C1030-1809</v>
      </c>
      <c r="U810" t="str">
        <f t="shared" si="124"/>
        <v>Regular</v>
      </c>
      <c r="V810" t="str" cm="1">
        <f t="array" ref="V810">_xlfn.IFS(R810&gt;=100000,"Excellent",R810&gt;=50000,"Good",R810&gt;=20000,"Average",TRUE,"Poor")</f>
        <v>Poor</v>
      </c>
      <c r="W810">
        <f t="shared" si="125"/>
        <v>3</v>
      </c>
      <c r="X810" t="str">
        <f t="shared" si="126"/>
        <v>July</v>
      </c>
      <c r="Y810">
        <f>HLOOKUP("Q"&amp;W810,Bonus_HLookup!$A$1:$E$2,2,FALSE)</f>
        <v>0.06</v>
      </c>
      <c r="Z810">
        <f t="shared" si="127"/>
        <v>33291.440000000002</v>
      </c>
      <c r="AA810" s="1">
        <f t="shared" si="128"/>
        <v>41151.428230305675</v>
      </c>
      <c r="AB810">
        <f t="shared" si="129"/>
        <v>774</v>
      </c>
    </row>
    <row r="811" spans="1:28" x14ac:dyDescent="0.3">
      <c r="A811">
        <v>1810</v>
      </c>
      <c r="B811" t="s">
        <v>126</v>
      </c>
      <c r="C811" t="s">
        <v>13</v>
      </c>
      <c r="D811" t="s">
        <v>14</v>
      </c>
      <c r="E811" t="s">
        <v>73</v>
      </c>
      <c r="F811" t="s">
        <v>52</v>
      </c>
      <c r="G811">
        <v>8</v>
      </c>
      <c r="H811">
        <v>500</v>
      </c>
      <c r="I811">
        <v>5</v>
      </c>
      <c r="J811">
        <v>288911</v>
      </c>
      <c r="K811">
        <v>7</v>
      </c>
      <c r="L811">
        <v>5</v>
      </c>
      <c r="M811" t="str">
        <f>VLOOKUP(Sales_Data!F811,Product_Master!$A$2:$D$11,2)</f>
        <v>Mouse</v>
      </c>
      <c r="N811" t="str">
        <f>VLOOKUP(F811,Product_Master!$A$2:$C$11,3)</f>
        <v>Accessories</v>
      </c>
      <c r="O811">
        <f>VLOOKUP(F811,Product_Master!$A$2:$D$11,4,FALSE)</f>
        <v>350</v>
      </c>
      <c r="P811">
        <f t="shared" si="120"/>
        <v>4000</v>
      </c>
      <c r="Q811">
        <f t="shared" si="121"/>
        <v>200</v>
      </c>
      <c r="R811">
        <f t="shared" si="122"/>
        <v>3800</v>
      </c>
      <c r="S811">
        <f t="shared" si="123"/>
        <v>1000</v>
      </c>
      <c r="T811" t="str">
        <f>_xlfn.CONCAT(Sales_Data!C811,"-",Sales_Data!E811,"-",Sales_Data!A811)</f>
        <v>West-C1014-1810</v>
      </c>
      <c r="U811" t="str">
        <f t="shared" si="124"/>
        <v>Regular</v>
      </c>
      <c r="V811" t="str" cm="1">
        <f t="array" ref="V811">_xlfn.IFS(R811&gt;=100000,"Excellent",R811&gt;=50000,"Good",R811&gt;=20000,"Average",TRUE,"Poor")</f>
        <v>Poor</v>
      </c>
      <c r="W811">
        <f t="shared" si="125"/>
        <v>2</v>
      </c>
      <c r="X811" t="str">
        <f t="shared" si="126"/>
        <v>June</v>
      </c>
      <c r="Y811">
        <f>HLOOKUP("Q"&amp;W811,Bonus_HLookup!$A$1:$E$2,2,FALSE)</f>
        <v>0.04</v>
      </c>
      <c r="Z811">
        <f t="shared" si="127"/>
        <v>101118.85</v>
      </c>
      <c r="AA811" s="1">
        <f t="shared" si="128"/>
        <v>5720.7840714909244</v>
      </c>
      <c r="AB811">
        <f t="shared" si="129"/>
        <v>854</v>
      </c>
    </row>
    <row r="812" spans="1:28" x14ac:dyDescent="0.3">
      <c r="A812">
        <v>1811</v>
      </c>
      <c r="B812" t="s">
        <v>130</v>
      </c>
      <c r="C812" t="s">
        <v>30</v>
      </c>
      <c r="D812" t="s">
        <v>59</v>
      </c>
      <c r="E812" t="s">
        <v>82</v>
      </c>
      <c r="F812" t="s">
        <v>39</v>
      </c>
      <c r="G812">
        <v>8</v>
      </c>
      <c r="H812">
        <v>7000</v>
      </c>
      <c r="I812">
        <v>8</v>
      </c>
      <c r="J812">
        <v>173092</v>
      </c>
      <c r="K812">
        <v>12</v>
      </c>
      <c r="L812">
        <v>2</v>
      </c>
      <c r="M812" t="str">
        <f>VLOOKUP(Sales_Data!F812,Product_Master!$A$2:$D$11,2)</f>
        <v>Router</v>
      </c>
      <c r="N812" t="str">
        <f>VLOOKUP(F812,Product_Master!$A$2:$C$11,3)</f>
        <v>Electronics</v>
      </c>
      <c r="O812">
        <f>VLOOKUP(F812,Product_Master!$A$2:$D$11,4,FALSE)</f>
        <v>5000</v>
      </c>
      <c r="P812">
        <f t="shared" si="120"/>
        <v>56000</v>
      </c>
      <c r="Q812">
        <f t="shared" si="121"/>
        <v>4480</v>
      </c>
      <c r="R812">
        <f t="shared" si="122"/>
        <v>51520</v>
      </c>
      <c r="S812">
        <f t="shared" si="123"/>
        <v>11520</v>
      </c>
      <c r="T812" t="str">
        <f>_xlfn.CONCAT(Sales_Data!C812,"-",Sales_Data!E812,"-",Sales_Data!A812)</f>
        <v>South-C1045-1811</v>
      </c>
      <c r="U812" t="str">
        <f t="shared" si="124"/>
        <v>High Value</v>
      </c>
      <c r="V812" t="str" cm="1">
        <f t="array" ref="V812">_xlfn.IFS(R812&gt;=100000,"Excellent",R812&gt;=50000,"Good",R812&gt;=20000,"Average",TRUE,"Poor")</f>
        <v>Good</v>
      </c>
      <c r="W812">
        <f t="shared" si="125"/>
        <v>3</v>
      </c>
      <c r="X812" t="str">
        <f t="shared" si="126"/>
        <v>July</v>
      </c>
      <c r="Y812">
        <f>HLOOKUP("Q"&amp;W812,Bonus_HLookup!$A$1:$E$2,2,FALSE)</f>
        <v>0.06</v>
      </c>
      <c r="Z812">
        <f t="shared" si="127"/>
        <v>41542.080000000002</v>
      </c>
      <c r="AA812" s="1">
        <f t="shared" si="128"/>
        <v>8148.0414540693337</v>
      </c>
      <c r="AB812">
        <f t="shared" si="129"/>
        <v>287</v>
      </c>
    </row>
    <row r="813" spans="1:28" x14ac:dyDescent="0.3">
      <c r="A813">
        <v>1812</v>
      </c>
      <c r="B813" t="s">
        <v>410</v>
      </c>
      <c r="C813" t="s">
        <v>13</v>
      </c>
      <c r="D813" t="s">
        <v>50</v>
      </c>
      <c r="E813" t="s">
        <v>20</v>
      </c>
      <c r="F813" t="s">
        <v>21</v>
      </c>
      <c r="G813">
        <v>2</v>
      </c>
      <c r="H813">
        <v>12000</v>
      </c>
      <c r="I813">
        <v>12</v>
      </c>
      <c r="J813">
        <v>287642</v>
      </c>
      <c r="K813">
        <v>7</v>
      </c>
      <c r="L813">
        <v>1</v>
      </c>
      <c r="M813" t="str">
        <f>VLOOKUP(Sales_Data!F813,Product_Master!$A$2:$D$11,2)</f>
        <v>Monitor</v>
      </c>
      <c r="N813" t="str">
        <f>VLOOKUP(F813,Product_Master!$A$2:$C$11,3)</f>
        <v>Electronics</v>
      </c>
      <c r="O813">
        <f>VLOOKUP(F813,Product_Master!$A$2:$D$11,4,FALSE)</f>
        <v>9000</v>
      </c>
      <c r="P813">
        <f t="shared" si="120"/>
        <v>24000</v>
      </c>
      <c r="Q813">
        <f t="shared" si="121"/>
        <v>2880</v>
      </c>
      <c r="R813">
        <f t="shared" si="122"/>
        <v>21120</v>
      </c>
      <c r="S813">
        <f t="shared" si="123"/>
        <v>3120</v>
      </c>
      <c r="T813" t="str">
        <f>_xlfn.CONCAT(Sales_Data!C813,"-",Sales_Data!E813,"-",Sales_Data!A813)</f>
        <v>West-C1003-1812</v>
      </c>
      <c r="U813" t="str">
        <f t="shared" si="124"/>
        <v>Regular</v>
      </c>
      <c r="V813" t="str" cm="1">
        <f t="array" ref="V813">_xlfn.IFS(R813&gt;=100000,"Excellent",R813&gt;=50000,"Good",R813&gt;=20000,"Average",TRUE,"Poor")</f>
        <v>Average</v>
      </c>
      <c r="W813">
        <f t="shared" si="125"/>
        <v>4</v>
      </c>
      <c r="X813" t="str">
        <f t="shared" si="126"/>
        <v>October</v>
      </c>
      <c r="Y813">
        <f>HLOOKUP("Q"&amp;W813,Bonus_HLookup!$A$1:$E$2,2,FALSE)</f>
        <v>0.08</v>
      </c>
      <c r="Z813">
        <f t="shared" si="127"/>
        <v>20134.939999999999</v>
      </c>
      <c r="AA813" s="1">
        <f t="shared" si="128"/>
        <v>24888.726301160626</v>
      </c>
      <c r="AB813">
        <f t="shared" si="129"/>
        <v>429</v>
      </c>
    </row>
    <row r="814" spans="1:28" x14ac:dyDescent="0.3">
      <c r="A814">
        <v>1813</v>
      </c>
      <c r="B814" t="s">
        <v>263</v>
      </c>
      <c r="C814" t="s">
        <v>30</v>
      </c>
      <c r="D814" t="s">
        <v>46</v>
      </c>
      <c r="E814" t="s">
        <v>24</v>
      </c>
      <c r="F814" t="s">
        <v>21</v>
      </c>
      <c r="G814">
        <v>2</v>
      </c>
      <c r="H814">
        <v>12000</v>
      </c>
      <c r="I814">
        <v>5</v>
      </c>
      <c r="J814">
        <v>481399</v>
      </c>
      <c r="K814">
        <v>11</v>
      </c>
      <c r="L814">
        <v>4</v>
      </c>
      <c r="M814" t="str">
        <f>VLOOKUP(Sales_Data!F814,Product_Master!$A$2:$D$11,2)</f>
        <v>Monitor</v>
      </c>
      <c r="N814" t="str">
        <f>VLOOKUP(F814,Product_Master!$A$2:$C$11,3)</f>
        <v>Electronics</v>
      </c>
      <c r="O814">
        <f>VLOOKUP(F814,Product_Master!$A$2:$D$11,4,FALSE)</f>
        <v>9000</v>
      </c>
      <c r="P814">
        <f t="shared" si="120"/>
        <v>24000</v>
      </c>
      <c r="Q814">
        <f t="shared" si="121"/>
        <v>1200</v>
      </c>
      <c r="R814">
        <f t="shared" si="122"/>
        <v>22800</v>
      </c>
      <c r="S814">
        <f t="shared" si="123"/>
        <v>4800</v>
      </c>
      <c r="T814" t="str">
        <f>_xlfn.CONCAT(Sales_Data!C814,"-",Sales_Data!E814,"-",Sales_Data!A814)</f>
        <v>South-C1029-1813</v>
      </c>
      <c r="U814" t="str">
        <f t="shared" si="124"/>
        <v>Regular</v>
      </c>
      <c r="V814" t="str" cm="1">
        <f t="array" ref="V814">_xlfn.IFS(R814&gt;=100000,"Excellent",R814&gt;=50000,"Good",R814&gt;=20000,"Average",TRUE,"Poor")</f>
        <v>Average</v>
      </c>
      <c r="W814">
        <f t="shared" si="125"/>
        <v>2</v>
      </c>
      <c r="X814" t="str">
        <f t="shared" si="126"/>
        <v>May</v>
      </c>
      <c r="Y814">
        <f>HLOOKUP("Q"&amp;W814,Bonus_HLookup!$A$1:$E$2,2,FALSE)</f>
        <v>0.04</v>
      </c>
      <c r="Z814">
        <f t="shared" si="127"/>
        <v>211815.56</v>
      </c>
      <c r="AA814" s="1">
        <f t="shared" si="128"/>
        <v>12442.008739630774</v>
      </c>
      <c r="AB814">
        <f t="shared" si="129"/>
        <v>410</v>
      </c>
    </row>
    <row r="815" spans="1:28" x14ac:dyDescent="0.3">
      <c r="A815">
        <v>1814</v>
      </c>
      <c r="B815" t="s">
        <v>100</v>
      </c>
      <c r="C815" t="s">
        <v>62</v>
      </c>
      <c r="D815" t="s">
        <v>59</v>
      </c>
      <c r="E815" t="s">
        <v>71</v>
      </c>
      <c r="F815" t="s">
        <v>28</v>
      </c>
      <c r="G815">
        <v>3</v>
      </c>
      <c r="H815">
        <v>950</v>
      </c>
      <c r="I815">
        <v>0</v>
      </c>
      <c r="J815">
        <v>240104</v>
      </c>
      <c r="K815">
        <v>11</v>
      </c>
      <c r="L815">
        <v>5</v>
      </c>
      <c r="M815" t="str">
        <f>VLOOKUP(Sales_Data!F815,Product_Master!$A$2:$D$11,2)</f>
        <v>Webcam</v>
      </c>
      <c r="N815" t="str">
        <f>VLOOKUP(F815,Product_Master!$A$2:$C$11,3)</f>
        <v>Accessories</v>
      </c>
      <c r="O815">
        <f>VLOOKUP(F815,Product_Master!$A$2:$D$11,4,FALSE)</f>
        <v>700</v>
      </c>
      <c r="P815">
        <f t="shared" si="120"/>
        <v>2850</v>
      </c>
      <c r="Q815">
        <f t="shared" si="121"/>
        <v>0</v>
      </c>
      <c r="R815">
        <f t="shared" si="122"/>
        <v>2850</v>
      </c>
      <c r="S815">
        <f t="shared" si="123"/>
        <v>750</v>
      </c>
      <c r="T815" t="str">
        <f>_xlfn.CONCAT(Sales_Data!C815,"-",Sales_Data!E815,"-",Sales_Data!A815)</f>
        <v>East-C1019-1814</v>
      </c>
      <c r="U815" t="str">
        <f t="shared" si="124"/>
        <v>Regular</v>
      </c>
      <c r="V815" t="str" cm="1">
        <f t="array" ref="V815">_xlfn.IFS(R815&gt;=100000,"Excellent",R815&gt;=50000,"Good",R815&gt;=20000,"Average",TRUE,"Poor")</f>
        <v>Poor</v>
      </c>
      <c r="W815">
        <f t="shared" si="125"/>
        <v>2</v>
      </c>
      <c r="X815" t="str">
        <f t="shared" si="126"/>
        <v>April</v>
      </c>
      <c r="Y815">
        <f>HLOOKUP("Q"&amp;W815,Bonus_HLookup!$A$1:$E$2,2,FALSE)</f>
        <v>0.04</v>
      </c>
      <c r="Z815">
        <f t="shared" si="127"/>
        <v>132057.20000000001</v>
      </c>
      <c r="AA815" s="1">
        <f t="shared" si="128"/>
        <v>5220.4427494339488</v>
      </c>
      <c r="AB815">
        <f t="shared" si="129"/>
        <v>887</v>
      </c>
    </row>
    <row r="816" spans="1:28" x14ac:dyDescent="0.3">
      <c r="A816">
        <v>1815</v>
      </c>
      <c r="B816" t="s">
        <v>186</v>
      </c>
      <c r="C816" t="s">
        <v>18</v>
      </c>
      <c r="D816" t="s">
        <v>59</v>
      </c>
      <c r="E816" t="s">
        <v>172</v>
      </c>
      <c r="F816" t="s">
        <v>42</v>
      </c>
      <c r="G816">
        <v>3</v>
      </c>
      <c r="H816">
        <v>8000</v>
      </c>
      <c r="I816">
        <v>5</v>
      </c>
      <c r="J816">
        <v>162749</v>
      </c>
      <c r="K816">
        <v>10</v>
      </c>
      <c r="L816">
        <v>5</v>
      </c>
      <c r="M816" t="str">
        <f>VLOOKUP(Sales_Data!F816,Product_Master!$A$2:$D$11,2)</f>
        <v>Printer</v>
      </c>
      <c r="N816" t="str">
        <f>VLOOKUP(F816,Product_Master!$A$2:$C$11,3)</f>
        <v>Electronics</v>
      </c>
      <c r="O816">
        <f>VLOOKUP(F816,Product_Master!$A$2:$D$11,4,FALSE)</f>
        <v>6500</v>
      </c>
      <c r="P816">
        <f t="shared" si="120"/>
        <v>24000</v>
      </c>
      <c r="Q816">
        <f t="shared" si="121"/>
        <v>1200</v>
      </c>
      <c r="R816">
        <f t="shared" si="122"/>
        <v>22800</v>
      </c>
      <c r="S816">
        <f t="shared" si="123"/>
        <v>3300</v>
      </c>
      <c r="T816" t="str">
        <f>_xlfn.CONCAT(Sales_Data!C816,"-",Sales_Data!E816,"-",Sales_Data!A816)</f>
        <v>North-C1033-1815</v>
      </c>
      <c r="U816" t="str">
        <f t="shared" si="124"/>
        <v>Regular</v>
      </c>
      <c r="V816" t="str" cm="1">
        <f t="array" ref="V816">_xlfn.IFS(R816&gt;=100000,"Excellent",R816&gt;=50000,"Good",R816&gt;=20000,"Average",TRUE,"Poor")</f>
        <v>Average</v>
      </c>
      <c r="W816">
        <f t="shared" si="125"/>
        <v>1</v>
      </c>
      <c r="X816" t="str">
        <f t="shared" si="126"/>
        <v>January</v>
      </c>
      <c r="Y816">
        <f>HLOOKUP("Q"&amp;W816,Bonus_HLookup!$A$1:$E$2,2,FALSE)</f>
        <v>0.02</v>
      </c>
      <c r="Z816">
        <f t="shared" si="127"/>
        <v>81374.5</v>
      </c>
      <c r="AA816" s="1">
        <f t="shared" si="128"/>
        <v>3457.9352797142005</v>
      </c>
      <c r="AB816">
        <f t="shared" si="129"/>
        <v>410</v>
      </c>
    </row>
    <row r="817" spans="1:28" x14ac:dyDescent="0.3">
      <c r="A817">
        <v>1816</v>
      </c>
      <c r="B817" t="s">
        <v>127</v>
      </c>
      <c r="C817" t="s">
        <v>62</v>
      </c>
      <c r="D817" t="s">
        <v>19</v>
      </c>
      <c r="E817" t="s">
        <v>31</v>
      </c>
      <c r="F817" t="s">
        <v>21</v>
      </c>
      <c r="G817">
        <v>4</v>
      </c>
      <c r="H817">
        <v>12000</v>
      </c>
      <c r="I817">
        <v>2</v>
      </c>
      <c r="J817">
        <v>494015</v>
      </c>
      <c r="K817">
        <v>7</v>
      </c>
      <c r="L817">
        <v>4</v>
      </c>
      <c r="M817" t="str">
        <f>VLOOKUP(Sales_Data!F817,Product_Master!$A$2:$D$11,2)</f>
        <v>Monitor</v>
      </c>
      <c r="N817" t="str">
        <f>VLOOKUP(F817,Product_Master!$A$2:$C$11,3)</f>
        <v>Electronics</v>
      </c>
      <c r="O817">
        <f>VLOOKUP(F817,Product_Master!$A$2:$D$11,4,FALSE)</f>
        <v>9000</v>
      </c>
      <c r="P817">
        <f t="shared" si="120"/>
        <v>48000</v>
      </c>
      <c r="Q817">
        <f t="shared" si="121"/>
        <v>960</v>
      </c>
      <c r="R817">
        <f t="shared" si="122"/>
        <v>47040</v>
      </c>
      <c r="S817">
        <f t="shared" si="123"/>
        <v>11040</v>
      </c>
      <c r="T817" t="str">
        <f>_xlfn.CONCAT(Sales_Data!C817,"-",Sales_Data!E817,"-",Sales_Data!A817)</f>
        <v>East-C1025-1816</v>
      </c>
      <c r="U817" t="str">
        <f t="shared" si="124"/>
        <v>Regular</v>
      </c>
      <c r="V817" t="str" cm="1">
        <f t="array" ref="V817">_xlfn.IFS(R817&gt;=100000,"Excellent",R817&gt;=50000,"Good",R817&gt;=20000,"Average",TRUE,"Poor")</f>
        <v>Average</v>
      </c>
      <c r="W817">
        <f t="shared" si="125"/>
        <v>3</v>
      </c>
      <c r="X817" t="str">
        <f t="shared" si="126"/>
        <v>July</v>
      </c>
      <c r="Y817">
        <f>HLOOKUP("Q"&amp;W817,Bonus_HLookup!$A$1:$E$2,2,FALSE)</f>
        <v>0.06</v>
      </c>
      <c r="Z817">
        <f t="shared" si="127"/>
        <v>138324.20000000001</v>
      </c>
      <c r="AA817" s="1">
        <f t="shared" si="128"/>
        <v>11829.804056916733</v>
      </c>
      <c r="AB817">
        <f t="shared" si="129"/>
        <v>310</v>
      </c>
    </row>
    <row r="818" spans="1:28" x14ac:dyDescent="0.3">
      <c r="A818">
        <v>1817</v>
      </c>
      <c r="B818" t="s">
        <v>222</v>
      </c>
      <c r="C818" t="s">
        <v>30</v>
      </c>
      <c r="D818" t="s">
        <v>91</v>
      </c>
      <c r="E818" t="s">
        <v>106</v>
      </c>
      <c r="F818" t="s">
        <v>25</v>
      </c>
      <c r="G818">
        <v>8</v>
      </c>
      <c r="H818">
        <v>1500</v>
      </c>
      <c r="I818">
        <v>15</v>
      </c>
      <c r="J818">
        <v>222539</v>
      </c>
      <c r="K818">
        <v>9</v>
      </c>
      <c r="L818">
        <v>1</v>
      </c>
      <c r="M818" t="str">
        <f>VLOOKUP(Sales_Data!F818,Product_Master!$A$2:$D$11,2)</f>
        <v>Keyboard</v>
      </c>
      <c r="N818" t="str">
        <f>VLOOKUP(F818,Product_Master!$A$2:$C$11,3)</f>
        <v>Accessories</v>
      </c>
      <c r="O818">
        <f>VLOOKUP(F818,Product_Master!$A$2:$D$11,4,FALSE)</f>
        <v>1200</v>
      </c>
      <c r="P818">
        <f t="shared" si="120"/>
        <v>12000</v>
      </c>
      <c r="Q818">
        <f t="shared" si="121"/>
        <v>1800</v>
      </c>
      <c r="R818">
        <f t="shared" si="122"/>
        <v>10200</v>
      </c>
      <c r="S818">
        <f t="shared" si="123"/>
        <v>600</v>
      </c>
      <c r="T818" t="str">
        <f>_xlfn.CONCAT(Sales_Data!C818,"-",Sales_Data!E818,"-",Sales_Data!A818)</f>
        <v>South-C1004-1817</v>
      </c>
      <c r="U818" t="str">
        <f t="shared" si="124"/>
        <v>Regular</v>
      </c>
      <c r="V818" t="str" cm="1">
        <f t="array" ref="V818">_xlfn.IFS(R818&gt;=100000,"Excellent",R818&gt;=50000,"Good",R818&gt;=20000,"Average",TRUE,"Poor")</f>
        <v>Poor</v>
      </c>
      <c r="W818">
        <f t="shared" si="125"/>
        <v>2</v>
      </c>
      <c r="X818" t="str">
        <f t="shared" si="126"/>
        <v>June</v>
      </c>
      <c r="Y818">
        <f>HLOOKUP("Q"&amp;W818,Bonus_HLookup!$A$1:$E$2,2,FALSE)</f>
        <v>0.04</v>
      </c>
      <c r="Z818">
        <f t="shared" si="127"/>
        <v>20028.509999999998</v>
      </c>
      <c r="AA818" s="1">
        <f t="shared" si="128"/>
        <v>19461.364188901545</v>
      </c>
      <c r="AB818">
        <f t="shared" si="129"/>
        <v>630</v>
      </c>
    </row>
    <row r="819" spans="1:28" x14ac:dyDescent="0.3">
      <c r="A819">
        <v>1818</v>
      </c>
      <c r="B819" t="s">
        <v>48</v>
      </c>
      <c r="C819" t="s">
        <v>30</v>
      </c>
      <c r="D819" t="s">
        <v>14</v>
      </c>
      <c r="E819" t="s">
        <v>99</v>
      </c>
      <c r="F819" t="s">
        <v>39</v>
      </c>
      <c r="G819">
        <v>5</v>
      </c>
      <c r="H819">
        <v>7000</v>
      </c>
      <c r="I819">
        <v>10</v>
      </c>
      <c r="J819">
        <v>415824</v>
      </c>
      <c r="K819">
        <v>10</v>
      </c>
      <c r="L819">
        <v>5</v>
      </c>
      <c r="M819" t="str">
        <f>VLOOKUP(Sales_Data!F819,Product_Master!$A$2:$D$11,2)</f>
        <v>Router</v>
      </c>
      <c r="N819" t="str">
        <f>VLOOKUP(F819,Product_Master!$A$2:$C$11,3)</f>
        <v>Electronics</v>
      </c>
      <c r="O819">
        <f>VLOOKUP(F819,Product_Master!$A$2:$D$11,4,FALSE)</f>
        <v>5000</v>
      </c>
      <c r="P819">
        <f t="shared" si="120"/>
        <v>35000</v>
      </c>
      <c r="Q819">
        <f t="shared" si="121"/>
        <v>3500</v>
      </c>
      <c r="R819">
        <f t="shared" si="122"/>
        <v>31500</v>
      </c>
      <c r="S819">
        <f t="shared" si="123"/>
        <v>6500</v>
      </c>
      <c r="T819" t="str">
        <f>_xlfn.CONCAT(Sales_Data!C819,"-",Sales_Data!E819,"-",Sales_Data!A819)</f>
        <v>South-C1050-1818</v>
      </c>
      <c r="U819" t="str">
        <f t="shared" si="124"/>
        <v>Regular</v>
      </c>
      <c r="V819" t="str" cm="1">
        <f t="array" ref="V819">_xlfn.IFS(R819&gt;=100000,"Excellent",R819&gt;=50000,"Good",R819&gt;=20000,"Average",TRUE,"Poor")</f>
        <v>Average</v>
      </c>
      <c r="W819">
        <f t="shared" si="125"/>
        <v>3</v>
      </c>
      <c r="X819" t="str">
        <f t="shared" si="126"/>
        <v>August</v>
      </c>
      <c r="Y819">
        <f>HLOOKUP("Q"&amp;W819,Bonus_HLookup!$A$1:$E$2,2,FALSE)</f>
        <v>0.06</v>
      </c>
      <c r="Z819">
        <f t="shared" si="127"/>
        <v>207912</v>
      </c>
      <c r="AA819" s="1">
        <f t="shared" si="128"/>
        <v>8835.0311200184206</v>
      </c>
      <c r="AB819">
        <f t="shared" si="129"/>
        <v>367</v>
      </c>
    </row>
    <row r="820" spans="1:28" x14ac:dyDescent="0.3">
      <c r="A820">
        <v>1819</v>
      </c>
      <c r="B820" t="s">
        <v>78</v>
      </c>
      <c r="C820" t="s">
        <v>18</v>
      </c>
      <c r="D820" t="s">
        <v>14</v>
      </c>
      <c r="E820" t="s">
        <v>183</v>
      </c>
      <c r="F820" t="s">
        <v>21</v>
      </c>
      <c r="G820">
        <v>2</v>
      </c>
      <c r="H820">
        <v>12000</v>
      </c>
      <c r="I820">
        <v>10</v>
      </c>
      <c r="J820">
        <v>148871</v>
      </c>
      <c r="K820">
        <v>10</v>
      </c>
      <c r="L820">
        <v>3</v>
      </c>
      <c r="M820" t="str">
        <f>VLOOKUP(Sales_Data!F820,Product_Master!$A$2:$D$11,2)</f>
        <v>Monitor</v>
      </c>
      <c r="N820" t="str">
        <f>VLOOKUP(F820,Product_Master!$A$2:$C$11,3)</f>
        <v>Electronics</v>
      </c>
      <c r="O820">
        <f>VLOOKUP(F820,Product_Master!$A$2:$D$11,4,FALSE)</f>
        <v>9000</v>
      </c>
      <c r="P820">
        <f t="shared" si="120"/>
        <v>24000</v>
      </c>
      <c r="Q820">
        <f t="shared" si="121"/>
        <v>2400</v>
      </c>
      <c r="R820">
        <f t="shared" si="122"/>
        <v>21600</v>
      </c>
      <c r="S820">
        <f t="shared" si="123"/>
        <v>3600</v>
      </c>
      <c r="T820" t="str">
        <f>_xlfn.CONCAT(Sales_Data!C820,"-",Sales_Data!E820,"-",Sales_Data!A820)</f>
        <v>North-C1008-1819</v>
      </c>
      <c r="U820" t="str">
        <f t="shared" si="124"/>
        <v>Regular</v>
      </c>
      <c r="V820" t="str" cm="1">
        <f t="array" ref="V820">_xlfn.IFS(R820&gt;=100000,"Excellent",R820&gt;=50000,"Good",R820&gt;=20000,"Average",TRUE,"Poor")</f>
        <v>Average</v>
      </c>
      <c r="W820">
        <f t="shared" si="125"/>
        <v>2</v>
      </c>
      <c r="X820" t="str">
        <f t="shared" si="126"/>
        <v>May</v>
      </c>
      <c r="Y820">
        <f>HLOOKUP("Q"&amp;W820,Bonus_HLookup!$A$1:$E$2,2,FALSE)</f>
        <v>0.04</v>
      </c>
      <c r="Z820">
        <f t="shared" si="127"/>
        <v>44661.3</v>
      </c>
      <c r="AA820" s="1">
        <f t="shared" si="128"/>
        <v>4803.6484247337803</v>
      </c>
      <c r="AB820">
        <f t="shared" si="129"/>
        <v>424</v>
      </c>
    </row>
    <row r="821" spans="1:28" x14ac:dyDescent="0.3">
      <c r="A821">
        <v>1820</v>
      </c>
      <c r="B821" t="s">
        <v>353</v>
      </c>
      <c r="C821" t="s">
        <v>18</v>
      </c>
      <c r="D821" t="s">
        <v>91</v>
      </c>
      <c r="E821" t="s">
        <v>85</v>
      </c>
      <c r="F821" t="s">
        <v>39</v>
      </c>
      <c r="G821">
        <v>8</v>
      </c>
      <c r="H821">
        <v>7000</v>
      </c>
      <c r="I821">
        <v>12</v>
      </c>
      <c r="J821">
        <v>479331</v>
      </c>
      <c r="K821">
        <v>10</v>
      </c>
      <c r="L821">
        <v>2</v>
      </c>
      <c r="M821" t="str">
        <f>VLOOKUP(Sales_Data!F821,Product_Master!$A$2:$D$11,2)</f>
        <v>Router</v>
      </c>
      <c r="N821" t="str">
        <f>VLOOKUP(F821,Product_Master!$A$2:$C$11,3)</f>
        <v>Electronics</v>
      </c>
      <c r="O821">
        <f>VLOOKUP(F821,Product_Master!$A$2:$D$11,4,FALSE)</f>
        <v>5000</v>
      </c>
      <c r="P821">
        <f t="shared" si="120"/>
        <v>56000</v>
      </c>
      <c r="Q821">
        <f t="shared" si="121"/>
        <v>6720</v>
      </c>
      <c r="R821">
        <f t="shared" si="122"/>
        <v>49280</v>
      </c>
      <c r="S821">
        <f t="shared" si="123"/>
        <v>9280</v>
      </c>
      <c r="T821" t="str">
        <f>_xlfn.CONCAT(Sales_Data!C821,"-",Sales_Data!E821,"-",Sales_Data!A821)</f>
        <v>North-C1005-1820</v>
      </c>
      <c r="U821" t="str">
        <f t="shared" si="124"/>
        <v>Regular</v>
      </c>
      <c r="V821" t="str" cm="1">
        <f t="array" ref="V821">_xlfn.IFS(R821&gt;=100000,"Excellent",R821&gt;=50000,"Good",R821&gt;=20000,"Average",TRUE,"Poor")</f>
        <v>Average</v>
      </c>
      <c r="W821">
        <f t="shared" si="125"/>
        <v>1</v>
      </c>
      <c r="X821" t="str">
        <f t="shared" si="126"/>
        <v>January</v>
      </c>
      <c r="Y821">
        <f>HLOOKUP("Q"&amp;W821,Bonus_HLookup!$A$1:$E$2,2,FALSE)</f>
        <v>0.02</v>
      </c>
      <c r="Z821">
        <f t="shared" si="127"/>
        <v>95866.2</v>
      </c>
      <c r="AA821" s="1">
        <f t="shared" si="128"/>
        <v>22118.693686288127</v>
      </c>
      <c r="AB821">
        <f t="shared" si="129"/>
        <v>297</v>
      </c>
    </row>
    <row r="822" spans="1:28" x14ac:dyDescent="0.3">
      <c r="A822">
        <v>1821</v>
      </c>
      <c r="B822" t="s">
        <v>411</v>
      </c>
      <c r="C822" t="s">
        <v>18</v>
      </c>
      <c r="D822" t="s">
        <v>59</v>
      </c>
      <c r="E822" t="s">
        <v>203</v>
      </c>
      <c r="F822" t="s">
        <v>36</v>
      </c>
      <c r="G822">
        <v>7</v>
      </c>
      <c r="H822">
        <v>55000</v>
      </c>
      <c r="I822">
        <v>2</v>
      </c>
      <c r="J822">
        <v>499781</v>
      </c>
      <c r="K822">
        <v>8</v>
      </c>
      <c r="L822">
        <v>1</v>
      </c>
      <c r="M822" t="str">
        <f>VLOOKUP(Sales_Data!F822,Product_Master!$A$2:$D$11,2)</f>
        <v>Laptop</v>
      </c>
      <c r="N822" t="str">
        <f>VLOOKUP(F822,Product_Master!$A$2:$C$11,3)</f>
        <v>Electronics</v>
      </c>
      <c r="O822">
        <f>VLOOKUP(F822,Product_Master!$A$2:$D$11,4,FALSE)</f>
        <v>45000</v>
      </c>
      <c r="P822">
        <f t="shared" si="120"/>
        <v>385000</v>
      </c>
      <c r="Q822">
        <f t="shared" si="121"/>
        <v>7700</v>
      </c>
      <c r="R822">
        <f t="shared" si="122"/>
        <v>377300</v>
      </c>
      <c r="S822">
        <f t="shared" si="123"/>
        <v>62300</v>
      </c>
      <c r="T822" t="str">
        <f>_xlfn.CONCAT(Sales_Data!C822,"-",Sales_Data!E822,"-",Sales_Data!A822)</f>
        <v>North-C1037-1821</v>
      </c>
      <c r="U822" t="str">
        <f t="shared" si="124"/>
        <v>High Value</v>
      </c>
      <c r="V822" t="str" cm="1">
        <f t="array" ref="V822">_xlfn.IFS(R822&gt;=100000,"Excellent",R822&gt;=50000,"Good",R822&gt;=20000,"Average",TRUE,"Poor")</f>
        <v>Excellent</v>
      </c>
      <c r="W822">
        <f t="shared" si="125"/>
        <v>3</v>
      </c>
      <c r="X822" t="str">
        <f t="shared" si="126"/>
        <v>August</v>
      </c>
      <c r="Y822">
        <f>HLOOKUP("Q"&amp;W822,Bonus_HLookup!$A$1:$E$2,2,FALSE)</f>
        <v>0.06</v>
      </c>
      <c r="Z822">
        <f t="shared" si="127"/>
        <v>39982.480000000003</v>
      </c>
      <c r="AA822" s="1">
        <f t="shared" si="128"/>
        <v>43475.164076740824</v>
      </c>
      <c r="AB822">
        <f t="shared" si="129"/>
        <v>26</v>
      </c>
    </row>
    <row r="823" spans="1:28" x14ac:dyDescent="0.3">
      <c r="A823">
        <v>1822</v>
      </c>
      <c r="B823" t="s">
        <v>327</v>
      </c>
      <c r="C823" t="s">
        <v>18</v>
      </c>
      <c r="D823" t="s">
        <v>59</v>
      </c>
      <c r="E823" t="s">
        <v>112</v>
      </c>
      <c r="F823" t="s">
        <v>16</v>
      </c>
      <c r="G823">
        <v>3</v>
      </c>
      <c r="H823">
        <v>2500</v>
      </c>
      <c r="I823">
        <v>12</v>
      </c>
      <c r="J823">
        <v>138439</v>
      </c>
      <c r="K823">
        <v>7</v>
      </c>
      <c r="L823">
        <v>5</v>
      </c>
      <c r="M823" t="str">
        <f>VLOOKUP(Sales_Data!F823,Product_Master!$A$2:$D$11,2)</f>
        <v>Speaker</v>
      </c>
      <c r="N823" t="str">
        <f>VLOOKUP(F823,Product_Master!$A$2:$C$11,3)</f>
        <v>Accessories</v>
      </c>
      <c r="O823">
        <f>VLOOKUP(F823,Product_Master!$A$2:$D$11,4,FALSE)</f>
        <v>1800</v>
      </c>
      <c r="P823">
        <f t="shared" si="120"/>
        <v>7500</v>
      </c>
      <c r="Q823">
        <f t="shared" si="121"/>
        <v>900</v>
      </c>
      <c r="R823">
        <f t="shared" si="122"/>
        <v>6600</v>
      </c>
      <c r="S823">
        <f t="shared" si="123"/>
        <v>1200</v>
      </c>
      <c r="T823" t="str">
        <f>_xlfn.CONCAT(Sales_Data!C823,"-",Sales_Data!E823,"-",Sales_Data!A823)</f>
        <v>North-C1048-1822</v>
      </c>
      <c r="U823" t="str">
        <f t="shared" si="124"/>
        <v>Regular</v>
      </c>
      <c r="V823" t="str" cm="1">
        <f t="array" ref="V823">_xlfn.IFS(R823&gt;=100000,"Excellent",R823&gt;=50000,"Good",R823&gt;=20000,"Average",TRUE,"Poor")</f>
        <v>Poor</v>
      </c>
      <c r="W823">
        <f t="shared" si="125"/>
        <v>3</v>
      </c>
      <c r="X823" t="str">
        <f t="shared" si="126"/>
        <v>September</v>
      </c>
      <c r="Y823">
        <f>HLOOKUP("Q"&amp;W823,Bonus_HLookup!$A$1:$E$2,2,FALSE)</f>
        <v>0.06</v>
      </c>
      <c r="Z823">
        <f t="shared" si="127"/>
        <v>48453.65</v>
      </c>
      <c r="AA823" s="1">
        <f t="shared" si="128"/>
        <v>2741.2581247274493</v>
      </c>
      <c r="AB823">
        <f t="shared" si="129"/>
        <v>738</v>
      </c>
    </row>
    <row r="824" spans="1:28" x14ac:dyDescent="0.3">
      <c r="A824">
        <v>1823</v>
      </c>
      <c r="B824" t="s">
        <v>141</v>
      </c>
      <c r="C824" t="s">
        <v>18</v>
      </c>
      <c r="D824" t="s">
        <v>14</v>
      </c>
      <c r="E824" t="s">
        <v>15</v>
      </c>
      <c r="F824" t="s">
        <v>52</v>
      </c>
      <c r="G824">
        <v>2</v>
      </c>
      <c r="H824">
        <v>500</v>
      </c>
      <c r="I824">
        <v>5</v>
      </c>
      <c r="J824">
        <v>296406</v>
      </c>
      <c r="K824">
        <v>9</v>
      </c>
      <c r="L824">
        <v>1</v>
      </c>
      <c r="M824" t="str">
        <f>VLOOKUP(Sales_Data!F824,Product_Master!$A$2:$D$11,2)</f>
        <v>Mouse</v>
      </c>
      <c r="N824" t="str">
        <f>VLOOKUP(F824,Product_Master!$A$2:$C$11,3)</f>
        <v>Accessories</v>
      </c>
      <c r="O824">
        <f>VLOOKUP(F824,Product_Master!$A$2:$D$11,4,FALSE)</f>
        <v>350</v>
      </c>
      <c r="P824">
        <f t="shared" si="120"/>
        <v>1000</v>
      </c>
      <c r="Q824">
        <f t="shared" si="121"/>
        <v>50</v>
      </c>
      <c r="R824">
        <f t="shared" si="122"/>
        <v>950</v>
      </c>
      <c r="S824">
        <f t="shared" si="123"/>
        <v>250</v>
      </c>
      <c r="T824" t="str">
        <f>_xlfn.CONCAT(Sales_Data!C824,"-",Sales_Data!E824,"-",Sales_Data!A824)</f>
        <v>North-C1016-1823</v>
      </c>
      <c r="U824" t="str">
        <f t="shared" si="124"/>
        <v>Regular</v>
      </c>
      <c r="V824" t="str" cm="1">
        <f t="array" ref="V824">_xlfn.IFS(R824&gt;=100000,"Excellent",R824&gt;=50000,"Good",R824&gt;=20000,"Average",TRUE,"Poor")</f>
        <v>Poor</v>
      </c>
      <c r="W824">
        <f t="shared" si="125"/>
        <v>4</v>
      </c>
      <c r="X824" t="str">
        <f t="shared" si="126"/>
        <v>November</v>
      </c>
      <c r="Y824">
        <f>HLOOKUP("Q"&amp;W824,Bonus_HLookup!$A$1:$E$2,2,FALSE)</f>
        <v>0.08</v>
      </c>
      <c r="Z824">
        <f t="shared" si="127"/>
        <v>26676.54</v>
      </c>
      <c r="AA824" s="1">
        <f t="shared" si="128"/>
        <v>25921.142423465331</v>
      </c>
      <c r="AB824">
        <f t="shared" si="129"/>
        <v>967</v>
      </c>
    </row>
    <row r="825" spans="1:28" x14ac:dyDescent="0.3">
      <c r="A825">
        <v>1824</v>
      </c>
      <c r="B825" t="s">
        <v>49</v>
      </c>
      <c r="C825" t="s">
        <v>18</v>
      </c>
      <c r="D825" t="s">
        <v>33</v>
      </c>
      <c r="E825" t="s">
        <v>174</v>
      </c>
      <c r="F825" t="s">
        <v>69</v>
      </c>
      <c r="G825">
        <v>5</v>
      </c>
      <c r="H825">
        <v>2000</v>
      </c>
      <c r="I825">
        <v>10</v>
      </c>
      <c r="J825">
        <v>439604</v>
      </c>
      <c r="K825">
        <v>9</v>
      </c>
      <c r="L825">
        <v>4</v>
      </c>
      <c r="M825" t="str">
        <f>VLOOKUP(Sales_Data!F825,Product_Master!$A$2:$D$11,2)</f>
        <v>Headset</v>
      </c>
      <c r="N825" t="str">
        <f>VLOOKUP(F825,Product_Master!$A$2:$C$11,3)</f>
        <v>Accessories</v>
      </c>
      <c r="O825">
        <f>VLOOKUP(F825,Product_Master!$A$2:$D$11,4,FALSE)</f>
        <v>1500</v>
      </c>
      <c r="P825">
        <f t="shared" si="120"/>
        <v>10000</v>
      </c>
      <c r="Q825">
        <f t="shared" si="121"/>
        <v>1000</v>
      </c>
      <c r="R825">
        <f t="shared" si="122"/>
        <v>9000</v>
      </c>
      <c r="S825">
        <f t="shared" si="123"/>
        <v>1500</v>
      </c>
      <c r="T825" t="str">
        <f>_xlfn.CONCAT(Sales_Data!C825,"-",Sales_Data!E825,"-",Sales_Data!A825)</f>
        <v>North-C1044-1824</v>
      </c>
      <c r="U825" t="str">
        <f t="shared" si="124"/>
        <v>Regular</v>
      </c>
      <c r="V825" t="str" cm="1">
        <f t="array" ref="V825">_xlfn.IFS(R825&gt;=100000,"Excellent",R825&gt;=50000,"Good",R825&gt;=20000,"Average",TRUE,"Poor")</f>
        <v>Poor</v>
      </c>
      <c r="W825">
        <f t="shared" si="125"/>
        <v>4</v>
      </c>
      <c r="X825" t="str">
        <f t="shared" si="126"/>
        <v>November</v>
      </c>
      <c r="Y825">
        <f>HLOOKUP("Q"&amp;W825,Bonus_HLookup!$A$1:$E$2,2,FALSE)</f>
        <v>0.08</v>
      </c>
      <c r="Z825">
        <f t="shared" si="127"/>
        <v>158257.44</v>
      </c>
      <c r="AA825" s="1">
        <f t="shared" si="128"/>
        <v>10939.564167750974</v>
      </c>
      <c r="AB825">
        <f t="shared" si="129"/>
        <v>663</v>
      </c>
    </row>
    <row r="826" spans="1:28" x14ac:dyDescent="0.3">
      <c r="A826">
        <v>1825</v>
      </c>
      <c r="B826" t="s">
        <v>267</v>
      </c>
      <c r="C826" t="s">
        <v>62</v>
      </c>
      <c r="D826" t="s">
        <v>59</v>
      </c>
      <c r="E826" t="s">
        <v>51</v>
      </c>
      <c r="F826" t="s">
        <v>16</v>
      </c>
      <c r="G826">
        <v>6</v>
      </c>
      <c r="H826">
        <v>2500</v>
      </c>
      <c r="I826">
        <v>10</v>
      </c>
      <c r="J826">
        <v>58928</v>
      </c>
      <c r="K826">
        <v>12</v>
      </c>
      <c r="L826">
        <v>3</v>
      </c>
      <c r="M826" t="str">
        <f>VLOOKUP(Sales_Data!F826,Product_Master!$A$2:$D$11,2)</f>
        <v>Speaker</v>
      </c>
      <c r="N826" t="str">
        <f>VLOOKUP(F826,Product_Master!$A$2:$C$11,3)</f>
        <v>Accessories</v>
      </c>
      <c r="O826">
        <f>VLOOKUP(F826,Product_Master!$A$2:$D$11,4,FALSE)</f>
        <v>1800</v>
      </c>
      <c r="P826">
        <f t="shared" si="120"/>
        <v>15000</v>
      </c>
      <c r="Q826">
        <f t="shared" si="121"/>
        <v>1500</v>
      </c>
      <c r="R826">
        <f t="shared" si="122"/>
        <v>13500</v>
      </c>
      <c r="S826">
        <f t="shared" si="123"/>
        <v>2700</v>
      </c>
      <c r="T826" t="str">
        <f>_xlfn.CONCAT(Sales_Data!C826,"-",Sales_Data!E826,"-",Sales_Data!A826)</f>
        <v>East-C1002-1825</v>
      </c>
      <c r="U826" t="str">
        <f t="shared" si="124"/>
        <v>Regular</v>
      </c>
      <c r="V826" t="str" cm="1">
        <f t="array" ref="V826">_xlfn.IFS(R826&gt;=100000,"Excellent",R826&gt;=50000,"Good",R826&gt;=20000,"Average",TRUE,"Poor")</f>
        <v>Poor</v>
      </c>
      <c r="W826">
        <f t="shared" si="125"/>
        <v>2</v>
      </c>
      <c r="X826" t="str">
        <f t="shared" si="126"/>
        <v>June</v>
      </c>
      <c r="Y826">
        <f>HLOOKUP("Q"&amp;W826,Bonus_HLookup!$A$1:$E$2,2,FALSE)</f>
        <v>0.04</v>
      </c>
      <c r="Z826">
        <f t="shared" si="127"/>
        <v>21214.080000000002</v>
      </c>
      <c r="AA826" s="1">
        <f t="shared" si="128"/>
        <v>1957.2528486516949</v>
      </c>
      <c r="AB826">
        <f t="shared" si="129"/>
        <v>553</v>
      </c>
    </row>
    <row r="827" spans="1:28" x14ac:dyDescent="0.3">
      <c r="A827">
        <v>1826</v>
      </c>
      <c r="B827" t="s">
        <v>221</v>
      </c>
      <c r="C827" t="s">
        <v>62</v>
      </c>
      <c r="D827" t="s">
        <v>23</v>
      </c>
      <c r="E827" t="s">
        <v>125</v>
      </c>
      <c r="F827" t="s">
        <v>74</v>
      </c>
      <c r="G827">
        <v>7</v>
      </c>
      <c r="H827">
        <v>35000</v>
      </c>
      <c r="I827">
        <v>15</v>
      </c>
      <c r="J827">
        <v>405069</v>
      </c>
      <c r="K827">
        <v>8</v>
      </c>
      <c r="L827">
        <v>1</v>
      </c>
      <c r="M827" t="str">
        <f>VLOOKUP(Sales_Data!F827,Product_Master!$A$2:$D$11,2)</f>
        <v>Tablet</v>
      </c>
      <c r="N827" t="str">
        <f>VLOOKUP(F827,Product_Master!$A$2:$C$11,3)</f>
        <v>Electronics</v>
      </c>
      <c r="O827">
        <f>VLOOKUP(F827,Product_Master!$A$2:$D$11,4,FALSE)</f>
        <v>29000</v>
      </c>
      <c r="P827">
        <f t="shared" si="120"/>
        <v>245000</v>
      </c>
      <c r="Q827">
        <f t="shared" si="121"/>
        <v>36750</v>
      </c>
      <c r="R827">
        <f t="shared" si="122"/>
        <v>208250</v>
      </c>
      <c r="S827">
        <f t="shared" si="123"/>
        <v>5250</v>
      </c>
      <c r="T827" t="str">
        <f>_xlfn.CONCAT(Sales_Data!C827,"-",Sales_Data!E827,"-",Sales_Data!A827)</f>
        <v>East-C1039-1826</v>
      </c>
      <c r="U827" t="str">
        <f t="shared" si="124"/>
        <v>High Value</v>
      </c>
      <c r="V827" t="str" cm="1">
        <f t="array" ref="V827">_xlfn.IFS(R827&gt;=100000,"Excellent",R827&gt;=50000,"Good",R827&gt;=20000,"Average",TRUE,"Poor")</f>
        <v>Excellent</v>
      </c>
      <c r="W827">
        <f t="shared" si="125"/>
        <v>3</v>
      </c>
      <c r="X827" t="str">
        <f t="shared" si="126"/>
        <v>August</v>
      </c>
      <c r="Y827">
        <f>HLOOKUP("Q"&amp;W827,Bonus_HLookup!$A$1:$E$2,2,FALSE)</f>
        <v>0.06</v>
      </c>
      <c r="Z827">
        <f t="shared" si="127"/>
        <v>32405.52</v>
      </c>
      <c r="AA827" s="1">
        <f t="shared" si="128"/>
        <v>35236.315981202424</v>
      </c>
      <c r="AB827">
        <f t="shared" si="129"/>
        <v>105</v>
      </c>
    </row>
    <row r="828" spans="1:28" x14ac:dyDescent="0.3">
      <c r="A828">
        <v>1827</v>
      </c>
      <c r="B828" t="s">
        <v>209</v>
      </c>
      <c r="C828" t="s">
        <v>13</v>
      </c>
      <c r="D828" t="s">
        <v>33</v>
      </c>
      <c r="E828" t="s">
        <v>189</v>
      </c>
      <c r="F828" t="s">
        <v>39</v>
      </c>
      <c r="G828">
        <v>5</v>
      </c>
      <c r="H828">
        <v>7000</v>
      </c>
      <c r="I828">
        <v>0</v>
      </c>
      <c r="J828">
        <v>225639</v>
      </c>
      <c r="K828">
        <v>7</v>
      </c>
      <c r="L828">
        <v>5</v>
      </c>
      <c r="M828" t="str">
        <f>VLOOKUP(Sales_Data!F828,Product_Master!$A$2:$D$11,2)</f>
        <v>Router</v>
      </c>
      <c r="N828" t="str">
        <f>VLOOKUP(F828,Product_Master!$A$2:$C$11,3)</f>
        <v>Electronics</v>
      </c>
      <c r="O828">
        <f>VLOOKUP(F828,Product_Master!$A$2:$D$11,4,FALSE)</f>
        <v>5000</v>
      </c>
      <c r="P828">
        <f t="shared" si="120"/>
        <v>35000</v>
      </c>
      <c r="Q828">
        <f t="shared" si="121"/>
        <v>0</v>
      </c>
      <c r="R828">
        <f t="shared" si="122"/>
        <v>35000</v>
      </c>
      <c r="S828">
        <f t="shared" si="123"/>
        <v>10000</v>
      </c>
      <c r="T828" t="str">
        <f>_xlfn.CONCAT(Sales_Data!C828,"-",Sales_Data!E828,"-",Sales_Data!A828)</f>
        <v>West-C1015-1827</v>
      </c>
      <c r="U828" t="str">
        <f t="shared" si="124"/>
        <v>Regular</v>
      </c>
      <c r="V828" t="str" cm="1">
        <f t="array" ref="V828">_xlfn.IFS(R828&gt;=100000,"Excellent",R828&gt;=50000,"Good",R828&gt;=20000,"Average",TRUE,"Poor")</f>
        <v>Average</v>
      </c>
      <c r="W828">
        <f t="shared" si="125"/>
        <v>4</v>
      </c>
      <c r="X828" t="str">
        <f t="shared" si="126"/>
        <v>December</v>
      </c>
      <c r="Y828">
        <f>HLOOKUP("Q"&amp;W828,Bonus_HLookup!$A$1:$E$2,2,FALSE)</f>
        <v>0.08</v>
      </c>
      <c r="Z828">
        <f t="shared" si="127"/>
        <v>78973.649999999994</v>
      </c>
      <c r="AA828" s="1">
        <f t="shared" si="128"/>
        <v>4467.9226374459286</v>
      </c>
      <c r="AB828">
        <f t="shared" si="129"/>
        <v>351</v>
      </c>
    </row>
    <row r="829" spans="1:28" x14ac:dyDescent="0.3">
      <c r="A829">
        <v>1828</v>
      </c>
      <c r="B829" t="s">
        <v>339</v>
      </c>
      <c r="C829" t="s">
        <v>18</v>
      </c>
      <c r="D829" t="s">
        <v>33</v>
      </c>
      <c r="E829" t="s">
        <v>51</v>
      </c>
      <c r="F829" t="s">
        <v>39</v>
      </c>
      <c r="G829">
        <v>1</v>
      </c>
      <c r="H829">
        <v>7000</v>
      </c>
      <c r="I829">
        <v>0</v>
      </c>
      <c r="J829">
        <v>229625</v>
      </c>
      <c r="K829">
        <v>11</v>
      </c>
      <c r="L829">
        <v>5</v>
      </c>
      <c r="M829" t="str">
        <f>VLOOKUP(Sales_Data!F829,Product_Master!$A$2:$D$11,2)</f>
        <v>Router</v>
      </c>
      <c r="N829" t="str">
        <f>VLOOKUP(F829,Product_Master!$A$2:$C$11,3)</f>
        <v>Electronics</v>
      </c>
      <c r="O829">
        <f>VLOOKUP(F829,Product_Master!$A$2:$D$11,4,FALSE)</f>
        <v>5000</v>
      </c>
      <c r="P829">
        <f t="shared" si="120"/>
        <v>7000</v>
      </c>
      <c r="Q829">
        <f t="shared" si="121"/>
        <v>0</v>
      </c>
      <c r="R829">
        <f t="shared" si="122"/>
        <v>7000</v>
      </c>
      <c r="S829">
        <f t="shared" si="123"/>
        <v>2000</v>
      </c>
      <c r="T829" t="str">
        <f>_xlfn.CONCAT(Sales_Data!C829,"-",Sales_Data!E829,"-",Sales_Data!A829)</f>
        <v>North-C1002-1828</v>
      </c>
      <c r="U829" t="str">
        <f t="shared" si="124"/>
        <v>Regular</v>
      </c>
      <c r="V829" t="str" cm="1">
        <f t="array" ref="V829">_xlfn.IFS(R829&gt;=100000,"Excellent",R829&gt;=50000,"Good",R829&gt;=20000,"Average",TRUE,"Poor")</f>
        <v>Poor</v>
      </c>
      <c r="W829">
        <f t="shared" si="125"/>
        <v>4</v>
      </c>
      <c r="X829" t="str">
        <f t="shared" si="126"/>
        <v>October</v>
      </c>
      <c r="Y829">
        <f>HLOOKUP("Q"&amp;W829,Bonus_HLookup!$A$1:$E$2,2,FALSE)</f>
        <v>0.08</v>
      </c>
      <c r="Z829">
        <f t="shared" si="127"/>
        <v>126293.75</v>
      </c>
      <c r="AA829" s="1">
        <f t="shared" si="128"/>
        <v>4992.6038980557196</v>
      </c>
      <c r="AB829">
        <f t="shared" si="129"/>
        <v>719</v>
      </c>
    </row>
    <row r="830" spans="1:28" x14ac:dyDescent="0.3">
      <c r="A830">
        <v>1829</v>
      </c>
      <c r="B830" t="s">
        <v>250</v>
      </c>
      <c r="C830" t="s">
        <v>62</v>
      </c>
      <c r="D830" t="s">
        <v>46</v>
      </c>
      <c r="E830" t="s">
        <v>47</v>
      </c>
      <c r="F830" t="s">
        <v>21</v>
      </c>
      <c r="G830">
        <v>9</v>
      </c>
      <c r="H830">
        <v>12000</v>
      </c>
      <c r="I830">
        <v>12</v>
      </c>
      <c r="J830">
        <v>161380</v>
      </c>
      <c r="K830">
        <v>7</v>
      </c>
      <c r="L830">
        <v>3</v>
      </c>
      <c r="M830" t="str">
        <f>VLOOKUP(Sales_Data!F830,Product_Master!$A$2:$D$11,2)</f>
        <v>Monitor</v>
      </c>
      <c r="N830" t="str">
        <f>VLOOKUP(F830,Product_Master!$A$2:$C$11,3)</f>
        <v>Electronics</v>
      </c>
      <c r="O830">
        <f>VLOOKUP(F830,Product_Master!$A$2:$D$11,4,FALSE)</f>
        <v>9000</v>
      </c>
      <c r="P830">
        <f t="shared" si="120"/>
        <v>108000</v>
      </c>
      <c r="Q830">
        <f t="shared" si="121"/>
        <v>12960</v>
      </c>
      <c r="R830">
        <f t="shared" si="122"/>
        <v>95040</v>
      </c>
      <c r="S830">
        <f t="shared" si="123"/>
        <v>14040</v>
      </c>
      <c r="T830" t="str">
        <f>_xlfn.CONCAT(Sales_Data!C830,"-",Sales_Data!E830,"-",Sales_Data!A830)</f>
        <v>East-C1030-1829</v>
      </c>
      <c r="U830" t="str">
        <f t="shared" si="124"/>
        <v>High Value</v>
      </c>
      <c r="V830" t="str" cm="1">
        <f t="array" ref="V830">_xlfn.IFS(R830&gt;=100000,"Excellent",R830&gt;=50000,"Good",R830&gt;=20000,"Average",TRUE,"Poor")</f>
        <v>Good</v>
      </c>
      <c r="W830">
        <f t="shared" si="125"/>
        <v>2</v>
      </c>
      <c r="X830" t="str">
        <f t="shared" si="126"/>
        <v>April</v>
      </c>
      <c r="Y830">
        <f>HLOOKUP("Q"&amp;W830,Bonus_HLookup!$A$1:$E$2,2,FALSE)</f>
        <v>0.04</v>
      </c>
      <c r="Z830">
        <f t="shared" si="127"/>
        <v>33889.800000000003</v>
      </c>
      <c r="AA830" s="1">
        <f t="shared" si="128"/>
        <v>4982.9458921337236</v>
      </c>
      <c r="AB830">
        <f t="shared" si="129"/>
        <v>174</v>
      </c>
    </row>
    <row r="831" spans="1:28" x14ac:dyDescent="0.3">
      <c r="A831">
        <v>1830</v>
      </c>
      <c r="B831" t="s">
        <v>412</v>
      </c>
      <c r="C831" t="s">
        <v>13</v>
      </c>
      <c r="D831" t="s">
        <v>19</v>
      </c>
      <c r="E831" t="s">
        <v>102</v>
      </c>
      <c r="F831" t="s">
        <v>28</v>
      </c>
      <c r="G831">
        <v>8</v>
      </c>
      <c r="H831">
        <v>950</v>
      </c>
      <c r="I831">
        <v>12</v>
      </c>
      <c r="J831">
        <v>421067</v>
      </c>
      <c r="K831">
        <v>12</v>
      </c>
      <c r="L831">
        <v>3</v>
      </c>
      <c r="M831" t="str">
        <f>VLOOKUP(Sales_Data!F831,Product_Master!$A$2:$D$11,2)</f>
        <v>Webcam</v>
      </c>
      <c r="N831" t="str">
        <f>VLOOKUP(F831,Product_Master!$A$2:$C$11,3)</f>
        <v>Accessories</v>
      </c>
      <c r="O831">
        <f>VLOOKUP(F831,Product_Master!$A$2:$D$11,4,FALSE)</f>
        <v>700</v>
      </c>
      <c r="P831">
        <f t="shared" si="120"/>
        <v>7600</v>
      </c>
      <c r="Q831">
        <f t="shared" si="121"/>
        <v>912</v>
      </c>
      <c r="R831">
        <f t="shared" si="122"/>
        <v>6688</v>
      </c>
      <c r="S831">
        <f t="shared" si="123"/>
        <v>1088</v>
      </c>
      <c r="T831" t="str">
        <f>_xlfn.CONCAT(Sales_Data!C831,"-",Sales_Data!E831,"-",Sales_Data!A831)</f>
        <v>West-C1049-1830</v>
      </c>
      <c r="U831" t="str">
        <f t="shared" si="124"/>
        <v>Regular</v>
      </c>
      <c r="V831" t="str" cm="1">
        <f t="array" ref="V831">_xlfn.IFS(R831&gt;=100000,"Excellent",R831&gt;=50000,"Good",R831&gt;=20000,"Average",TRUE,"Poor")</f>
        <v>Poor</v>
      </c>
      <c r="W831">
        <f t="shared" si="125"/>
        <v>4</v>
      </c>
      <c r="X831" t="str">
        <f t="shared" si="126"/>
        <v>October</v>
      </c>
      <c r="Y831">
        <f>HLOOKUP("Q"&amp;W831,Bonus_HLookup!$A$1:$E$2,2,FALSE)</f>
        <v>0.08</v>
      </c>
      <c r="Z831">
        <f t="shared" si="127"/>
        <v>151584.12</v>
      </c>
      <c r="AA831" s="1">
        <f t="shared" si="128"/>
        <v>13985.449789967812</v>
      </c>
      <c r="AB831">
        <f t="shared" si="129"/>
        <v>732</v>
      </c>
    </row>
    <row r="832" spans="1:28" x14ac:dyDescent="0.3">
      <c r="A832">
        <v>1831</v>
      </c>
      <c r="B832" t="s">
        <v>93</v>
      </c>
      <c r="C832" t="s">
        <v>18</v>
      </c>
      <c r="D832" t="s">
        <v>23</v>
      </c>
      <c r="E832" t="s">
        <v>172</v>
      </c>
      <c r="F832" t="s">
        <v>25</v>
      </c>
      <c r="G832">
        <v>3</v>
      </c>
      <c r="H832">
        <v>1500</v>
      </c>
      <c r="I832">
        <v>12</v>
      </c>
      <c r="J832">
        <v>493813</v>
      </c>
      <c r="K832">
        <v>9</v>
      </c>
      <c r="L832">
        <v>4</v>
      </c>
      <c r="M832" t="str">
        <f>VLOOKUP(Sales_Data!F832,Product_Master!$A$2:$D$11,2)</f>
        <v>Keyboard</v>
      </c>
      <c r="N832" t="str">
        <f>VLOOKUP(F832,Product_Master!$A$2:$C$11,3)</f>
        <v>Accessories</v>
      </c>
      <c r="O832">
        <f>VLOOKUP(F832,Product_Master!$A$2:$D$11,4,FALSE)</f>
        <v>1200</v>
      </c>
      <c r="P832">
        <f t="shared" si="120"/>
        <v>4500</v>
      </c>
      <c r="Q832">
        <f t="shared" si="121"/>
        <v>540</v>
      </c>
      <c r="R832">
        <f t="shared" si="122"/>
        <v>3960</v>
      </c>
      <c r="S832">
        <f t="shared" si="123"/>
        <v>360</v>
      </c>
      <c r="T832" t="str">
        <f>_xlfn.CONCAT(Sales_Data!C832,"-",Sales_Data!E832,"-",Sales_Data!A832)</f>
        <v>North-C1033-1831</v>
      </c>
      <c r="U832" t="str">
        <f t="shared" si="124"/>
        <v>Regular</v>
      </c>
      <c r="V832" t="str" cm="1">
        <f t="array" ref="V832">_xlfn.IFS(R832&gt;=100000,"Excellent",R832&gt;=50000,"Good",R832&gt;=20000,"Average",TRUE,"Poor")</f>
        <v>Poor</v>
      </c>
      <c r="W832">
        <f t="shared" si="125"/>
        <v>4</v>
      </c>
      <c r="X832" t="str">
        <f t="shared" si="126"/>
        <v>November</v>
      </c>
      <c r="Y832">
        <f>HLOOKUP("Q"&amp;W832,Bonus_HLookup!$A$1:$E$2,2,FALSE)</f>
        <v>0.08</v>
      </c>
      <c r="Z832">
        <f t="shared" si="127"/>
        <v>177772.68</v>
      </c>
      <c r="AA832" s="1">
        <f t="shared" si="128"/>
        <v>12288.557429799574</v>
      </c>
      <c r="AB832">
        <f t="shared" si="129"/>
        <v>840</v>
      </c>
    </row>
    <row r="833" spans="1:28" x14ac:dyDescent="0.3">
      <c r="A833">
        <v>1832</v>
      </c>
      <c r="B833" t="s">
        <v>356</v>
      </c>
      <c r="C833" t="s">
        <v>13</v>
      </c>
      <c r="D833" t="s">
        <v>19</v>
      </c>
      <c r="E833" t="s">
        <v>140</v>
      </c>
      <c r="F833" t="s">
        <v>21</v>
      </c>
      <c r="G833">
        <v>4</v>
      </c>
      <c r="H833">
        <v>12000</v>
      </c>
      <c r="I833">
        <v>10</v>
      </c>
      <c r="J833">
        <v>415155</v>
      </c>
      <c r="K833">
        <v>9</v>
      </c>
      <c r="L833">
        <v>1</v>
      </c>
      <c r="M833" t="str">
        <f>VLOOKUP(Sales_Data!F833,Product_Master!$A$2:$D$11,2)</f>
        <v>Monitor</v>
      </c>
      <c r="N833" t="str">
        <f>VLOOKUP(F833,Product_Master!$A$2:$C$11,3)</f>
        <v>Electronics</v>
      </c>
      <c r="O833">
        <f>VLOOKUP(F833,Product_Master!$A$2:$D$11,4,FALSE)</f>
        <v>9000</v>
      </c>
      <c r="P833">
        <f t="shared" si="120"/>
        <v>48000</v>
      </c>
      <c r="Q833">
        <f t="shared" si="121"/>
        <v>4800</v>
      </c>
      <c r="R833">
        <f t="shared" si="122"/>
        <v>43200</v>
      </c>
      <c r="S833">
        <f t="shared" si="123"/>
        <v>7200</v>
      </c>
      <c r="T833" t="str">
        <f>_xlfn.CONCAT(Sales_Data!C833,"-",Sales_Data!E833,"-",Sales_Data!A833)</f>
        <v>West-C1011-1832</v>
      </c>
      <c r="U833" t="str">
        <f t="shared" si="124"/>
        <v>Regular</v>
      </c>
      <c r="V833" t="str" cm="1">
        <f t="array" ref="V833">_xlfn.IFS(R833&gt;=100000,"Excellent",R833&gt;=50000,"Good",R833&gt;=20000,"Average",TRUE,"Poor")</f>
        <v>Average</v>
      </c>
      <c r="W833">
        <f t="shared" si="125"/>
        <v>1</v>
      </c>
      <c r="X833" t="str">
        <f t="shared" si="126"/>
        <v>March</v>
      </c>
      <c r="Y833">
        <f>HLOOKUP("Q"&amp;W833,Bonus_HLookup!$A$1:$E$2,2,FALSE)</f>
        <v>0.02</v>
      </c>
      <c r="Z833">
        <f t="shared" si="127"/>
        <v>37363.949999999997</v>
      </c>
      <c r="AA833" s="1">
        <f t="shared" si="128"/>
        <v>36305.917838416724</v>
      </c>
      <c r="AB833">
        <f t="shared" si="129"/>
        <v>323</v>
      </c>
    </row>
    <row r="834" spans="1:28" x14ac:dyDescent="0.3">
      <c r="A834">
        <v>1833</v>
      </c>
      <c r="B834" t="s">
        <v>148</v>
      </c>
      <c r="C834" t="s">
        <v>62</v>
      </c>
      <c r="D834" t="s">
        <v>91</v>
      </c>
      <c r="E834" t="s">
        <v>102</v>
      </c>
      <c r="F834" t="s">
        <v>42</v>
      </c>
      <c r="G834">
        <v>3</v>
      </c>
      <c r="H834">
        <v>8000</v>
      </c>
      <c r="I834">
        <v>10</v>
      </c>
      <c r="J834">
        <v>492550</v>
      </c>
      <c r="K834">
        <v>7</v>
      </c>
      <c r="L834">
        <v>1</v>
      </c>
      <c r="M834" t="str">
        <f>VLOOKUP(Sales_Data!F834,Product_Master!$A$2:$D$11,2)</f>
        <v>Printer</v>
      </c>
      <c r="N834" t="str">
        <f>VLOOKUP(F834,Product_Master!$A$2:$C$11,3)</f>
        <v>Electronics</v>
      </c>
      <c r="O834">
        <f>VLOOKUP(F834,Product_Master!$A$2:$D$11,4,FALSE)</f>
        <v>6500</v>
      </c>
      <c r="P834">
        <f t="shared" si="120"/>
        <v>24000</v>
      </c>
      <c r="Q834">
        <f t="shared" si="121"/>
        <v>2400</v>
      </c>
      <c r="R834">
        <f t="shared" si="122"/>
        <v>21600</v>
      </c>
      <c r="S834">
        <f t="shared" si="123"/>
        <v>2100</v>
      </c>
      <c r="T834" t="str">
        <f>_xlfn.CONCAT(Sales_Data!C834,"-",Sales_Data!E834,"-",Sales_Data!A834)</f>
        <v>East-C1049-1833</v>
      </c>
      <c r="U834" t="str">
        <f t="shared" si="124"/>
        <v>Regular</v>
      </c>
      <c r="V834" t="str" cm="1">
        <f t="array" ref="V834">_xlfn.IFS(R834&gt;=100000,"Excellent",R834&gt;=50000,"Good",R834&gt;=20000,"Average",TRUE,"Poor")</f>
        <v>Average</v>
      </c>
      <c r="W834">
        <f t="shared" si="125"/>
        <v>2</v>
      </c>
      <c r="X834" t="str">
        <f t="shared" si="126"/>
        <v>May</v>
      </c>
      <c r="Y834">
        <f>HLOOKUP("Q"&amp;W834,Bonus_HLookup!$A$1:$E$2,2,FALSE)</f>
        <v>0.04</v>
      </c>
      <c r="Z834">
        <f t="shared" si="127"/>
        <v>34478.5</v>
      </c>
      <c r="AA834" s="1">
        <f t="shared" si="128"/>
        <v>42618.748790637903</v>
      </c>
      <c r="AB834">
        <f t="shared" si="129"/>
        <v>424</v>
      </c>
    </row>
    <row r="835" spans="1:28" x14ac:dyDescent="0.3">
      <c r="A835">
        <v>1834</v>
      </c>
      <c r="B835" t="s">
        <v>164</v>
      </c>
      <c r="C835" t="s">
        <v>30</v>
      </c>
      <c r="D835" t="s">
        <v>50</v>
      </c>
      <c r="E835" t="s">
        <v>165</v>
      </c>
      <c r="F835" t="s">
        <v>39</v>
      </c>
      <c r="G835">
        <v>8</v>
      </c>
      <c r="H835">
        <v>7000</v>
      </c>
      <c r="I835">
        <v>15</v>
      </c>
      <c r="J835">
        <v>77405</v>
      </c>
      <c r="K835">
        <v>8</v>
      </c>
      <c r="L835">
        <v>2</v>
      </c>
      <c r="M835" t="str">
        <f>VLOOKUP(Sales_Data!F835,Product_Master!$A$2:$D$11,2)</f>
        <v>Router</v>
      </c>
      <c r="N835" t="str">
        <f>VLOOKUP(F835,Product_Master!$A$2:$C$11,3)</f>
        <v>Electronics</v>
      </c>
      <c r="O835">
        <f>VLOOKUP(F835,Product_Master!$A$2:$D$11,4,FALSE)</f>
        <v>5000</v>
      </c>
      <c r="P835">
        <f t="shared" ref="P835:P898" si="130">H835*G835</f>
        <v>56000</v>
      </c>
      <c r="Q835">
        <f t="shared" ref="Q835:Q898" si="131">P835*(I835/100)</f>
        <v>8400</v>
      </c>
      <c r="R835">
        <f t="shared" ref="R835:R898" si="132">P835-Q835</f>
        <v>47600</v>
      </c>
      <c r="S835">
        <f t="shared" ref="S835:S898" si="133">R835-(G835*O835)</f>
        <v>7600</v>
      </c>
      <c r="T835" t="str">
        <f>_xlfn.CONCAT(Sales_Data!C835,"-",Sales_Data!E835,"-",Sales_Data!A835)</f>
        <v>South-C1042-1834</v>
      </c>
      <c r="U835" t="str">
        <f t="shared" ref="U835:U898" si="134">IF(R835&gt;=50000,"High Value","Regular")</f>
        <v>Regular</v>
      </c>
      <c r="V835" t="str" cm="1">
        <f t="array" ref="V835">_xlfn.IFS(R835&gt;=100000,"Excellent",R835&gt;=50000,"Good",R835&gt;=20000,"Average",TRUE,"Poor")</f>
        <v>Average</v>
      </c>
      <c r="W835">
        <f t="shared" ref="W835:W898" si="135">ROUNDUP(MONTH(B835)/3,0)</f>
        <v>1</v>
      </c>
      <c r="X835" t="str">
        <f t="shared" ref="X835:X898" si="136">TEXT(B835,"mmmm")</f>
        <v>February</v>
      </c>
      <c r="Y835">
        <f>HLOOKUP("Q"&amp;W835,Bonus_HLookup!$A$1:$E$2,2,FALSE)</f>
        <v>0.02</v>
      </c>
      <c r="Z835">
        <f t="shared" ref="Z835:Z898" si="137">(J835*K835*L835)/100</f>
        <v>12384.8</v>
      </c>
      <c r="AA835" s="1">
        <f t="shared" ref="AA835:AA898" si="138">PMT(K835/1200,L835*12,-J835)</f>
        <v>3500.8184951659341</v>
      </c>
      <c r="AB835">
        <f t="shared" ref="AB835:AB898" si="139">RANK(R835,$R$2:$R$1001)</f>
        <v>309</v>
      </c>
    </row>
    <row r="836" spans="1:28" x14ac:dyDescent="0.3">
      <c r="A836">
        <v>1835</v>
      </c>
      <c r="B836" t="s">
        <v>142</v>
      </c>
      <c r="C836" t="s">
        <v>13</v>
      </c>
      <c r="D836" t="s">
        <v>19</v>
      </c>
      <c r="E836" t="s">
        <v>169</v>
      </c>
      <c r="F836" t="s">
        <v>28</v>
      </c>
      <c r="G836">
        <v>7</v>
      </c>
      <c r="H836">
        <v>950</v>
      </c>
      <c r="I836">
        <v>0</v>
      </c>
      <c r="J836">
        <v>58375</v>
      </c>
      <c r="K836">
        <v>8</v>
      </c>
      <c r="L836">
        <v>1</v>
      </c>
      <c r="M836" t="str">
        <f>VLOOKUP(Sales_Data!F836,Product_Master!$A$2:$D$11,2)</f>
        <v>Webcam</v>
      </c>
      <c r="N836" t="str">
        <f>VLOOKUP(F836,Product_Master!$A$2:$C$11,3)</f>
        <v>Accessories</v>
      </c>
      <c r="O836">
        <f>VLOOKUP(F836,Product_Master!$A$2:$D$11,4,FALSE)</f>
        <v>700</v>
      </c>
      <c r="P836">
        <f t="shared" si="130"/>
        <v>6650</v>
      </c>
      <c r="Q836">
        <f t="shared" si="131"/>
        <v>0</v>
      </c>
      <c r="R836">
        <f t="shared" si="132"/>
        <v>6650</v>
      </c>
      <c r="S836">
        <f t="shared" si="133"/>
        <v>1750</v>
      </c>
      <c r="T836" t="str">
        <f>_xlfn.CONCAT(Sales_Data!C836,"-",Sales_Data!E836,"-",Sales_Data!A836)</f>
        <v>West-C1038-1835</v>
      </c>
      <c r="U836" t="str">
        <f t="shared" si="134"/>
        <v>Regular</v>
      </c>
      <c r="V836" t="str" cm="1">
        <f t="array" ref="V836">_xlfn.IFS(R836&gt;=100000,"Excellent",R836&gt;=50000,"Good",R836&gt;=20000,"Average",TRUE,"Poor")</f>
        <v>Poor</v>
      </c>
      <c r="W836">
        <f t="shared" si="135"/>
        <v>1</v>
      </c>
      <c r="X836" t="str">
        <f t="shared" si="136"/>
        <v>January</v>
      </c>
      <c r="Y836">
        <f>HLOOKUP("Q"&amp;W836,Bonus_HLookup!$A$1:$E$2,2,FALSE)</f>
        <v>0.02</v>
      </c>
      <c r="Z836">
        <f t="shared" si="137"/>
        <v>4670</v>
      </c>
      <c r="AA836" s="1">
        <f t="shared" si="138"/>
        <v>5077.9495478614544</v>
      </c>
      <c r="AB836">
        <f t="shared" si="139"/>
        <v>734</v>
      </c>
    </row>
    <row r="837" spans="1:28" x14ac:dyDescent="0.3">
      <c r="A837">
        <v>1836</v>
      </c>
      <c r="B837" t="s">
        <v>130</v>
      </c>
      <c r="C837" t="s">
        <v>30</v>
      </c>
      <c r="D837" t="s">
        <v>59</v>
      </c>
      <c r="E837" t="s">
        <v>146</v>
      </c>
      <c r="F837" t="s">
        <v>39</v>
      </c>
      <c r="G837">
        <v>8</v>
      </c>
      <c r="H837">
        <v>7000</v>
      </c>
      <c r="I837">
        <v>10</v>
      </c>
      <c r="J837">
        <v>77730</v>
      </c>
      <c r="K837">
        <v>10</v>
      </c>
      <c r="L837">
        <v>2</v>
      </c>
      <c r="M837" t="str">
        <f>VLOOKUP(Sales_Data!F837,Product_Master!$A$2:$D$11,2)</f>
        <v>Router</v>
      </c>
      <c r="N837" t="str">
        <f>VLOOKUP(F837,Product_Master!$A$2:$C$11,3)</f>
        <v>Electronics</v>
      </c>
      <c r="O837">
        <f>VLOOKUP(F837,Product_Master!$A$2:$D$11,4,FALSE)</f>
        <v>5000</v>
      </c>
      <c r="P837">
        <f t="shared" si="130"/>
        <v>56000</v>
      </c>
      <c r="Q837">
        <f t="shared" si="131"/>
        <v>5600</v>
      </c>
      <c r="R837">
        <f t="shared" si="132"/>
        <v>50400</v>
      </c>
      <c r="S837">
        <f t="shared" si="133"/>
        <v>10400</v>
      </c>
      <c r="T837" t="str">
        <f>_xlfn.CONCAT(Sales_Data!C837,"-",Sales_Data!E837,"-",Sales_Data!A837)</f>
        <v>South-C1017-1836</v>
      </c>
      <c r="U837" t="str">
        <f t="shared" si="134"/>
        <v>High Value</v>
      </c>
      <c r="V837" t="str" cm="1">
        <f t="array" ref="V837">_xlfn.IFS(R837&gt;=100000,"Excellent",R837&gt;=50000,"Good",R837&gt;=20000,"Average",TRUE,"Poor")</f>
        <v>Good</v>
      </c>
      <c r="W837">
        <f t="shared" si="135"/>
        <v>3</v>
      </c>
      <c r="X837" t="str">
        <f t="shared" si="136"/>
        <v>July</v>
      </c>
      <c r="Y837">
        <f>HLOOKUP("Q"&amp;W837,Bonus_HLookup!$A$1:$E$2,2,FALSE)</f>
        <v>0.06</v>
      </c>
      <c r="Z837">
        <f t="shared" si="137"/>
        <v>15546</v>
      </c>
      <c r="AA837" s="1">
        <f t="shared" si="138"/>
        <v>3586.8451242151577</v>
      </c>
      <c r="AB837">
        <f t="shared" si="139"/>
        <v>294</v>
      </c>
    </row>
    <row r="838" spans="1:28" x14ac:dyDescent="0.3">
      <c r="A838">
        <v>1837</v>
      </c>
      <c r="B838" t="s">
        <v>166</v>
      </c>
      <c r="C838" t="s">
        <v>30</v>
      </c>
      <c r="D838" t="s">
        <v>14</v>
      </c>
      <c r="E838" t="s">
        <v>63</v>
      </c>
      <c r="F838" t="s">
        <v>52</v>
      </c>
      <c r="G838">
        <v>3</v>
      </c>
      <c r="H838">
        <v>500</v>
      </c>
      <c r="I838">
        <v>5</v>
      </c>
      <c r="J838">
        <v>324752</v>
      </c>
      <c r="K838">
        <v>8</v>
      </c>
      <c r="L838">
        <v>4</v>
      </c>
      <c r="M838" t="str">
        <f>VLOOKUP(Sales_Data!F838,Product_Master!$A$2:$D$11,2)</f>
        <v>Mouse</v>
      </c>
      <c r="N838" t="str">
        <f>VLOOKUP(F838,Product_Master!$A$2:$C$11,3)</f>
        <v>Accessories</v>
      </c>
      <c r="O838">
        <f>VLOOKUP(F838,Product_Master!$A$2:$D$11,4,FALSE)</f>
        <v>350</v>
      </c>
      <c r="P838">
        <f t="shared" si="130"/>
        <v>1500</v>
      </c>
      <c r="Q838">
        <f t="shared" si="131"/>
        <v>75</v>
      </c>
      <c r="R838">
        <f t="shared" si="132"/>
        <v>1425</v>
      </c>
      <c r="S838">
        <f t="shared" si="133"/>
        <v>375</v>
      </c>
      <c r="T838" t="str">
        <f>_xlfn.CONCAT(Sales_Data!C838,"-",Sales_Data!E838,"-",Sales_Data!A838)</f>
        <v>South-C1035-1837</v>
      </c>
      <c r="U838" t="str">
        <f t="shared" si="134"/>
        <v>Regular</v>
      </c>
      <c r="V838" t="str" cm="1">
        <f t="array" ref="V838">_xlfn.IFS(R838&gt;=100000,"Excellent",R838&gt;=50000,"Good",R838&gt;=20000,"Average",TRUE,"Poor")</f>
        <v>Poor</v>
      </c>
      <c r="W838">
        <f t="shared" si="135"/>
        <v>4</v>
      </c>
      <c r="X838" t="str">
        <f t="shared" si="136"/>
        <v>December</v>
      </c>
      <c r="Y838">
        <f>HLOOKUP("Q"&amp;W838,Bonus_HLookup!$A$1:$E$2,2,FALSE)</f>
        <v>0.08</v>
      </c>
      <c r="Z838">
        <f t="shared" si="137"/>
        <v>103920.64</v>
      </c>
      <c r="AA838" s="1">
        <f t="shared" si="138"/>
        <v>7928.1453562476154</v>
      </c>
      <c r="AB838">
        <f t="shared" si="139"/>
        <v>952</v>
      </c>
    </row>
    <row r="839" spans="1:28" x14ac:dyDescent="0.3">
      <c r="A839">
        <v>1838</v>
      </c>
      <c r="B839" t="s">
        <v>323</v>
      </c>
      <c r="C839" t="s">
        <v>62</v>
      </c>
      <c r="D839" t="s">
        <v>14</v>
      </c>
      <c r="E839" t="s">
        <v>151</v>
      </c>
      <c r="F839" t="s">
        <v>52</v>
      </c>
      <c r="G839">
        <v>1</v>
      </c>
      <c r="H839">
        <v>500</v>
      </c>
      <c r="I839">
        <v>2</v>
      </c>
      <c r="J839">
        <v>248618</v>
      </c>
      <c r="K839">
        <v>9</v>
      </c>
      <c r="L839">
        <v>5</v>
      </c>
      <c r="M839" t="str">
        <f>VLOOKUP(Sales_Data!F839,Product_Master!$A$2:$D$11,2)</f>
        <v>Mouse</v>
      </c>
      <c r="N839" t="str">
        <f>VLOOKUP(F839,Product_Master!$A$2:$C$11,3)</f>
        <v>Accessories</v>
      </c>
      <c r="O839">
        <f>VLOOKUP(F839,Product_Master!$A$2:$D$11,4,FALSE)</f>
        <v>350</v>
      </c>
      <c r="P839">
        <f t="shared" si="130"/>
        <v>500</v>
      </c>
      <c r="Q839">
        <f t="shared" si="131"/>
        <v>10</v>
      </c>
      <c r="R839">
        <f t="shared" si="132"/>
        <v>490</v>
      </c>
      <c r="S839">
        <f t="shared" si="133"/>
        <v>140</v>
      </c>
      <c r="T839" t="str">
        <f>_xlfn.CONCAT(Sales_Data!C839,"-",Sales_Data!E839,"-",Sales_Data!A839)</f>
        <v>East-C1001-1838</v>
      </c>
      <c r="U839" t="str">
        <f t="shared" si="134"/>
        <v>Regular</v>
      </c>
      <c r="V839" t="str" cm="1">
        <f t="array" ref="V839">_xlfn.IFS(R839&gt;=100000,"Excellent",R839&gt;=50000,"Good",R839&gt;=20000,"Average",TRUE,"Poor")</f>
        <v>Poor</v>
      </c>
      <c r="W839">
        <f t="shared" si="135"/>
        <v>1</v>
      </c>
      <c r="X839" t="str">
        <f t="shared" si="136"/>
        <v>February</v>
      </c>
      <c r="Y839">
        <f>HLOOKUP("Q"&amp;W839,Bonus_HLookup!$A$1:$E$2,2,FALSE)</f>
        <v>0.02</v>
      </c>
      <c r="Z839">
        <f t="shared" si="137"/>
        <v>111878.1</v>
      </c>
      <c r="AA839" s="1">
        <f t="shared" si="138"/>
        <v>5160.9007596656802</v>
      </c>
      <c r="AB839">
        <f t="shared" si="139"/>
        <v>995</v>
      </c>
    </row>
    <row r="840" spans="1:28" x14ac:dyDescent="0.3">
      <c r="A840">
        <v>1839</v>
      </c>
      <c r="B840" t="s">
        <v>178</v>
      </c>
      <c r="C840" t="s">
        <v>62</v>
      </c>
      <c r="D840" t="s">
        <v>50</v>
      </c>
      <c r="E840" t="s">
        <v>89</v>
      </c>
      <c r="F840" t="s">
        <v>52</v>
      </c>
      <c r="G840">
        <v>10</v>
      </c>
      <c r="H840">
        <v>500</v>
      </c>
      <c r="I840">
        <v>2</v>
      </c>
      <c r="J840">
        <v>261075</v>
      </c>
      <c r="K840">
        <v>11</v>
      </c>
      <c r="L840">
        <v>5</v>
      </c>
      <c r="M840" t="str">
        <f>VLOOKUP(Sales_Data!F840,Product_Master!$A$2:$D$11,2)</f>
        <v>Mouse</v>
      </c>
      <c r="N840" t="str">
        <f>VLOOKUP(F840,Product_Master!$A$2:$C$11,3)</f>
        <v>Accessories</v>
      </c>
      <c r="O840">
        <f>VLOOKUP(F840,Product_Master!$A$2:$D$11,4,FALSE)</f>
        <v>350</v>
      </c>
      <c r="P840">
        <f t="shared" si="130"/>
        <v>5000</v>
      </c>
      <c r="Q840">
        <f t="shared" si="131"/>
        <v>100</v>
      </c>
      <c r="R840">
        <f t="shared" si="132"/>
        <v>4900</v>
      </c>
      <c r="S840">
        <f t="shared" si="133"/>
        <v>1400</v>
      </c>
      <c r="T840" t="str">
        <f>_xlfn.CONCAT(Sales_Data!C840,"-",Sales_Data!E840,"-",Sales_Data!A840)</f>
        <v>East-C1022-1839</v>
      </c>
      <c r="U840" t="str">
        <f t="shared" si="134"/>
        <v>Regular</v>
      </c>
      <c r="V840" t="str" cm="1">
        <f t="array" ref="V840">_xlfn.IFS(R840&gt;=100000,"Excellent",R840&gt;=50000,"Good",R840&gt;=20000,"Average",TRUE,"Poor")</f>
        <v>Poor</v>
      </c>
      <c r="W840">
        <f t="shared" si="135"/>
        <v>2</v>
      </c>
      <c r="X840" t="str">
        <f t="shared" si="136"/>
        <v>June</v>
      </c>
      <c r="Y840">
        <f>HLOOKUP("Q"&amp;W840,Bonus_HLookup!$A$1:$E$2,2,FALSE)</f>
        <v>0.04</v>
      </c>
      <c r="Z840">
        <f t="shared" si="137"/>
        <v>143591.25</v>
      </c>
      <c r="AA840" s="1">
        <f t="shared" si="138"/>
        <v>5676.4031036903516</v>
      </c>
      <c r="AB840">
        <f t="shared" si="139"/>
        <v>793</v>
      </c>
    </row>
    <row r="841" spans="1:28" x14ac:dyDescent="0.3">
      <c r="A841">
        <v>1840</v>
      </c>
      <c r="B841" t="s">
        <v>413</v>
      </c>
      <c r="C841" t="s">
        <v>62</v>
      </c>
      <c r="D841" t="s">
        <v>14</v>
      </c>
      <c r="E841" t="s">
        <v>108</v>
      </c>
      <c r="F841" t="s">
        <v>21</v>
      </c>
      <c r="G841">
        <v>9</v>
      </c>
      <c r="H841">
        <v>12000</v>
      </c>
      <c r="I841">
        <v>2</v>
      </c>
      <c r="J841">
        <v>189603</v>
      </c>
      <c r="K841">
        <v>10</v>
      </c>
      <c r="L841">
        <v>2</v>
      </c>
      <c r="M841" t="str">
        <f>VLOOKUP(Sales_Data!F841,Product_Master!$A$2:$D$11,2)</f>
        <v>Monitor</v>
      </c>
      <c r="N841" t="str">
        <f>VLOOKUP(F841,Product_Master!$A$2:$C$11,3)</f>
        <v>Electronics</v>
      </c>
      <c r="O841">
        <f>VLOOKUP(F841,Product_Master!$A$2:$D$11,4,FALSE)</f>
        <v>9000</v>
      </c>
      <c r="P841">
        <f t="shared" si="130"/>
        <v>108000</v>
      </c>
      <c r="Q841">
        <f t="shared" si="131"/>
        <v>2160</v>
      </c>
      <c r="R841">
        <f t="shared" si="132"/>
        <v>105840</v>
      </c>
      <c r="S841">
        <f t="shared" si="133"/>
        <v>24840</v>
      </c>
      <c r="T841" t="str">
        <f>_xlfn.CONCAT(Sales_Data!C841,"-",Sales_Data!E841,"-",Sales_Data!A841)</f>
        <v>East-C1031-1840</v>
      </c>
      <c r="U841" t="str">
        <f t="shared" si="134"/>
        <v>High Value</v>
      </c>
      <c r="V841" t="str" cm="1">
        <f t="array" ref="V841">_xlfn.IFS(R841&gt;=100000,"Excellent",R841&gt;=50000,"Good",R841&gt;=20000,"Average",TRUE,"Poor")</f>
        <v>Excellent</v>
      </c>
      <c r="W841">
        <f t="shared" si="135"/>
        <v>1</v>
      </c>
      <c r="X841" t="str">
        <f t="shared" si="136"/>
        <v>March</v>
      </c>
      <c r="Y841">
        <f>HLOOKUP("Q"&amp;W841,Bonus_HLookup!$A$1:$E$2,2,FALSE)</f>
        <v>0.02</v>
      </c>
      <c r="Z841">
        <f t="shared" si="137"/>
        <v>37920.6</v>
      </c>
      <c r="AA841" s="1">
        <f t="shared" si="138"/>
        <v>8749.2164683721421</v>
      </c>
      <c r="AB841">
        <f t="shared" si="139"/>
        <v>158</v>
      </c>
    </row>
    <row r="842" spans="1:28" x14ac:dyDescent="0.3">
      <c r="A842">
        <v>1841</v>
      </c>
      <c r="B842" t="s">
        <v>244</v>
      </c>
      <c r="C842" t="s">
        <v>18</v>
      </c>
      <c r="D842" t="s">
        <v>59</v>
      </c>
      <c r="E842" t="s">
        <v>131</v>
      </c>
      <c r="F842" t="s">
        <v>39</v>
      </c>
      <c r="G842">
        <v>2</v>
      </c>
      <c r="H842">
        <v>7000</v>
      </c>
      <c r="I842">
        <v>8</v>
      </c>
      <c r="J842">
        <v>212464</v>
      </c>
      <c r="K842">
        <v>8</v>
      </c>
      <c r="L842">
        <v>1</v>
      </c>
      <c r="M842" t="str">
        <f>VLOOKUP(Sales_Data!F842,Product_Master!$A$2:$D$11,2)</f>
        <v>Router</v>
      </c>
      <c r="N842" t="str">
        <f>VLOOKUP(F842,Product_Master!$A$2:$C$11,3)</f>
        <v>Electronics</v>
      </c>
      <c r="O842">
        <f>VLOOKUP(F842,Product_Master!$A$2:$D$11,4,FALSE)</f>
        <v>5000</v>
      </c>
      <c r="P842">
        <f t="shared" si="130"/>
        <v>14000</v>
      </c>
      <c r="Q842">
        <f t="shared" si="131"/>
        <v>1120</v>
      </c>
      <c r="R842">
        <f t="shared" si="132"/>
        <v>12880</v>
      </c>
      <c r="S842">
        <f t="shared" si="133"/>
        <v>2880</v>
      </c>
      <c r="T842" t="str">
        <f>_xlfn.CONCAT(Sales_Data!C842,"-",Sales_Data!E842,"-",Sales_Data!A842)</f>
        <v>North-C1047-1841</v>
      </c>
      <c r="U842" t="str">
        <f t="shared" si="134"/>
        <v>Regular</v>
      </c>
      <c r="V842" t="str" cm="1">
        <f t="array" ref="V842">_xlfn.IFS(R842&gt;=100000,"Excellent",R842&gt;=50000,"Good",R842&gt;=20000,"Average",TRUE,"Poor")</f>
        <v>Poor</v>
      </c>
      <c r="W842">
        <f t="shared" si="135"/>
        <v>1</v>
      </c>
      <c r="X842" t="str">
        <f t="shared" si="136"/>
        <v>March</v>
      </c>
      <c r="Y842">
        <f>HLOOKUP("Q"&amp;W842,Bonus_HLookup!$A$1:$E$2,2,FALSE)</f>
        <v>0.02</v>
      </c>
      <c r="Z842">
        <f t="shared" si="137"/>
        <v>16997.12</v>
      </c>
      <c r="AA842" s="1">
        <f t="shared" si="138"/>
        <v>18481.9095972049</v>
      </c>
      <c r="AB842">
        <f t="shared" si="139"/>
        <v>568</v>
      </c>
    </row>
    <row r="843" spans="1:28" x14ac:dyDescent="0.3">
      <c r="A843">
        <v>1842</v>
      </c>
      <c r="B843" t="s">
        <v>195</v>
      </c>
      <c r="C843" t="s">
        <v>18</v>
      </c>
      <c r="D843" t="s">
        <v>14</v>
      </c>
      <c r="E843" t="s">
        <v>38</v>
      </c>
      <c r="F843" t="s">
        <v>69</v>
      </c>
      <c r="G843">
        <v>3</v>
      </c>
      <c r="H843">
        <v>2000</v>
      </c>
      <c r="I843">
        <v>12</v>
      </c>
      <c r="J843">
        <v>368066</v>
      </c>
      <c r="K843">
        <v>12</v>
      </c>
      <c r="L843">
        <v>3</v>
      </c>
      <c r="M843" t="str">
        <f>VLOOKUP(Sales_Data!F843,Product_Master!$A$2:$D$11,2)</f>
        <v>Headset</v>
      </c>
      <c r="N843" t="str">
        <f>VLOOKUP(F843,Product_Master!$A$2:$C$11,3)</f>
        <v>Accessories</v>
      </c>
      <c r="O843">
        <f>VLOOKUP(F843,Product_Master!$A$2:$D$11,4,FALSE)</f>
        <v>1500</v>
      </c>
      <c r="P843">
        <f t="shared" si="130"/>
        <v>6000</v>
      </c>
      <c r="Q843">
        <f t="shared" si="131"/>
        <v>720</v>
      </c>
      <c r="R843">
        <f t="shared" si="132"/>
        <v>5280</v>
      </c>
      <c r="S843">
        <f t="shared" si="133"/>
        <v>780</v>
      </c>
      <c r="T843" t="str">
        <f>_xlfn.CONCAT(Sales_Data!C843,"-",Sales_Data!E843,"-",Sales_Data!A843)</f>
        <v>North-C1009-1842</v>
      </c>
      <c r="U843" t="str">
        <f t="shared" si="134"/>
        <v>Regular</v>
      </c>
      <c r="V843" t="str" cm="1">
        <f t="array" ref="V843">_xlfn.IFS(R843&gt;=100000,"Excellent",R843&gt;=50000,"Good",R843&gt;=20000,"Average",TRUE,"Poor")</f>
        <v>Poor</v>
      </c>
      <c r="W843">
        <f t="shared" si="135"/>
        <v>2</v>
      </c>
      <c r="X843" t="str">
        <f t="shared" si="136"/>
        <v>April</v>
      </c>
      <c r="Y843">
        <f>HLOOKUP("Q"&amp;W843,Bonus_HLookup!$A$1:$E$2,2,FALSE)</f>
        <v>0.04</v>
      </c>
      <c r="Z843">
        <f t="shared" si="137"/>
        <v>132503.76</v>
      </c>
      <c r="AA843" s="1">
        <f t="shared" si="138"/>
        <v>12225.058155576888</v>
      </c>
      <c r="AB843">
        <f t="shared" si="139"/>
        <v>779</v>
      </c>
    </row>
    <row r="844" spans="1:28" x14ac:dyDescent="0.3">
      <c r="A844">
        <v>1843</v>
      </c>
      <c r="B844" t="s">
        <v>12</v>
      </c>
      <c r="C844" t="s">
        <v>13</v>
      </c>
      <c r="D844" t="s">
        <v>14</v>
      </c>
      <c r="E844" t="s">
        <v>15</v>
      </c>
      <c r="F844" t="s">
        <v>21</v>
      </c>
      <c r="G844">
        <v>3</v>
      </c>
      <c r="H844">
        <v>12000</v>
      </c>
      <c r="I844">
        <v>15</v>
      </c>
      <c r="J844">
        <v>429139</v>
      </c>
      <c r="K844">
        <v>10</v>
      </c>
      <c r="L844">
        <v>4</v>
      </c>
      <c r="M844" t="str">
        <f>VLOOKUP(Sales_Data!F844,Product_Master!$A$2:$D$11,2)</f>
        <v>Monitor</v>
      </c>
      <c r="N844" t="str">
        <f>VLOOKUP(F844,Product_Master!$A$2:$C$11,3)</f>
        <v>Electronics</v>
      </c>
      <c r="O844">
        <f>VLOOKUP(F844,Product_Master!$A$2:$D$11,4,FALSE)</f>
        <v>9000</v>
      </c>
      <c r="P844">
        <f t="shared" si="130"/>
        <v>36000</v>
      </c>
      <c r="Q844">
        <f t="shared" si="131"/>
        <v>5400</v>
      </c>
      <c r="R844">
        <f t="shared" si="132"/>
        <v>30600</v>
      </c>
      <c r="S844">
        <f t="shared" si="133"/>
        <v>3600</v>
      </c>
      <c r="T844" t="str">
        <f>_xlfn.CONCAT(Sales_Data!C844,"-",Sales_Data!E844,"-",Sales_Data!A844)</f>
        <v>West-C1016-1843</v>
      </c>
      <c r="U844" t="str">
        <f t="shared" si="134"/>
        <v>Regular</v>
      </c>
      <c r="V844" t="str" cm="1">
        <f t="array" ref="V844">_xlfn.IFS(R844&gt;=100000,"Excellent",R844&gt;=50000,"Good",R844&gt;=20000,"Average",TRUE,"Poor")</f>
        <v>Average</v>
      </c>
      <c r="W844">
        <f t="shared" si="135"/>
        <v>4</v>
      </c>
      <c r="X844" t="str">
        <f t="shared" si="136"/>
        <v>December</v>
      </c>
      <c r="Y844">
        <f>HLOOKUP("Q"&amp;W844,Bonus_HLookup!$A$1:$E$2,2,FALSE)</f>
        <v>0.08</v>
      </c>
      <c r="Z844">
        <f t="shared" si="137"/>
        <v>171655.6</v>
      </c>
      <c r="AA844" s="1">
        <f t="shared" si="138"/>
        <v>10884.073692603974</v>
      </c>
      <c r="AB844">
        <f t="shared" si="139"/>
        <v>373</v>
      </c>
    </row>
    <row r="845" spans="1:28" x14ac:dyDescent="0.3">
      <c r="A845">
        <v>1844</v>
      </c>
      <c r="B845" t="s">
        <v>293</v>
      </c>
      <c r="C845" t="s">
        <v>30</v>
      </c>
      <c r="D845" t="s">
        <v>50</v>
      </c>
      <c r="E845" t="s">
        <v>203</v>
      </c>
      <c r="F845" t="s">
        <v>25</v>
      </c>
      <c r="G845">
        <v>8</v>
      </c>
      <c r="H845">
        <v>1500</v>
      </c>
      <c r="I845">
        <v>10</v>
      </c>
      <c r="J845">
        <v>326269</v>
      </c>
      <c r="K845">
        <v>7</v>
      </c>
      <c r="L845">
        <v>1</v>
      </c>
      <c r="M845" t="str">
        <f>VLOOKUP(Sales_Data!F845,Product_Master!$A$2:$D$11,2)</f>
        <v>Keyboard</v>
      </c>
      <c r="N845" t="str">
        <f>VLOOKUP(F845,Product_Master!$A$2:$C$11,3)</f>
        <v>Accessories</v>
      </c>
      <c r="O845">
        <f>VLOOKUP(F845,Product_Master!$A$2:$D$11,4,FALSE)</f>
        <v>1200</v>
      </c>
      <c r="P845">
        <f t="shared" si="130"/>
        <v>12000</v>
      </c>
      <c r="Q845">
        <f t="shared" si="131"/>
        <v>1200</v>
      </c>
      <c r="R845">
        <f t="shared" si="132"/>
        <v>10800</v>
      </c>
      <c r="S845">
        <f t="shared" si="133"/>
        <v>1200</v>
      </c>
      <c r="T845" t="str">
        <f>_xlfn.CONCAT(Sales_Data!C845,"-",Sales_Data!E845,"-",Sales_Data!A845)</f>
        <v>South-C1037-1844</v>
      </c>
      <c r="U845" t="str">
        <f t="shared" si="134"/>
        <v>Regular</v>
      </c>
      <c r="V845" t="str" cm="1">
        <f t="array" ref="V845">_xlfn.IFS(R845&gt;=100000,"Excellent",R845&gt;=50000,"Good",R845&gt;=20000,"Average",TRUE,"Poor")</f>
        <v>Poor</v>
      </c>
      <c r="W845">
        <f t="shared" si="135"/>
        <v>4</v>
      </c>
      <c r="X845" t="str">
        <f t="shared" si="136"/>
        <v>December</v>
      </c>
      <c r="Y845">
        <f>HLOOKUP("Q"&amp;W845,Bonus_HLookup!$A$1:$E$2,2,FALSE)</f>
        <v>0.08</v>
      </c>
      <c r="Z845">
        <f t="shared" si="137"/>
        <v>22838.83</v>
      </c>
      <c r="AA845" s="1">
        <f t="shared" si="138"/>
        <v>28230.994922693404</v>
      </c>
      <c r="AB845">
        <f t="shared" si="139"/>
        <v>619</v>
      </c>
    </row>
    <row r="846" spans="1:28" x14ac:dyDescent="0.3">
      <c r="A846">
        <v>1845</v>
      </c>
      <c r="B846" t="s">
        <v>240</v>
      </c>
      <c r="C846" t="s">
        <v>18</v>
      </c>
      <c r="D846" t="s">
        <v>23</v>
      </c>
      <c r="E846" t="s">
        <v>169</v>
      </c>
      <c r="F846" t="s">
        <v>42</v>
      </c>
      <c r="G846">
        <v>4</v>
      </c>
      <c r="H846">
        <v>8000</v>
      </c>
      <c r="I846">
        <v>10</v>
      </c>
      <c r="J846">
        <v>120472</v>
      </c>
      <c r="K846">
        <v>11</v>
      </c>
      <c r="L846">
        <v>5</v>
      </c>
      <c r="M846" t="str">
        <f>VLOOKUP(Sales_Data!F846,Product_Master!$A$2:$D$11,2)</f>
        <v>Printer</v>
      </c>
      <c r="N846" t="str">
        <f>VLOOKUP(F846,Product_Master!$A$2:$C$11,3)</f>
        <v>Electronics</v>
      </c>
      <c r="O846">
        <f>VLOOKUP(F846,Product_Master!$A$2:$D$11,4,FALSE)</f>
        <v>6500</v>
      </c>
      <c r="P846">
        <f t="shared" si="130"/>
        <v>32000</v>
      </c>
      <c r="Q846">
        <f t="shared" si="131"/>
        <v>3200</v>
      </c>
      <c r="R846">
        <f t="shared" si="132"/>
        <v>28800</v>
      </c>
      <c r="S846">
        <f t="shared" si="133"/>
        <v>2800</v>
      </c>
      <c r="T846" t="str">
        <f>_xlfn.CONCAT(Sales_Data!C846,"-",Sales_Data!E846,"-",Sales_Data!A846)</f>
        <v>North-C1038-1845</v>
      </c>
      <c r="U846" t="str">
        <f t="shared" si="134"/>
        <v>Regular</v>
      </c>
      <c r="V846" t="str" cm="1">
        <f t="array" ref="V846">_xlfn.IFS(R846&gt;=100000,"Excellent",R846&gt;=50000,"Good",R846&gt;=20000,"Average",TRUE,"Poor")</f>
        <v>Average</v>
      </c>
      <c r="W846">
        <f t="shared" si="135"/>
        <v>3</v>
      </c>
      <c r="X846" t="str">
        <f t="shared" si="136"/>
        <v>July</v>
      </c>
      <c r="Y846">
        <f>HLOOKUP("Q"&amp;W846,Bonus_HLookup!$A$1:$E$2,2,FALSE)</f>
        <v>0.06</v>
      </c>
      <c r="Z846">
        <f t="shared" si="137"/>
        <v>66259.600000000006</v>
      </c>
      <c r="AA846" s="1">
        <f t="shared" si="138"/>
        <v>2619.3531924074846</v>
      </c>
      <c r="AB846">
        <f t="shared" si="139"/>
        <v>384</v>
      </c>
    </row>
    <row r="847" spans="1:28" x14ac:dyDescent="0.3">
      <c r="A847">
        <v>1846</v>
      </c>
      <c r="B847" t="s">
        <v>217</v>
      </c>
      <c r="C847" t="s">
        <v>30</v>
      </c>
      <c r="D847" t="s">
        <v>23</v>
      </c>
      <c r="E847" t="s">
        <v>77</v>
      </c>
      <c r="F847" t="s">
        <v>16</v>
      </c>
      <c r="G847">
        <v>5</v>
      </c>
      <c r="H847">
        <v>2500</v>
      </c>
      <c r="I847">
        <v>8</v>
      </c>
      <c r="J847">
        <v>394095</v>
      </c>
      <c r="K847">
        <v>12</v>
      </c>
      <c r="L847">
        <v>3</v>
      </c>
      <c r="M847" t="str">
        <f>VLOOKUP(Sales_Data!F847,Product_Master!$A$2:$D$11,2)</f>
        <v>Speaker</v>
      </c>
      <c r="N847" t="str">
        <f>VLOOKUP(F847,Product_Master!$A$2:$C$11,3)</f>
        <v>Accessories</v>
      </c>
      <c r="O847">
        <f>VLOOKUP(F847,Product_Master!$A$2:$D$11,4,FALSE)</f>
        <v>1800</v>
      </c>
      <c r="P847">
        <f t="shared" si="130"/>
        <v>12500</v>
      </c>
      <c r="Q847">
        <f t="shared" si="131"/>
        <v>1000</v>
      </c>
      <c r="R847">
        <f t="shared" si="132"/>
        <v>11500</v>
      </c>
      <c r="S847">
        <f t="shared" si="133"/>
        <v>2500</v>
      </c>
      <c r="T847" t="str">
        <f>_xlfn.CONCAT(Sales_Data!C847,"-",Sales_Data!E847,"-",Sales_Data!A847)</f>
        <v>South-C1020-1846</v>
      </c>
      <c r="U847" t="str">
        <f t="shared" si="134"/>
        <v>Regular</v>
      </c>
      <c r="V847" t="str" cm="1">
        <f t="array" ref="V847">_xlfn.IFS(R847&gt;=100000,"Excellent",R847&gt;=50000,"Good",R847&gt;=20000,"Average",TRUE,"Poor")</f>
        <v>Poor</v>
      </c>
      <c r="W847">
        <f t="shared" si="135"/>
        <v>3</v>
      </c>
      <c r="X847" t="str">
        <f t="shared" si="136"/>
        <v>August</v>
      </c>
      <c r="Y847">
        <f>HLOOKUP("Q"&amp;W847,Bonus_HLookup!$A$1:$E$2,2,FALSE)</f>
        <v>0.06</v>
      </c>
      <c r="Z847">
        <f t="shared" si="137"/>
        <v>141874.20000000001</v>
      </c>
      <c r="AA847" s="1">
        <f t="shared" si="138"/>
        <v>13089.59342569559</v>
      </c>
      <c r="AB847">
        <f t="shared" si="139"/>
        <v>603</v>
      </c>
    </row>
    <row r="848" spans="1:28" x14ac:dyDescent="0.3">
      <c r="A848">
        <v>1847</v>
      </c>
      <c r="B848" t="s">
        <v>75</v>
      </c>
      <c r="C848" t="s">
        <v>30</v>
      </c>
      <c r="D848" t="s">
        <v>46</v>
      </c>
      <c r="E848" t="s">
        <v>187</v>
      </c>
      <c r="F848" t="s">
        <v>52</v>
      </c>
      <c r="G848">
        <v>6</v>
      </c>
      <c r="H848">
        <v>500</v>
      </c>
      <c r="I848">
        <v>0</v>
      </c>
      <c r="J848">
        <v>75172</v>
      </c>
      <c r="K848">
        <v>8</v>
      </c>
      <c r="L848">
        <v>4</v>
      </c>
      <c r="M848" t="str">
        <f>VLOOKUP(Sales_Data!F848,Product_Master!$A$2:$D$11,2)</f>
        <v>Mouse</v>
      </c>
      <c r="N848" t="str">
        <f>VLOOKUP(F848,Product_Master!$A$2:$C$11,3)</f>
        <v>Accessories</v>
      </c>
      <c r="O848">
        <f>VLOOKUP(F848,Product_Master!$A$2:$D$11,4,FALSE)</f>
        <v>350</v>
      </c>
      <c r="P848">
        <f t="shared" si="130"/>
        <v>3000</v>
      </c>
      <c r="Q848">
        <f t="shared" si="131"/>
        <v>0</v>
      </c>
      <c r="R848">
        <f t="shared" si="132"/>
        <v>3000</v>
      </c>
      <c r="S848">
        <f t="shared" si="133"/>
        <v>900</v>
      </c>
      <c r="T848" t="str">
        <f>_xlfn.CONCAT(Sales_Data!C848,"-",Sales_Data!E848,"-",Sales_Data!A848)</f>
        <v>South-C1041-1847</v>
      </c>
      <c r="U848" t="str">
        <f t="shared" si="134"/>
        <v>Regular</v>
      </c>
      <c r="V848" t="str" cm="1">
        <f t="array" ref="V848">_xlfn.IFS(R848&gt;=100000,"Excellent",R848&gt;=50000,"Good",R848&gt;=20000,"Average",TRUE,"Poor")</f>
        <v>Poor</v>
      </c>
      <c r="W848">
        <f t="shared" si="135"/>
        <v>1</v>
      </c>
      <c r="X848" t="str">
        <f t="shared" si="136"/>
        <v>February</v>
      </c>
      <c r="Y848">
        <f>HLOOKUP("Q"&amp;W848,Bonus_HLookup!$A$1:$E$2,2,FALSE)</f>
        <v>0.02</v>
      </c>
      <c r="Z848">
        <f t="shared" si="137"/>
        <v>24055.040000000001</v>
      </c>
      <c r="AA848" s="1">
        <f t="shared" si="138"/>
        <v>1835.1681982554248</v>
      </c>
      <c r="AB848">
        <f t="shared" si="139"/>
        <v>877</v>
      </c>
    </row>
    <row r="849" spans="1:28" x14ac:dyDescent="0.3">
      <c r="A849">
        <v>1848</v>
      </c>
      <c r="B849" t="s">
        <v>206</v>
      </c>
      <c r="C849" t="s">
        <v>13</v>
      </c>
      <c r="D849" t="s">
        <v>23</v>
      </c>
      <c r="E849" t="s">
        <v>15</v>
      </c>
      <c r="F849" t="s">
        <v>25</v>
      </c>
      <c r="G849">
        <v>6</v>
      </c>
      <c r="H849">
        <v>1500</v>
      </c>
      <c r="I849">
        <v>10</v>
      </c>
      <c r="J849">
        <v>223348</v>
      </c>
      <c r="K849">
        <v>11</v>
      </c>
      <c r="L849">
        <v>1</v>
      </c>
      <c r="M849" t="str">
        <f>VLOOKUP(Sales_Data!F849,Product_Master!$A$2:$D$11,2)</f>
        <v>Keyboard</v>
      </c>
      <c r="N849" t="str">
        <f>VLOOKUP(F849,Product_Master!$A$2:$C$11,3)</f>
        <v>Accessories</v>
      </c>
      <c r="O849">
        <f>VLOOKUP(F849,Product_Master!$A$2:$D$11,4,FALSE)</f>
        <v>1200</v>
      </c>
      <c r="P849">
        <f t="shared" si="130"/>
        <v>9000</v>
      </c>
      <c r="Q849">
        <f t="shared" si="131"/>
        <v>900</v>
      </c>
      <c r="R849">
        <f t="shared" si="132"/>
        <v>8100</v>
      </c>
      <c r="S849">
        <f t="shared" si="133"/>
        <v>900</v>
      </c>
      <c r="T849" t="str">
        <f>_xlfn.CONCAT(Sales_Data!C849,"-",Sales_Data!E849,"-",Sales_Data!A849)</f>
        <v>West-C1016-1848</v>
      </c>
      <c r="U849" t="str">
        <f t="shared" si="134"/>
        <v>Regular</v>
      </c>
      <c r="V849" t="str" cm="1">
        <f t="array" ref="V849">_xlfn.IFS(R849&gt;=100000,"Excellent",R849&gt;=50000,"Good",R849&gt;=20000,"Average",TRUE,"Poor")</f>
        <v>Poor</v>
      </c>
      <c r="W849">
        <f t="shared" si="135"/>
        <v>1</v>
      </c>
      <c r="X849" t="str">
        <f t="shared" si="136"/>
        <v>January</v>
      </c>
      <c r="Y849">
        <f>HLOOKUP("Q"&amp;W849,Bonus_HLookup!$A$1:$E$2,2,FALSE)</f>
        <v>0.02</v>
      </c>
      <c r="Z849">
        <f t="shared" si="137"/>
        <v>24568.28</v>
      </c>
      <c r="AA849" s="1">
        <f t="shared" si="138"/>
        <v>19739.866667483217</v>
      </c>
      <c r="AB849">
        <f t="shared" si="139"/>
        <v>682</v>
      </c>
    </row>
    <row r="850" spans="1:28" x14ac:dyDescent="0.3">
      <c r="A850">
        <v>1849</v>
      </c>
      <c r="B850" t="s">
        <v>92</v>
      </c>
      <c r="C850" t="s">
        <v>30</v>
      </c>
      <c r="D850" t="s">
        <v>33</v>
      </c>
      <c r="E850" t="s">
        <v>54</v>
      </c>
      <c r="F850" t="s">
        <v>52</v>
      </c>
      <c r="G850">
        <v>2</v>
      </c>
      <c r="H850">
        <v>500</v>
      </c>
      <c r="I850">
        <v>10</v>
      </c>
      <c r="J850">
        <v>356796</v>
      </c>
      <c r="K850">
        <v>10</v>
      </c>
      <c r="L850">
        <v>1</v>
      </c>
      <c r="M850" t="str">
        <f>VLOOKUP(Sales_Data!F850,Product_Master!$A$2:$D$11,2)</f>
        <v>Mouse</v>
      </c>
      <c r="N850" t="str">
        <f>VLOOKUP(F850,Product_Master!$A$2:$C$11,3)</f>
        <v>Accessories</v>
      </c>
      <c r="O850">
        <f>VLOOKUP(F850,Product_Master!$A$2:$D$11,4,FALSE)</f>
        <v>350</v>
      </c>
      <c r="P850">
        <f t="shared" si="130"/>
        <v>1000</v>
      </c>
      <c r="Q850">
        <f t="shared" si="131"/>
        <v>100</v>
      </c>
      <c r="R850">
        <f t="shared" si="132"/>
        <v>900</v>
      </c>
      <c r="S850">
        <f t="shared" si="133"/>
        <v>200</v>
      </c>
      <c r="T850" t="str">
        <f>_xlfn.CONCAT(Sales_Data!C850,"-",Sales_Data!E850,"-",Sales_Data!A850)</f>
        <v>South-C1034-1849</v>
      </c>
      <c r="U850" t="str">
        <f t="shared" si="134"/>
        <v>Regular</v>
      </c>
      <c r="V850" t="str" cm="1">
        <f t="array" ref="V850">_xlfn.IFS(R850&gt;=100000,"Excellent",R850&gt;=50000,"Good",R850&gt;=20000,"Average",TRUE,"Poor")</f>
        <v>Poor</v>
      </c>
      <c r="W850">
        <f t="shared" si="135"/>
        <v>2</v>
      </c>
      <c r="X850" t="str">
        <f t="shared" si="136"/>
        <v>May</v>
      </c>
      <c r="Y850">
        <f>HLOOKUP("Q"&amp;W850,Bonus_HLookup!$A$1:$E$2,2,FALSE)</f>
        <v>0.04</v>
      </c>
      <c r="Z850">
        <f t="shared" si="137"/>
        <v>35679.599999999999</v>
      </c>
      <c r="AA850" s="1">
        <f t="shared" si="138"/>
        <v>31368.036900118506</v>
      </c>
      <c r="AB850">
        <f t="shared" si="139"/>
        <v>979</v>
      </c>
    </row>
    <row r="851" spans="1:28" x14ac:dyDescent="0.3">
      <c r="A851">
        <v>1850</v>
      </c>
      <c r="B851" t="s">
        <v>211</v>
      </c>
      <c r="C851" t="s">
        <v>62</v>
      </c>
      <c r="D851" t="s">
        <v>46</v>
      </c>
      <c r="E851" t="s">
        <v>44</v>
      </c>
      <c r="F851" t="s">
        <v>28</v>
      </c>
      <c r="G851">
        <v>7</v>
      </c>
      <c r="H851">
        <v>950</v>
      </c>
      <c r="I851">
        <v>0</v>
      </c>
      <c r="J851">
        <v>111752</v>
      </c>
      <c r="K851">
        <v>10</v>
      </c>
      <c r="L851">
        <v>4</v>
      </c>
      <c r="M851" t="str">
        <f>VLOOKUP(Sales_Data!F851,Product_Master!$A$2:$D$11,2)</f>
        <v>Webcam</v>
      </c>
      <c r="N851" t="str">
        <f>VLOOKUP(F851,Product_Master!$A$2:$C$11,3)</f>
        <v>Accessories</v>
      </c>
      <c r="O851">
        <f>VLOOKUP(F851,Product_Master!$A$2:$D$11,4,FALSE)</f>
        <v>700</v>
      </c>
      <c r="P851">
        <f t="shared" si="130"/>
        <v>6650</v>
      </c>
      <c r="Q851">
        <f t="shared" si="131"/>
        <v>0</v>
      </c>
      <c r="R851">
        <f t="shared" si="132"/>
        <v>6650</v>
      </c>
      <c r="S851">
        <f t="shared" si="133"/>
        <v>1750</v>
      </c>
      <c r="T851" t="str">
        <f>_xlfn.CONCAT(Sales_Data!C851,"-",Sales_Data!E851,"-",Sales_Data!A851)</f>
        <v>East-C1028-1850</v>
      </c>
      <c r="U851" t="str">
        <f t="shared" si="134"/>
        <v>Regular</v>
      </c>
      <c r="V851" t="str" cm="1">
        <f t="array" ref="V851">_xlfn.IFS(R851&gt;=100000,"Excellent",R851&gt;=50000,"Good",R851&gt;=20000,"Average",TRUE,"Poor")</f>
        <v>Poor</v>
      </c>
      <c r="W851">
        <f t="shared" si="135"/>
        <v>3</v>
      </c>
      <c r="X851" t="str">
        <f t="shared" si="136"/>
        <v>September</v>
      </c>
      <c r="Y851">
        <f>HLOOKUP("Q"&amp;W851,Bonus_HLookup!$A$1:$E$2,2,FALSE)</f>
        <v>0.06</v>
      </c>
      <c r="Z851">
        <f t="shared" si="137"/>
        <v>44700.800000000003</v>
      </c>
      <c r="AA851" s="1">
        <f t="shared" si="138"/>
        <v>2834.3194239998679</v>
      </c>
      <c r="AB851">
        <f t="shared" si="139"/>
        <v>734</v>
      </c>
    </row>
    <row r="852" spans="1:28" x14ac:dyDescent="0.3">
      <c r="A852">
        <v>1851</v>
      </c>
      <c r="B852" t="s">
        <v>206</v>
      </c>
      <c r="C852" t="s">
        <v>30</v>
      </c>
      <c r="D852" t="s">
        <v>23</v>
      </c>
      <c r="E852" t="s">
        <v>41</v>
      </c>
      <c r="F852" t="s">
        <v>36</v>
      </c>
      <c r="G852">
        <v>9</v>
      </c>
      <c r="H852">
        <v>55000</v>
      </c>
      <c r="I852">
        <v>15</v>
      </c>
      <c r="J852">
        <v>396126</v>
      </c>
      <c r="K852">
        <v>9</v>
      </c>
      <c r="L852">
        <v>5</v>
      </c>
      <c r="M852" t="str">
        <f>VLOOKUP(Sales_Data!F852,Product_Master!$A$2:$D$11,2)</f>
        <v>Laptop</v>
      </c>
      <c r="N852" t="str">
        <f>VLOOKUP(F852,Product_Master!$A$2:$C$11,3)</f>
        <v>Electronics</v>
      </c>
      <c r="O852">
        <f>VLOOKUP(F852,Product_Master!$A$2:$D$11,4,FALSE)</f>
        <v>45000</v>
      </c>
      <c r="P852">
        <f t="shared" si="130"/>
        <v>495000</v>
      </c>
      <c r="Q852">
        <f t="shared" si="131"/>
        <v>74250</v>
      </c>
      <c r="R852">
        <f t="shared" si="132"/>
        <v>420750</v>
      </c>
      <c r="S852">
        <f t="shared" si="133"/>
        <v>15750</v>
      </c>
      <c r="T852" t="str">
        <f>_xlfn.CONCAT(Sales_Data!C852,"-",Sales_Data!E852,"-",Sales_Data!A852)</f>
        <v>South-C1023-1851</v>
      </c>
      <c r="U852" t="str">
        <f t="shared" si="134"/>
        <v>High Value</v>
      </c>
      <c r="V852" t="str" cm="1">
        <f t="array" ref="V852">_xlfn.IFS(R852&gt;=100000,"Excellent",R852&gt;=50000,"Good",R852&gt;=20000,"Average",TRUE,"Poor")</f>
        <v>Excellent</v>
      </c>
      <c r="W852">
        <f t="shared" si="135"/>
        <v>1</v>
      </c>
      <c r="X852" t="str">
        <f t="shared" si="136"/>
        <v>January</v>
      </c>
      <c r="Y852">
        <f>HLOOKUP("Q"&amp;W852,Bonus_HLookup!$A$1:$E$2,2,FALSE)</f>
        <v>0.02</v>
      </c>
      <c r="Z852">
        <f t="shared" si="137"/>
        <v>178256.7</v>
      </c>
      <c r="AA852" s="1">
        <f t="shared" si="138"/>
        <v>8222.9242223947076</v>
      </c>
      <c r="AB852">
        <f t="shared" si="139"/>
        <v>19</v>
      </c>
    </row>
    <row r="853" spans="1:28" x14ac:dyDescent="0.3">
      <c r="A853">
        <v>1852</v>
      </c>
      <c r="B853" t="s">
        <v>150</v>
      </c>
      <c r="C853" t="s">
        <v>30</v>
      </c>
      <c r="D853" t="s">
        <v>19</v>
      </c>
      <c r="E853" t="s">
        <v>160</v>
      </c>
      <c r="F853" t="s">
        <v>69</v>
      </c>
      <c r="G853">
        <v>4</v>
      </c>
      <c r="H853">
        <v>2000</v>
      </c>
      <c r="I853">
        <v>5</v>
      </c>
      <c r="J853">
        <v>491872</v>
      </c>
      <c r="K853">
        <v>8</v>
      </c>
      <c r="L853">
        <v>3</v>
      </c>
      <c r="M853" t="str">
        <f>VLOOKUP(Sales_Data!F853,Product_Master!$A$2:$D$11,2)</f>
        <v>Headset</v>
      </c>
      <c r="N853" t="str">
        <f>VLOOKUP(F853,Product_Master!$A$2:$C$11,3)</f>
        <v>Accessories</v>
      </c>
      <c r="O853">
        <f>VLOOKUP(F853,Product_Master!$A$2:$D$11,4,FALSE)</f>
        <v>1500</v>
      </c>
      <c r="P853">
        <f t="shared" si="130"/>
        <v>8000</v>
      </c>
      <c r="Q853">
        <f t="shared" si="131"/>
        <v>400</v>
      </c>
      <c r="R853">
        <f t="shared" si="132"/>
        <v>7600</v>
      </c>
      <c r="S853">
        <f t="shared" si="133"/>
        <v>1600</v>
      </c>
      <c r="T853" t="str">
        <f>_xlfn.CONCAT(Sales_Data!C853,"-",Sales_Data!E853,"-",Sales_Data!A853)</f>
        <v>South-C1040-1852</v>
      </c>
      <c r="U853" t="str">
        <f t="shared" si="134"/>
        <v>Regular</v>
      </c>
      <c r="V853" t="str" cm="1">
        <f t="array" ref="V853">_xlfn.IFS(R853&gt;=100000,"Excellent",R853&gt;=50000,"Good",R853&gt;=20000,"Average",TRUE,"Poor")</f>
        <v>Poor</v>
      </c>
      <c r="W853">
        <f t="shared" si="135"/>
        <v>3</v>
      </c>
      <c r="X853" t="str">
        <f t="shared" si="136"/>
        <v>July</v>
      </c>
      <c r="Y853">
        <f>HLOOKUP("Q"&amp;W853,Bonus_HLookup!$A$1:$E$2,2,FALSE)</f>
        <v>0.06</v>
      </c>
      <c r="Z853">
        <f t="shared" si="137"/>
        <v>118049.28</v>
      </c>
      <c r="AA853" s="1">
        <f t="shared" si="138"/>
        <v>15413.480752244915</v>
      </c>
      <c r="AB853">
        <f t="shared" si="139"/>
        <v>701</v>
      </c>
    </row>
    <row r="854" spans="1:28" x14ac:dyDescent="0.3">
      <c r="A854">
        <v>1853</v>
      </c>
      <c r="B854" t="s">
        <v>256</v>
      </c>
      <c r="C854" t="s">
        <v>30</v>
      </c>
      <c r="D854" t="s">
        <v>19</v>
      </c>
      <c r="E854" t="s">
        <v>85</v>
      </c>
      <c r="F854" t="s">
        <v>28</v>
      </c>
      <c r="G854">
        <v>5</v>
      </c>
      <c r="H854">
        <v>950</v>
      </c>
      <c r="I854">
        <v>8</v>
      </c>
      <c r="J854">
        <v>201436</v>
      </c>
      <c r="K854">
        <v>7</v>
      </c>
      <c r="L854">
        <v>4</v>
      </c>
      <c r="M854" t="str">
        <f>VLOOKUP(Sales_Data!F854,Product_Master!$A$2:$D$11,2)</f>
        <v>Webcam</v>
      </c>
      <c r="N854" t="str">
        <f>VLOOKUP(F854,Product_Master!$A$2:$C$11,3)</f>
        <v>Accessories</v>
      </c>
      <c r="O854">
        <f>VLOOKUP(F854,Product_Master!$A$2:$D$11,4,FALSE)</f>
        <v>700</v>
      </c>
      <c r="P854">
        <f t="shared" si="130"/>
        <v>4750</v>
      </c>
      <c r="Q854">
        <f t="shared" si="131"/>
        <v>380</v>
      </c>
      <c r="R854">
        <f t="shared" si="132"/>
        <v>4370</v>
      </c>
      <c r="S854">
        <f t="shared" si="133"/>
        <v>870</v>
      </c>
      <c r="T854" t="str">
        <f>_xlfn.CONCAT(Sales_Data!C854,"-",Sales_Data!E854,"-",Sales_Data!A854)</f>
        <v>South-C1005-1853</v>
      </c>
      <c r="U854" t="str">
        <f t="shared" si="134"/>
        <v>Regular</v>
      </c>
      <c r="V854" t="str" cm="1">
        <f t="array" ref="V854">_xlfn.IFS(R854&gt;=100000,"Excellent",R854&gt;=50000,"Good",R854&gt;=20000,"Average",TRUE,"Poor")</f>
        <v>Poor</v>
      </c>
      <c r="W854">
        <f t="shared" si="135"/>
        <v>2</v>
      </c>
      <c r="X854" t="str">
        <f t="shared" si="136"/>
        <v>June</v>
      </c>
      <c r="Y854">
        <f>HLOOKUP("Q"&amp;W854,Bonus_HLookup!$A$1:$E$2,2,FALSE)</f>
        <v>0.04</v>
      </c>
      <c r="Z854">
        <f t="shared" si="137"/>
        <v>56402.080000000002</v>
      </c>
      <c r="AA854" s="1">
        <f t="shared" si="138"/>
        <v>4823.6357398238497</v>
      </c>
      <c r="AB854">
        <f t="shared" si="139"/>
        <v>816</v>
      </c>
    </row>
    <row r="855" spans="1:28" x14ac:dyDescent="0.3">
      <c r="A855">
        <v>1854</v>
      </c>
      <c r="B855" t="s">
        <v>258</v>
      </c>
      <c r="C855" t="s">
        <v>18</v>
      </c>
      <c r="D855" t="s">
        <v>14</v>
      </c>
      <c r="E855" t="s">
        <v>189</v>
      </c>
      <c r="F855" t="s">
        <v>69</v>
      </c>
      <c r="G855">
        <v>5</v>
      </c>
      <c r="H855">
        <v>2000</v>
      </c>
      <c r="I855">
        <v>0</v>
      </c>
      <c r="J855">
        <v>188159</v>
      </c>
      <c r="K855">
        <v>9</v>
      </c>
      <c r="L855">
        <v>5</v>
      </c>
      <c r="M855" t="str">
        <f>VLOOKUP(Sales_Data!F855,Product_Master!$A$2:$D$11,2)</f>
        <v>Headset</v>
      </c>
      <c r="N855" t="str">
        <f>VLOOKUP(F855,Product_Master!$A$2:$C$11,3)</f>
        <v>Accessories</v>
      </c>
      <c r="O855">
        <f>VLOOKUP(F855,Product_Master!$A$2:$D$11,4,FALSE)</f>
        <v>1500</v>
      </c>
      <c r="P855">
        <f t="shared" si="130"/>
        <v>10000</v>
      </c>
      <c r="Q855">
        <f t="shared" si="131"/>
        <v>0</v>
      </c>
      <c r="R855">
        <f t="shared" si="132"/>
        <v>10000</v>
      </c>
      <c r="S855">
        <f t="shared" si="133"/>
        <v>2500</v>
      </c>
      <c r="T855" t="str">
        <f>_xlfn.CONCAT(Sales_Data!C855,"-",Sales_Data!E855,"-",Sales_Data!A855)</f>
        <v>North-C1015-1854</v>
      </c>
      <c r="U855" t="str">
        <f t="shared" si="134"/>
        <v>Regular</v>
      </c>
      <c r="V855" t="str" cm="1">
        <f t="array" ref="V855">_xlfn.IFS(R855&gt;=100000,"Excellent",R855&gt;=50000,"Good",R855&gt;=20000,"Average",TRUE,"Poor")</f>
        <v>Poor</v>
      </c>
      <c r="W855">
        <f t="shared" si="135"/>
        <v>2</v>
      </c>
      <c r="X855" t="str">
        <f t="shared" si="136"/>
        <v>June</v>
      </c>
      <c r="Y855">
        <f>HLOOKUP("Q"&amp;W855,Bonus_HLookup!$A$1:$E$2,2,FALSE)</f>
        <v>0.04</v>
      </c>
      <c r="Z855">
        <f t="shared" si="137"/>
        <v>84671.55</v>
      </c>
      <c r="AA855" s="1">
        <f t="shared" si="138"/>
        <v>3905.8713610355439</v>
      </c>
      <c r="AB855">
        <f t="shared" si="139"/>
        <v>636</v>
      </c>
    </row>
    <row r="856" spans="1:28" x14ac:dyDescent="0.3">
      <c r="A856">
        <v>1855</v>
      </c>
      <c r="B856" t="s">
        <v>388</v>
      </c>
      <c r="C856" t="s">
        <v>30</v>
      </c>
      <c r="D856" t="s">
        <v>91</v>
      </c>
      <c r="E856" t="s">
        <v>183</v>
      </c>
      <c r="F856" t="s">
        <v>42</v>
      </c>
      <c r="G856">
        <v>3</v>
      </c>
      <c r="H856">
        <v>8000</v>
      </c>
      <c r="I856">
        <v>12</v>
      </c>
      <c r="J856">
        <v>456459</v>
      </c>
      <c r="K856">
        <v>12</v>
      </c>
      <c r="L856">
        <v>2</v>
      </c>
      <c r="M856" t="str">
        <f>VLOOKUP(Sales_Data!F856,Product_Master!$A$2:$D$11,2)</f>
        <v>Printer</v>
      </c>
      <c r="N856" t="str">
        <f>VLOOKUP(F856,Product_Master!$A$2:$C$11,3)</f>
        <v>Electronics</v>
      </c>
      <c r="O856">
        <f>VLOOKUP(F856,Product_Master!$A$2:$D$11,4,FALSE)</f>
        <v>6500</v>
      </c>
      <c r="P856">
        <f t="shared" si="130"/>
        <v>24000</v>
      </c>
      <c r="Q856">
        <f t="shared" si="131"/>
        <v>2880</v>
      </c>
      <c r="R856">
        <f t="shared" si="132"/>
        <v>21120</v>
      </c>
      <c r="S856">
        <f t="shared" si="133"/>
        <v>1620</v>
      </c>
      <c r="T856" t="str">
        <f>_xlfn.CONCAT(Sales_Data!C856,"-",Sales_Data!E856,"-",Sales_Data!A856)</f>
        <v>South-C1008-1855</v>
      </c>
      <c r="U856" t="str">
        <f t="shared" si="134"/>
        <v>Regular</v>
      </c>
      <c r="V856" t="str" cm="1">
        <f t="array" ref="V856">_xlfn.IFS(R856&gt;=100000,"Excellent",R856&gt;=50000,"Good",R856&gt;=20000,"Average",TRUE,"Poor")</f>
        <v>Average</v>
      </c>
      <c r="W856">
        <f t="shared" si="135"/>
        <v>3</v>
      </c>
      <c r="X856" t="str">
        <f t="shared" si="136"/>
        <v>September</v>
      </c>
      <c r="Y856">
        <f>HLOOKUP("Q"&amp;W856,Bonus_HLookup!$A$1:$E$2,2,FALSE)</f>
        <v>0.06</v>
      </c>
      <c r="Z856">
        <f t="shared" si="137"/>
        <v>109550.16</v>
      </c>
      <c r="AA856" s="1">
        <f t="shared" si="138"/>
        <v>21487.110057559181</v>
      </c>
      <c r="AB856">
        <f t="shared" si="139"/>
        <v>429</v>
      </c>
    </row>
    <row r="857" spans="1:28" x14ac:dyDescent="0.3">
      <c r="A857">
        <v>1856</v>
      </c>
      <c r="B857" t="s">
        <v>92</v>
      </c>
      <c r="C857" t="s">
        <v>18</v>
      </c>
      <c r="D857" t="s">
        <v>50</v>
      </c>
      <c r="E857" t="s">
        <v>172</v>
      </c>
      <c r="F857" t="s">
        <v>52</v>
      </c>
      <c r="G857">
        <v>4</v>
      </c>
      <c r="H857">
        <v>500</v>
      </c>
      <c r="I857">
        <v>0</v>
      </c>
      <c r="J857">
        <v>72060</v>
      </c>
      <c r="K857">
        <v>12</v>
      </c>
      <c r="L857">
        <v>3</v>
      </c>
      <c r="M857" t="str">
        <f>VLOOKUP(Sales_Data!F857,Product_Master!$A$2:$D$11,2)</f>
        <v>Mouse</v>
      </c>
      <c r="N857" t="str">
        <f>VLOOKUP(F857,Product_Master!$A$2:$C$11,3)</f>
        <v>Accessories</v>
      </c>
      <c r="O857">
        <f>VLOOKUP(F857,Product_Master!$A$2:$D$11,4,FALSE)</f>
        <v>350</v>
      </c>
      <c r="P857">
        <f t="shared" si="130"/>
        <v>2000</v>
      </c>
      <c r="Q857">
        <f t="shared" si="131"/>
        <v>0</v>
      </c>
      <c r="R857">
        <f t="shared" si="132"/>
        <v>2000</v>
      </c>
      <c r="S857">
        <f t="shared" si="133"/>
        <v>600</v>
      </c>
      <c r="T857" t="str">
        <f>_xlfn.CONCAT(Sales_Data!C857,"-",Sales_Data!E857,"-",Sales_Data!A857)</f>
        <v>North-C1033-1856</v>
      </c>
      <c r="U857" t="str">
        <f t="shared" si="134"/>
        <v>Regular</v>
      </c>
      <c r="V857" t="str" cm="1">
        <f t="array" ref="V857">_xlfn.IFS(R857&gt;=100000,"Excellent",R857&gt;=50000,"Good",R857&gt;=20000,"Average",TRUE,"Poor")</f>
        <v>Poor</v>
      </c>
      <c r="W857">
        <f t="shared" si="135"/>
        <v>2</v>
      </c>
      <c r="X857" t="str">
        <f t="shared" si="136"/>
        <v>May</v>
      </c>
      <c r="Y857">
        <f>HLOOKUP("Q"&amp;W857,Bonus_HLookup!$A$1:$E$2,2,FALSE)</f>
        <v>0.04</v>
      </c>
      <c r="Z857">
        <f t="shared" si="137"/>
        <v>25941.599999999999</v>
      </c>
      <c r="AA857" s="1">
        <f t="shared" si="138"/>
        <v>2393.4231651140567</v>
      </c>
      <c r="AB857">
        <f t="shared" si="139"/>
        <v>926</v>
      </c>
    </row>
    <row r="858" spans="1:28" x14ac:dyDescent="0.3">
      <c r="A858">
        <v>1857</v>
      </c>
      <c r="B858" t="s">
        <v>194</v>
      </c>
      <c r="C858" t="s">
        <v>13</v>
      </c>
      <c r="D858" t="s">
        <v>50</v>
      </c>
      <c r="E858" t="s">
        <v>160</v>
      </c>
      <c r="F858" t="s">
        <v>25</v>
      </c>
      <c r="G858">
        <v>5</v>
      </c>
      <c r="H858">
        <v>1500</v>
      </c>
      <c r="I858">
        <v>15</v>
      </c>
      <c r="J858">
        <v>308311</v>
      </c>
      <c r="K858">
        <v>8</v>
      </c>
      <c r="L858">
        <v>3</v>
      </c>
      <c r="M858" t="str">
        <f>VLOOKUP(Sales_Data!F858,Product_Master!$A$2:$D$11,2)</f>
        <v>Keyboard</v>
      </c>
      <c r="N858" t="str">
        <f>VLOOKUP(F858,Product_Master!$A$2:$C$11,3)</f>
        <v>Accessories</v>
      </c>
      <c r="O858">
        <f>VLOOKUP(F858,Product_Master!$A$2:$D$11,4,FALSE)</f>
        <v>1200</v>
      </c>
      <c r="P858">
        <f t="shared" si="130"/>
        <v>7500</v>
      </c>
      <c r="Q858">
        <f t="shared" si="131"/>
        <v>1125</v>
      </c>
      <c r="R858">
        <f t="shared" si="132"/>
        <v>6375</v>
      </c>
      <c r="S858">
        <f t="shared" si="133"/>
        <v>375</v>
      </c>
      <c r="T858" t="str">
        <f>_xlfn.CONCAT(Sales_Data!C858,"-",Sales_Data!E858,"-",Sales_Data!A858)</f>
        <v>West-C1040-1857</v>
      </c>
      <c r="U858" t="str">
        <f t="shared" si="134"/>
        <v>Regular</v>
      </c>
      <c r="V858" t="str" cm="1">
        <f t="array" ref="V858">_xlfn.IFS(R858&gt;=100000,"Excellent",R858&gt;=50000,"Good",R858&gt;=20000,"Average",TRUE,"Poor")</f>
        <v>Poor</v>
      </c>
      <c r="W858">
        <f t="shared" si="135"/>
        <v>4</v>
      </c>
      <c r="X858" t="str">
        <f t="shared" si="136"/>
        <v>October</v>
      </c>
      <c r="Y858">
        <f>HLOOKUP("Q"&amp;W858,Bonus_HLookup!$A$1:$E$2,2,FALSE)</f>
        <v>0.08</v>
      </c>
      <c r="Z858">
        <f t="shared" si="137"/>
        <v>73994.64</v>
      </c>
      <c r="AA858" s="1">
        <f t="shared" si="138"/>
        <v>9661.346171779207</v>
      </c>
      <c r="AB858">
        <f t="shared" si="139"/>
        <v>748</v>
      </c>
    </row>
    <row r="859" spans="1:28" x14ac:dyDescent="0.3">
      <c r="A859">
        <v>1858</v>
      </c>
      <c r="B859" t="s">
        <v>349</v>
      </c>
      <c r="C859" t="s">
        <v>13</v>
      </c>
      <c r="D859" t="s">
        <v>59</v>
      </c>
      <c r="E859" t="s">
        <v>169</v>
      </c>
      <c r="F859" t="s">
        <v>21</v>
      </c>
      <c r="G859">
        <v>7</v>
      </c>
      <c r="H859">
        <v>12000</v>
      </c>
      <c r="I859">
        <v>0</v>
      </c>
      <c r="J859">
        <v>297629</v>
      </c>
      <c r="K859">
        <v>11</v>
      </c>
      <c r="L859">
        <v>1</v>
      </c>
      <c r="M859" t="str">
        <f>VLOOKUP(Sales_Data!F859,Product_Master!$A$2:$D$11,2)</f>
        <v>Monitor</v>
      </c>
      <c r="N859" t="str">
        <f>VLOOKUP(F859,Product_Master!$A$2:$C$11,3)</f>
        <v>Electronics</v>
      </c>
      <c r="O859">
        <f>VLOOKUP(F859,Product_Master!$A$2:$D$11,4,FALSE)</f>
        <v>9000</v>
      </c>
      <c r="P859">
        <f t="shared" si="130"/>
        <v>84000</v>
      </c>
      <c r="Q859">
        <f t="shared" si="131"/>
        <v>0</v>
      </c>
      <c r="R859">
        <f t="shared" si="132"/>
        <v>84000</v>
      </c>
      <c r="S859">
        <f t="shared" si="133"/>
        <v>21000</v>
      </c>
      <c r="T859" t="str">
        <f>_xlfn.CONCAT(Sales_Data!C859,"-",Sales_Data!E859,"-",Sales_Data!A859)</f>
        <v>West-C1038-1858</v>
      </c>
      <c r="U859" t="str">
        <f t="shared" si="134"/>
        <v>High Value</v>
      </c>
      <c r="V859" t="str" cm="1">
        <f t="array" ref="V859">_xlfn.IFS(R859&gt;=100000,"Excellent",R859&gt;=50000,"Good",R859&gt;=20000,"Average",TRUE,"Poor")</f>
        <v>Good</v>
      </c>
      <c r="W859">
        <f t="shared" si="135"/>
        <v>1</v>
      </c>
      <c r="X859" t="str">
        <f t="shared" si="136"/>
        <v>January</v>
      </c>
      <c r="Y859">
        <f>HLOOKUP("Q"&amp;W859,Bonus_HLookup!$A$1:$E$2,2,FALSE)</f>
        <v>0.02</v>
      </c>
      <c r="Z859">
        <f t="shared" si="137"/>
        <v>32739.19</v>
      </c>
      <c r="AA859" s="1">
        <f t="shared" si="138"/>
        <v>26304.944644126488</v>
      </c>
      <c r="AB859">
        <f t="shared" si="139"/>
        <v>191</v>
      </c>
    </row>
    <row r="860" spans="1:28" x14ac:dyDescent="0.3">
      <c r="A860">
        <v>1859</v>
      </c>
      <c r="B860" t="s">
        <v>328</v>
      </c>
      <c r="C860" t="s">
        <v>18</v>
      </c>
      <c r="D860" t="s">
        <v>50</v>
      </c>
      <c r="E860" t="s">
        <v>122</v>
      </c>
      <c r="F860" t="s">
        <v>42</v>
      </c>
      <c r="G860">
        <v>1</v>
      </c>
      <c r="H860">
        <v>8000</v>
      </c>
      <c r="I860">
        <v>0</v>
      </c>
      <c r="J860">
        <v>379954</v>
      </c>
      <c r="K860">
        <v>8</v>
      </c>
      <c r="L860">
        <v>1</v>
      </c>
      <c r="M860" t="str">
        <f>VLOOKUP(Sales_Data!F860,Product_Master!$A$2:$D$11,2)</f>
        <v>Printer</v>
      </c>
      <c r="N860" t="str">
        <f>VLOOKUP(F860,Product_Master!$A$2:$C$11,3)</f>
        <v>Electronics</v>
      </c>
      <c r="O860">
        <f>VLOOKUP(F860,Product_Master!$A$2:$D$11,4,FALSE)</f>
        <v>6500</v>
      </c>
      <c r="P860">
        <f t="shared" si="130"/>
        <v>8000</v>
      </c>
      <c r="Q860">
        <f t="shared" si="131"/>
        <v>0</v>
      </c>
      <c r="R860">
        <f t="shared" si="132"/>
        <v>8000</v>
      </c>
      <c r="S860">
        <f t="shared" si="133"/>
        <v>1500</v>
      </c>
      <c r="T860" t="str">
        <f>_xlfn.CONCAT(Sales_Data!C860,"-",Sales_Data!E860,"-",Sales_Data!A860)</f>
        <v>North-C1046-1859</v>
      </c>
      <c r="U860" t="str">
        <f t="shared" si="134"/>
        <v>Regular</v>
      </c>
      <c r="V860" t="str" cm="1">
        <f t="array" ref="V860">_xlfn.IFS(R860&gt;=100000,"Excellent",R860&gt;=50000,"Good",R860&gt;=20000,"Average",TRUE,"Poor")</f>
        <v>Poor</v>
      </c>
      <c r="W860">
        <f t="shared" si="135"/>
        <v>3</v>
      </c>
      <c r="X860" t="str">
        <f t="shared" si="136"/>
        <v>September</v>
      </c>
      <c r="Y860">
        <f>HLOOKUP("Q"&amp;W860,Bonus_HLookup!$A$1:$E$2,2,FALSE)</f>
        <v>0.06</v>
      </c>
      <c r="Z860">
        <f t="shared" si="137"/>
        <v>30396.32</v>
      </c>
      <c r="AA860" s="1">
        <f t="shared" si="138"/>
        <v>33051.60158472207</v>
      </c>
      <c r="AB860">
        <f t="shared" si="139"/>
        <v>687</v>
      </c>
    </row>
    <row r="861" spans="1:28" x14ac:dyDescent="0.3">
      <c r="A861">
        <v>1860</v>
      </c>
      <c r="B861" t="s">
        <v>319</v>
      </c>
      <c r="C861" t="s">
        <v>62</v>
      </c>
      <c r="D861" t="s">
        <v>23</v>
      </c>
      <c r="E861" t="s">
        <v>151</v>
      </c>
      <c r="F861" t="s">
        <v>39</v>
      </c>
      <c r="G861">
        <v>5</v>
      </c>
      <c r="H861">
        <v>7000</v>
      </c>
      <c r="I861">
        <v>0</v>
      </c>
      <c r="J861">
        <v>77400</v>
      </c>
      <c r="K861">
        <v>11</v>
      </c>
      <c r="L861">
        <v>4</v>
      </c>
      <c r="M861" t="str">
        <f>VLOOKUP(Sales_Data!F861,Product_Master!$A$2:$D$11,2)</f>
        <v>Router</v>
      </c>
      <c r="N861" t="str">
        <f>VLOOKUP(F861,Product_Master!$A$2:$C$11,3)</f>
        <v>Electronics</v>
      </c>
      <c r="O861">
        <f>VLOOKUP(F861,Product_Master!$A$2:$D$11,4,FALSE)</f>
        <v>5000</v>
      </c>
      <c r="P861">
        <f t="shared" si="130"/>
        <v>35000</v>
      </c>
      <c r="Q861">
        <f t="shared" si="131"/>
        <v>0</v>
      </c>
      <c r="R861">
        <f t="shared" si="132"/>
        <v>35000</v>
      </c>
      <c r="S861">
        <f t="shared" si="133"/>
        <v>10000</v>
      </c>
      <c r="T861" t="str">
        <f>_xlfn.CONCAT(Sales_Data!C861,"-",Sales_Data!E861,"-",Sales_Data!A861)</f>
        <v>East-C1001-1860</v>
      </c>
      <c r="U861" t="str">
        <f t="shared" si="134"/>
        <v>Regular</v>
      </c>
      <c r="V861" t="str" cm="1">
        <f t="array" ref="V861">_xlfn.IFS(R861&gt;=100000,"Excellent",R861&gt;=50000,"Good",R861&gt;=20000,"Average",TRUE,"Poor")</f>
        <v>Average</v>
      </c>
      <c r="W861">
        <f t="shared" si="135"/>
        <v>2</v>
      </c>
      <c r="X861" t="str">
        <f t="shared" si="136"/>
        <v>April</v>
      </c>
      <c r="Y861">
        <f>HLOOKUP("Q"&amp;W861,Bonus_HLookup!$A$1:$E$2,2,FALSE)</f>
        <v>0.04</v>
      </c>
      <c r="Z861">
        <f t="shared" si="137"/>
        <v>34056</v>
      </c>
      <c r="AA861" s="1">
        <f t="shared" si="138"/>
        <v>2000.4434501264477</v>
      </c>
      <c r="AB861">
        <f t="shared" si="139"/>
        <v>351</v>
      </c>
    </row>
    <row r="862" spans="1:28" x14ac:dyDescent="0.3">
      <c r="A862">
        <v>1861</v>
      </c>
      <c r="B862" t="s">
        <v>267</v>
      </c>
      <c r="C862" t="s">
        <v>30</v>
      </c>
      <c r="D862" t="s">
        <v>46</v>
      </c>
      <c r="E862" t="s">
        <v>140</v>
      </c>
      <c r="F862" t="s">
        <v>21</v>
      </c>
      <c r="G862">
        <v>3</v>
      </c>
      <c r="H862">
        <v>12000</v>
      </c>
      <c r="I862">
        <v>0</v>
      </c>
      <c r="J862">
        <v>478979</v>
      </c>
      <c r="K862">
        <v>12</v>
      </c>
      <c r="L862">
        <v>2</v>
      </c>
      <c r="M862" t="str">
        <f>VLOOKUP(Sales_Data!F862,Product_Master!$A$2:$D$11,2)</f>
        <v>Monitor</v>
      </c>
      <c r="N862" t="str">
        <f>VLOOKUP(F862,Product_Master!$A$2:$C$11,3)</f>
        <v>Electronics</v>
      </c>
      <c r="O862">
        <f>VLOOKUP(F862,Product_Master!$A$2:$D$11,4,FALSE)</f>
        <v>9000</v>
      </c>
      <c r="P862">
        <f t="shared" si="130"/>
        <v>36000</v>
      </c>
      <c r="Q862">
        <f t="shared" si="131"/>
        <v>0</v>
      </c>
      <c r="R862">
        <f t="shared" si="132"/>
        <v>36000</v>
      </c>
      <c r="S862">
        <f t="shared" si="133"/>
        <v>9000</v>
      </c>
      <c r="T862" t="str">
        <f>_xlfn.CONCAT(Sales_Data!C862,"-",Sales_Data!E862,"-",Sales_Data!A862)</f>
        <v>South-C1011-1861</v>
      </c>
      <c r="U862" t="str">
        <f t="shared" si="134"/>
        <v>Regular</v>
      </c>
      <c r="V862" t="str" cm="1">
        <f t="array" ref="V862">_xlfn.IFS(R862&gt;=100000,"Excellent",R862&gt;=50000,"Good",R862&gt;=20000,"Average",TRUE,"Poor")</f>
        <v>Average</v>
      </c>
      <c r="W862">
        <f t="shared" si="135"/>
        <v>2</v>
      </c>
      <c r="X862" t="str">
        <f t="shared" si="136"/>
        <v>June</v>
      </c>
      <c r="Y862">
        <f>HLOOKUP("Q"&amp;W862,Bonus_HLookup!$A$1:$E$2,2,FALSE)</f>
        <v>0.04</v>
      </c>
      <c r="Z862">
        <f t="shared" si="137"/>
        <v>114954.96</v>
      </c>
      <c r="AA862" s="1">
        <f t="shared" si="138"/>
        <v>22547.204652027103</v>
      </c>
      <c r="AB862">
        <f t="shared" si="139"/>
        <v>344</v>
      </c>
    </row>
    <row r="863" spans="1:28" x14ac:dyDescent="0.3">
      <c r="A863">
        <v>1862</v>
      </c>
      <c r="B863" t="s">
        <v>312</v>
      </c>
      <c r="C863" t="s">
        <v>62</v>
      </c>
      <c r="D863" t="s">
        <v>46</v>
      </c>
      <c r="E863" t="s">
        <v>172</v>
      </c>
      <c r="F863" t="s">
        <v>42</v>
      </c>
      <c r="G863">
        <v>4</v>
      </c>
      <c r="H863">
        <v>8000</v>
      </c>
      <c r="I863">
        <v>5</v>
      </c>
      <c r="J863">
        <v>421112</v>
      </c>
      <c r="K863">
        <v>12</v>
      </c>
      <c r="L863">
        <v>4</v>
      </c>
      <c r="M863" t="str">
        <f>VLOOKUP(Sales_Data!F863,Product_Master!$A$2:$D$11,2)</f>
        <v>Printer</v>
      </c>
      <c r="N863" t="str">
        <f>VLOOKUP(F863,Product_Master!$A$2:$C$11,3)</f>
        <v>Electronics</v>
      </c>
      <c r="O863">
        <f>VLOOKUP(F863,Product_Master!$A$2:$D$11,4,FALSE)</f>
        <v>6500</v>
      </c>
      <c r="P863">
        <f t="shared" si="130"/>
        <v>32000</v>
      </c>
      <c r="Q863">
        <f t="shared" si="131"/>
        <v>1600</v>
      </c>
      <c r="R863">
        <f t="shared" si="132"/>
        <v>30400</v>
      </c>
      <c r="S863">
        <f t="shared" si="133"/>
        <v>4400</v>
      </c>
      <c r="T863" t="str">
        <f>_xlfn.CONCAT(Sales_Data!C863,"-",Sales_Data!E863,"-",Sales_Data!A863)</f>
        <v>East-C1033-1862</v>
      </c>
      <c r="U863" t="str">
        <f t="shared" si="134"/>
        <v>Regular</v>
      </c>
      <c r="V863" t="str" cm="1">
        <f t="array" ref="V863">_xlfn.IFS(R863&gt;=100000,"Excellent",R863&gt;=50000,"Good",R863&gt;=20000,"Average",TRUE,"Poor")</f>
        <v>Average</v>
      </c>
      <c r="W863">
        <f t="shared" si="135"/>
        <v>1</v>
      </c>
      <c r="X863" t="str">
        <f t="shared" si="136"/>
        <v>January</v>
      </c>
      <c r="Y863">
        <f>HLOOKUP("Q"&amp;W863,Bonus_HLookup!$A$1:$E$2,2,FALSE)</f>
        <v>0.02</v>
      </c>
      <c r="Z863">
        <f t="shared" si="137"/>
        <v>202133.76000000001</v>
      </c>
      <c r="AA863" s="1">
        <f t="shared" si="138"/>
        <v>11089.494106409964</v>
      </c>
      <c r="AB863">
        <f t="shared" si="139"/>
        <v>375</v>
      </c>
    </row>
    <row r="864" spans="1:28" x14ac:dyDescent="0.3">
      <c r="A864">
        <v>1863</v>
      </c>
      <c r="B864" t="s">
        <v>200</v>
      </c>
      <c r="C864" t="s">
        <v>18</v>
      </c>
      <c r="D864" t="s">
        <v>50</v>
      </c>
      <c r="E864" t="s">
        <v>82</v>
      </c>
      <c r="F864" t="s">
        <v>42</v>
      </c>
      <c r="G864">
        <v>3</v>
      </c>
      <c r="H864">
        <v>8000</v>
      </c>
      <c r="I864">
        <v>10</v>
      </c>
      <c r="J864">
        <v>311867</v>
      </c>
      <c r="K864">
        <v>7</v>
      </c>
      <c r="L864">
        <v>5</v>
      </c>
      <c r="M864" t="str">
        <f>VLOOKUP(Sales_Data!F864,Product_Master!$A$2:$D$11,2)</f>
        <v>Printer</v>
      </c>
      <c r="N864" t="str">
        <f>VLOOKUP(F864,Product_Master!$A$2:$C$11,3)</f>
        <v>Electronics</v>
      </c>
      <c r="O864">
        <f>VLOOKUP(F864,Product_Master!$A$2:$D$11,4,FALSE)</f>
        <v>6500</v>
      </c>
      <c r="P864">
        <f t="shared" si="130"/>
        <v>24000</v>
      </c>
      <c r="Q864">
        <f t="shared" si="131"/>
        <v>2400</v>
      </c>
      <c r="R864">
        <f t="shared" si="132"/>
        <v>21600</v>
      </c>
      <c r="S864">
        <f t="shared" si="133"/>
        <v>2100</v>
      </c>
      <c r="T864" t="str">
        <f>_xlfn.CONCAT(Sales_Data!C864,"-",Sales_Data!E864,"-",Sales_Data!A864)</f>
        <v>North-C1045-1863</v>
      </c>
      <c r="U864" t="str">
        <f t="shared" si="134"/>
        <v>Regular</v>
      </c>
      <c r="V864" t="str" cm="1">
        <f t="array" ref="V864">_xlfn.IFS(R864&gt;=100000,"Excellent",R864&gt;=50000,"Good",R864&gt;=20000,"Average",TRUE,"Poor")</f>
        <v>Average</v>
      </c>
      <c r="W864">
        <f t="shared" si="135"/>
        <v>2</v>
      </c>
      <c r="X864" t="str">
        <f t="shared" si="136"/>
        <v>May</v>
      </c>
      <c r="Y864">
        <f>HLOOKUP("Q"&amp;W864,Bonus_HLookup!$A$1:$E$2,2,FALSE)</f>
        <v>0.04</v>
      </c>
      <c r="Z864">
        <f t="shared" si="137"/>
        <v>109153.45</v>
      </c>
      <c r="AA864" s="1">
        <f t="shared" si="138"/>
        <v>6175.3403851831881</v>
      </c>
      <c r="AB864">
        <f t="shared" si="139"/>
        <v>424</v>
      </c>
    </row>
    <row r="865" spans="1:28" x14ac:dyDescent="0.3">
      <c r="A865">
        <v>1864</v>
      </c>
      <c r="B865" t="s">
        <v>173</v>
      </c>
      <c r="C865" t="s">
        <v>30</v>
      </c>
      <c r="D865" t="s">
        <v>19</v>
      </c>
      <c r="E865" t="s">
        <v>66</v>
      </c>
      <c r="F865" t="s">
        <v>39</v>
      </c>
      <c r="G865">
        <v>4</v>
      </c>
      <c r="H865">
        <v>7000</v>
      </c>
      <c r="I865">
        <v>8</v>
      </c>
      <c r="J865">
        <v>376484</v>
      </c>
      <c r="K865">
        <v>8</v>
      </c>
      <c r="L865">
        <v>1</v>
      </c>
      <c r="M865" t="str">
        <f>VLOOKUP(Sales_Data!F865,Product_Master!$A$2:$D$11,2)</f>
        <v>Router</v>
      </c>
      <c r="N865" t="str">
        <f>VLOOKUP(F865,Product_Master!$A$2:$C$11,3)</f>
        <v>Electronics</v>
      </c>
      <c r="O865">
        <f>VLOOKUP(F865,Product_Master!$A$2:$D$11,4,FALSE)</f>
        <v>5000</v>
      </c>
      <c r="P865">
        <f t="shared" si="130"/>
        <v>28000</v>
      </c>
      <c r="Q865">
        <f t="shared" si="131"/>
        <v>2240</v>
      </c>
      <c r="R865">
        <f t="shared" si="132"/>
        <v>25760</v>
      </c>
      <c r="S865">
        <f t="shared" si="133"/>
        <v>5760</v>
      </c>
      <c r="T865" t="str">
        <f>_xlfn.CONCAT(Sales_Data!C865,"-",Sales_Data!E865,"-",Sales_Data!A865)</f>
        <v>South-C1010-1864</v>
      </c>
      <c r="U865" t="str">
        <f t="shared" si="134"/>
        <v>Regular</v>
      </c>
      <c r="V865" t="str" cm="1">
        <f t="array" ref="V865">_xlfn.IFS(R865&gt;=100000,"Excellent",R865&gt;=50000,"Good",R865&gt;=20000,"Average",TRUE,"Poor")</f>
        <v>Average</v>
      </c>
      <c r="W865">
        <f t="shared" si="135"/>
        <v>4</v>
      </c>
      <c r="X865" t="str">
        <f t="shared" si="136"/>
        <v>October</v>
      </c>
      <c r="Y865">
        <f>HLOOKUP("Q"&amp;W865,Bonus_HLookup!$A$1:$E$2,2,FALSE)</f>
        <v>0.08</v>
      </c>
      <c r="Z865">
        <f t="shared" si="137"/>
        <v>30118.720000000001</v>
      </c>
      <c r="AA865" s="1">
        <f t="shared" si="138"/>
        <v>32749.751735795664</v>
      </c>
      <c r="AB865">
        <f t="shared" si="139"/>
        <v>393</v>
      </c>
    </row>
    <row r="866" spans="1:28" x14ac:dyDescent="0.3">
      <c r="A866">
        <v>1865</v>
      </c>
      <c r="B866" t="s">
        <v>192</v>
      </c>
      <c r="C866" t="s">
        <v>62</v>
      </c>
      <c r="D866" t="s">
        <v>33</v>
      </c>
      <c r="E866" t="s">
        <v>151</v>
      </c>
      <c r="F866" t="s">
        <v>69</v>
      </c>
      <c r="G866">
        <v>8</v>
      </c>
      <c r="H866">
        <v>2000</v>
      </c>
      <c r="I866">
        <v>15</v>
      </c>
      <c r="J866">
        <v>317757</v>
      </c>
      <c r="K866">
        <v>11</v>
      </c>
      <c r="L866">
        <v>5</v>
      </c>
      <c r="M866" t="str">
        <f>VLOOKUP(Sales_Data!F866,Product_Master!$A$2:$D$11,2)</f>
        <v>Headset</v>
      </c>
      <c r="N866" t="str">
        <f>VLOOKUP(F866,Product_Master!$A$2:$C$11,3)</f>
        <v>Accessories</v>
      </c>
      <c r="O866">
        <f>VLOOKUP(F866,Product_Master!$A$2:$D$11,4,FALSE)</f>
        <v>1500</v>
      </c>
      <c r="P866">
        <f t="shared" si="130"/>
        <v>16000</v>
      </c>
      <c r="Q866">
        <f t="shared" si="131"/>
        <v>2400</v>
      </c>
      <c r="R866">
        <f t="shared" si="132"/>
        <v>13600</v>
      </c>
      <c r="S866">
        <f t="shared" si="133"/>
        <v>1600</v>
      </c>
      <c r="T866" t="str">
        <f>_xlfn.CONCAT(Sales_Data!C866,"-",Sales_Data!E866,"-",Sales_Data!A866)</f>
        <v>East-C1001-1865</v>
      </c>
      <c r="U866" t="str">
        <f t="shared" si="134"/>
        <v>Regular</v>
      </c>
      <c r="V866" t="str" cm="1">
        <f t="array" ref="V866">_xlfn.IFS(R866&gt;=100000,"Excellent",R866&gt;=50000,"Good",R866&gt;=20000,"Average",TRUE,"Poor")</f>
        <v>Poor</v>
      </c>
      <c r="W866">
        <f t="shared" si="135"/>
        <v>1</v>
      </c>
      <c r="X866" t="str">
        <f t="shared" si="136"/>
        <v>February</v>
      </c>
      <c r="Y866">
        <f>HLOOKUP("Q"&amp;W866,Bonus_HLookup!$A$1:$E$2,2,FALSE)</f>
        <v>0.02</v>
      </c>
      <c r="Z866">
        <f t="shared" si="137"/>
        <v>174766.35</v>
      </c>
      <c r="AA866" s="1">
        <f t="shared" si="138"/>
        <v>6908.807128293919</v>
      </c>
      <c r="AB866">
        <f t="shared" si="139"/>
        <v>552</v>
      </c>
    </row>
    <row r="867" spans="1:28" x14ac:dyDescent="0.3">
      <c r="A867">
        <v>1866</v>
      </c>
      <c r="B867" t="s">
        <v>412</v>
      </c>
      <c r="C867" t="s">
        <v>30</v>
      </c>
      <c r="D867" t="s">
        <v>14</v>
      </c>
      <c r="E867" t="s">
        <v>106</v>
      </c>
      <c r="F867" t="s">
        <v>28</v>
      </c>
      <c r="G867">
        <v>9</v>
      </c>
      <c r="H867">
        <v>950</v>
      </c>
      <c r="I867">
        <v>8</v>
      </c>
      <c r="J867">
        <v>203029</v>
      </c>
      <c r="K867">
        <v>9</v>
      </c>
      <c r="L867">
        <v>5</v>
      </c>
      <c r="M867" t="str">
        <f>VLOOKUP(Sales_Data!F867,Product_Master!$A$2:$D$11,2)</f>
        <v>Webcam</v>
      </c>
      <c r="N867" t="str">
        <f>VLOOKUP(F867,Product_Master!$A$2:$C$11,3)</f>
        <v>Accessories</v>
      </c>
      <c r="O867">
        <f>VLOOKUP(F867,Product_Master!$A$2:$D$11,4,FALSE)</f>
        <v>700</v>
      </c>
      <c r="P867">
        <f t="shared" si="130"/>
        <v>8550</v>
      </c>
      <c r="Q867">
        <f t="shared" si="131"/>
        <v>684</v>
      </c>
      <c r="R867">
        <f t="shared" si="132"/>
        <v>7866</v>
      </c>
      <c r="S867">
        <f t="shared" si="133"/>
        <v>1566</v>
      </c>
      <c r="T867" t="str">
        <f>_xlfn.CONCAT(Sales_Data!C867,"-",Sales_Data!E867,"-",Sales_Data!A867)</f>
        <v>South-C1004-1866</v>
      </c>
      <c r="U867" t="str">
        <f t="shared" si="134"/>
        <v>Regular</v>
      </c>
      <c r="V867" t="str" cm="1">
        <f t="array" ref="V867">_xlfn.IFS(R867&gt;=100000,"Excellent",R867&gt;=50000,"Good",R867&gt;=20000,"Average",TRUE,"Poor")</f>
        <v>Poor</v>
      </c>
      <c r="W867">
        <f t="shared" si="135"/>
        <v>4</v>
      </c>
      <c r="X867" t="str">
        <f t="shared" si="136"/>
        <v>October</v>
      </c>
      <c r="Y867">
        <f>HLOOKUP("Q"&amp;W867,Bonus_HLookup!$A$1:$E$2,2,FALSE)</f>
        <v>0.08</v>
      </c>
      <c r="Z867">
        <f t="shared" si="137"/>
        <v>91363.05</v>
      </c>
      <c r="AA867" s="1">
        <f t="shared" si="138"/>
        <v>4214.5481032514281</v>
      </c>
      <c r="AB867">
        <f t="shared" si="139"/>
        <v>690</v>
      </c>
    </row>
    <row r="868" spans="1:28" x14ac:dyDescent="0.3">
      <c r="A868">
        <v>1867</v>
      </c>
      <c r="B868" t="s">
        <v>293</v>
      </c>
      <c r="C868" t="s">
        <v>62</v>
      </c>
      <c r="D868" t="s">
        <v>50</v>
      </c>
      <c r="E868" t="s">
        <v>165</v>
      </c>
      <c r="F868" t="s">
        <v>52</v>
      </c>
      <c r="G868">
        <v>7</v>
      </c>
      <c r="H868">
        <v>500</v>
      </c>
      <c r="I868">
        <v>5</v>
      </c>
      <c r="J868">
        <v>369682</v>
      </c>
      <c r="K868">
        <v>7</v>
      </c>
      <c r="L868">
        <v>4</v>
      </c>
      <c r="M868" t="str">
        <f>VLOOKUP(Sales_Data!F868,Product_Master!$A$2:$D$11,2)</f>
        <v>Mouse</v>
      </c>
      <c r="N868" t="str">
        <f>VLOOKUP(F868,Product_Master!$A$2:$C$11,3)</f>
        <v>Accessories</v>
      </c>
      <c r="O868">
        <f>VLOOKUP(F868,Product_Master!$A$2:$D$11,4,FALSE)</f>
        <v>350</v>
      </c>
      <c r="P868">
        <f t="shared" si="130"/>
        <v>3500</v>
      </c>
      <c r="Q868">
        <f t="shared" si="131"/>
        <v>175</v>
      </c>
      <c r="R868">
        <f t="shared" si="132"/>
        <v>3325</v>
      </c>
      <c r="S868">
        <f t="shared" si="133"/>
        <v>875</v>
      </c>
      <c r="T868" t="str">
        <f>_xlfn.CONCAT(Sales_Data!C868,"-",Sales_Data!E868,"-",Sales_Data!A868)</f>
        <v>East-C1042-1867</v>
      </c>
      <c r="U868" t="str">
        <f t="shared" si="134"/>
        <v>Regular</v>
      </c>
      <c r="V868" t="str" cm="1">
        <f t="array" ref="V868">_xlfn.IFS(R868&gt;=100000,"Excellent",R868&gt;=50000,"Good",R868&gt;=20000,"Average",TRUE,"Poor")</f>
        <v>Poor</v>
      </c>
      <c r="W868">
        <f t="shared" si="135"/>
        <v>4</v>
      </c>
      <c r="X868" t="str">
        <f t="shared" si="136"/>
        <v>December</v>
      </c>
      <c r="Y868">
        <f>HLOOKUP("Q"&amp;W868,Bonus_HLookup!$A$1:$E$2,2,FALSE)</f>
        <v>0.08</v>
      </c>
      <c r="Z868">
        <f t="shared" si="137"/>
        <v>103510.96</v>
      </c>
      <c r="AA868" s="1">
        <f t="shared" si="138"/>
        <v>8852.4956193012185</v>
      </c>
      <c r="AB868">
        <f t="shared" si="139"/>
        <v>869</v>
      </c>
    </row>
    <row r="869" spans="1:28" x14ac:dyDescent="0.3">
      <c r="A869">
        <v>1868</v>
      </c>
      <c r="B869" t="s">
        <v>414</v>
      </c>
      <c r="C869" t="s">
        <v>62</v>
      </c>
      <c r="D869" t="s">
        <v>33</v>
      </c>
      <c r="E869" t="s">
        <v>146</v>
      </c>
      <c r="F869" t="s">
        <v>52</v>
      </c>
      <c r="G869">
        <v>5</v>
      </c>
      <c r="H869">
        <v>500</v>
      </c>
      <c r="I869">
        <v>8</v>
      </c>
      <c r="J869">
        <v>129921</v>
      </c>
      <c r="K869">
        <v>8</v>
      </c>
      <c r="L869">
        <v>4</v>
      </c>
      <c r="M869" t="str">
        <f>VLOOKUP(Sales_Data!F869,Product_Master!$A$2:$D$11,2)</f>
        <v>Mouse</v>
      </c>
      <c r="N869" t="str">
        <f>VLOOKUP(F869,Product_Master!$A$2:$C$11,3)</f>
        <v>Accessories</v>
      </c>
      <c r="O869">
        <f>VLOOKUP(F869,Product_Master!$A$2:$D$11,4,FALSE)</f>
        <v>350</v>
      </c>
      <c r="P869">
        <f t="shared" si="130"/>
        <v>2500</v>
      </c>
      <c r="Q869">
        <f t="shared" si="131"/>
        <v>200</v>
      </c>
      <c r="R869">
        <f t="shared" si="132"/>
        <v>2300</v>
      </c>
      <c r="S869">
        <f t="shared" si="133"/>
        <v>550</v>
      </c>
      <c r="T869" t="str">
        <f>_xlfn.CONCAT(Sales_Data!C869,"-",Sales_Data!E869,"-",Sales_Data!A869)</f>
        <v>East-C1017-1868</v>
      </c>
      <c r="U869" t="str">
        <f t="shared" si="134"/>
        <v>Regular</v>
      </c>
      <c r="V869" t="str" cm="1">
        <f t="array" ref="V869">_xlfn.IFS(R869&gt;=100000,"Excellent",R869&gt;=50000,"Good",R869&gt;=20000,"Average",TRUE,"Poor")</f>
        <v>Poor</v>
      </c>
      <c r="W869">
        <f t="shared" si="135"/>
        <v>1</v>
      </c>
      <c r="X869" t="str">
        <f t="shared" si="136"/>
        <v>January</v>
      </c>
      <c r="Y869">
        <f>HLOOKUP("Q"&amp;W869,Bonus_HLookup!$A$1:$E$2,2,FALSE)</f>
        <v>0.02</v>
      </c>
      <c r="Z869">
        <f t="shared" si="137"/>
        <v>41574.720000000001</v>
      </c>
      <c r="AA869" s="1">
        <f t="shared" si="138"/>
        <v>3171.7512835303442</v>
      </c>
      <c r="AB869">
        <f t="shared" si="139"/>
        <v>917</v>
      </c>
    </row>
    <row r="870" spans="1:28" x14ac:dyDescent="0.3">
      <c r="A870">
        <v>1869</v>
      </c>
      <c r="B870" t="s">
        <v>119</v>
      </c>
      <c r="C870" t="s">
        <v>18</v>
      </c>
      <c r="D870" t="s">
        <v>59</v>
      </c>
      <c r="E870" t="s">
        <v>172</v>
      </c>
      <c r="F870" t="s">
        <v>28</v>
      </c>
      <c r="G870">
        <v>5</v>
      </c>
      <c r="H870">
        <v>950</v>
      </c>
      <c r="I870">
        <v>10</v>
      </c>
      <c r="J870">
        <v>238711</v>
      </c>
      <c r="K870">
        <v>11</v>
      </c>
      <c r="L870">
        <v>1</v>
      </c>
      <c r="M870" t="str">
        <f>VLOOKUP(Sales_Data!F870,Product_Master!$A$2:$D$11,2)</f>
        <v>Webcam</v>
      </c>
      <c r="N870" t="str">
        <f>VLOOKUP(F870,Product_Master!$A$2:$C$11,3)</f>
        <v>Accessories</v>
      </c>
      <c r="O870">
        <f>VLOOKUP(F870,Product_Master!$A$2:$D$11,4,FALSE)</f>
        <v>700</v>
      </c>
      <c r="P870">
        <f t="shared" si="130"/>
        <v>4750</v>
      </c>
      <c r="Q870">
        <f t="shared" si="131"/>
        <v>475</v>
      </c>
      <c r="R870">
        <f t="shared" si="132"/>
        <v>4275</v>
      </c>
      <c r="S870">
        <f t="shared" si="133"/>
        <v>775</v>
      </c>
      <c r="T870" t="str">
        <f>_xlfn.CONCAT(Sales_Data!C870,"-",Sales_Data!E870,"-",Sales_Data!A870)</f>
        <v>North-C1033-1869</v>
      </c>
      <c r="U870" t="str">
        <f t="shared" si="134"/>
        <v>Regular</v>
      </c>
      <c r="V870" t="str" cm="1">
        <f t="array" ref="V870">_xlfn.IFS(R870&gt;=100000,"Excellent",R870&gt;=50000,"Good",R870&gt;=20000,"Average",TRUE,"Poor")</f>
        <v>Poor</v>
      </c>
      <c r="W870">
        <f t="shared" si="135"/>
        <v>1</v>
      </c>
      <c r="X870" t="str">
        <f t="shared" si="136"/>
        <v>January</v>
      </c>
      <c r="Y870">
        <f>HLOOKUP("Q"&amp;W870,Bonus_HLookup!$A$1:$E$2,2,FALSE)</f>
        <v>0.02</v>
      </c>
      <c r="Z870">
        <f t="shared" si="137"/>
        <v>26258.21</v>
      </c>
      <c r="AA870" s="1">
        <f t="shared" si="138"/>
        <v>21097.674087350621</v>
      </c>
      <c r="AB870">
        <f t="shared" si="139"/>
        <v>819</v>
      </c>
    </row>
    <row r="871" spans="1:28" x14ac:dyDescent="0.3">
      <c r="A871">
        <v>1870</v>
      </c>
      <c r="B871" t="s">
        <v>330</v>
      </c>
      <c r="C871" t="s">
        <v>30</v>
      </c>
      <c r="D871" t="s">
        <v>23</v>
      </c>
      <c r="E871" t="s">
        <v>60</v>
      </c>
      <c r="F871" t="s">
        <v>28</v>
      </c>
      <c r="G871">
        <v>6</v>
      </c>
      <c r="H871">
        <v>950</v>
      </c>
      <c r="I871">
        <v>5</v>
      </c>
      <c r="J871">
        <v>74192</v>
      </c>
      <c r="K871">
        <v>9</v>
      </c>
      <c r="L871">
        <v>3</v>
      </c>
      <c r="M871" t="str">
        <f>VLOOKUP(Sales_Data!F871,Product_Master!$A$2:$D$11,2)</f>
        <v>Webcam</v>
      </c>
      <c r="N871" t="str">
        <f>VLOOKUP(F871,Product_Master!$A$2:$C$11,3)</f>
        <v>Accessories</v>
      </c>
      <c r="O871">
        <f>VLOOKUP(F871,Product_Master!$A$2:$D$11,4,FALSE)</f>
        <v>700</v>
      </c>
      <c r="P871">
        <f t="shared" si="130"/>
        <v>5700</v>
      </c>
      <c r="Q871">
        <f t="shared" si="131"/>
        <v>285</v>
      </c>
      <c r="R871">
        <f t="shared" si="132"/>
        <v>5415</v>
      </c>
      <c r="S871">
        <f t="shared" si="133"/>
        <v>1215</v>
      </c>
      <c r="T871" t="str">
        <f>_xlfn.CONCAT(Sales_Data!C871,"-",Sales_Data!E871,"-",Sales_Data!A871)</f>
        <v>South-C1018-1870</v>
      </c>
      <c r="U871" t="str">
        <f t="shared" si="134"/>
        <v>Regular</v>
      </c>
      <c r="V871" t="str" cm="1">
        <f t="array" ref="V871">_xlfn.IFS(R871&gt;=100000,"Excellent",R871&gt;=50000,"Good",R871&gt;=20000,"Average",TRUE,"Poor")</f>
        <v>Poor</v>
      </c>
      <c r="W871">
        <f t="shared" si="135"/>
        <v>3</v>
      </c>
      <c r="X871" t="str">
        <f t="shared" si="136"/>
        <v>August</v>
      </c>
      <c r="Y871">
        <f>HLOOKUP("Q"&amp;W871,Bonus_HLookup!$A$1:$E$2,2,FALSE)</f>
        <v>0.06</v>
      </c>
      <c r="Z871">
        <f t="shared" si="137"/>
        <v>20031.84</v>
      </c>
      <c r="AA871" s="1">
        <f t="shared" si="138"/>
        <v>2359.2857655063194</v>
      </c>
      <c r="AB871">
        <f t="shared" si="139"/>
        <v>774</v>
      </c>
    </row>
    <row r="872" spans="1:28" x14ac:dyDescent="0.3">
      <c r="A872">
        <v>1871</v>
      </c>
      <c r="B872" t="s">
        <v>395</v>
      </c>
      <c r="C872" t="s">
        <v>18</v>
      </c>
      <c r="D872" t="s">
        <v>14</v>
      </c>
      <c r="E872" t="s">
        <v>68</v>
      </c>
      <c r="F872" t="s">
        <v>25</v>
      </c>
      <c r="G872">
        <v>2</v>
      </c>
      <c r="H872">
        <v>1500</v>
      </c>
      <c r="I872">
        <v>12</v>
      </c>
      <c r="J872">
        <v>302042</v>
      </c>
      <c r="K872">
        <v>11</v>
      </c>
      <c r="L872">
        <v>5</v>
      </c>
      <c r="M872" t="str">
        <f>VLOOKUP(Sales_Data!F872,Product_Master!$A$2:$D$11,2)</f>
        <v>Keyboard</v>
      </c>
      <c r="N872" t="str">
        <f>VLOOKUP(F872,Product_Master!$A$2:$C$11,3)</f>
        <v>Accessories</v>
      </c>
      <c r="O872">
        <f>VLOOKUP(F872,Product_Master!$A$2:$D$11,4,FALSE)</f>
        <v>1200</v>
      </c>
      <c r="P872">
        <f t="shared" si="130"/>
        <v>3000</v>
      </c>
      <c r="Q872">
        <f t="shared" si="131"/>
        <v>360</v>
      </c>
      <c r="R872">
        <f t="shared" si="132"/>
        <v>2640</v>
      </c>
      <c r="S872">
        <f t="shared" si="133"/>
        <v>240</v>
      </c>
      <c r="T872" t="str">
        <f>_xlfn.CONCAT(Sales_Data!C872,"-",Sales_Data!E872,"-",Sales_Data!A872)</f>
        <v>North-C1043-1871</v>
      </c>
      <c r="U872" t="str">
        <f t="shared" si="134"/>
        <v>Regular</v>
      </c>
      <c r="V872" t="str" cm="1">
        <f t="array" ref="V872">_xlfn.IFS(R872&gt;=100000,"Excellent",R872&gt;=50000,"Good",R872&gt;=20000,"Average",TRUE,"Poor")</f>
        <v>Poor</v>
      </c>
      <c r="W872">
        <f t="shared" si="135"/>
        <v>3</v>
      </c>
      <c r="X872" t="str">
        <f t="shared" si="136"/>
        <v>August</v>
      </c>
      <c r="Y872">
        <f>HLOOKUP("Q"&amp;W872,Bonus_HLookup!$A$1:$E$2,2,FALSE)</f>
        <v>0.06</v>
      </c>
      <c r="Z872">
        <f t="shared" si="137"/>
        <v>166123.1</v>
      </c>
      <c r="AA872" s="1">
        <f t="shared" si="138"/>
        <v>6567.1249497073295</v>
      </c>
      <c r="AB872">
        <f t="shared" si="139"/>
        <v>899</v>
      </c>
    </row>
    <row r="873" spans="1:28" x14ac:dyDescent="0.3">
      <c r="A873">
        <v>1872</v>
      </c>
      <c r="B873" t="s">
        <v>407</v>
      </c>
      <c r="C873" t="s">
        <v>62</v>
      </c>
      <c r="D873" t="s">
        <v>50</v>
      </c>
      <c r="E873" t="s">
        <v>71</v>
      </c>
      <c r="F873" t="s">
        <v>39</v>
      </c>
      <c r="G873">
        <v>9</v>
      </c>
      <c r="H873">
        <v>7000</v>
      </c>
      <c r="I873">
        <v>15</v>
      </c>
      <c r="J873">
        <v>253129</v>
      </c>
      <c r="K873">
        <v>10</v>
      </c>
      <c r="L873">
        <v>1</v>
      </c>
      <c r="M873" t="str">
        <f>VLOOKUP(Sales_Data!F873,Product_Master!$A$2:$D$11,2)</f>
        <v>Router</v>
      </c>
      <c r="N873" t="str">
        <f>VLOOKUP(F873,Product_Master!$A$2:$C$11,3)</f>
        <v>Electronics</v>
      </c>
      <c r="O873">
        <f>VLOOKUP(F873,Product_Master!$A$2:$D$11,4,FALSE)</f>
        <v>5000</v>
      </c>
      <c r="P873">
        <f t="shared" si="130"/>
        <v>63000</v>
      </c>
      <c r="Q873">
        <f t="shared" si="131"/>
        <v>9450</v>
      </c>
      <c r="R873">
        <f t="shared" si="132"/>
        <v>53550</v>
      </c>
      <c r="S873">
        <f t="shared" si="133"/>
        <v>8550</v>
      </c>
      <c r="T873" t="str">
        <f>_xlfn.CONCAT(Sales_Data!C873,"-",Sales_Data!E873,"-",Sales_Data!A873)</f>
        <v>East-C1019-1872</v>
      </c>
      <c r="U873" t="str">
        <f t="shared" si="134"/>
        <v>High Value</v>
      </c>
      <c r="V873" t="str" cm="1">
        <f t="array" ref="V873">_xlfn.IFS(R873&gt;=100000,"Excellent",R873&gt;=50000,"Good",R873&gt;=20000,"Average",TRUE,"Poor")</f>
        <v>Good</v>
      </c>
      <c r="W873">
        <f t="shared" si="135"/>
        <v>3</v>
      </c>
      <c r="X873" t="str">
        <f t="shared" si="136"/>
        <v>July</v>
      </c>
      <c r="Y873">
        <f>HLOOKUP("Q"&amp;W873,Bonus_HLookup!$A$1:$E$2,2,FALSE)</f>
        <v>0.06</v>
      </c>
      <c r="Z873">
        <f t="shared" si="137"/>
        <v>25312.9</v>
      </c>
      <c r="AA873" s="1">
        <f t="shared" si="138"/>
        <v>22254.0606186451</v>
      </c>
      <c r="AB873">
        <f t="shared" si="139"/>
        <v>279</v>
      </c>
    </row>
    <row r="874" spans="1:28" x14ac:dyDescent="0.3">
      <c r="A874">
        <v>1873</v>
      </c>
      <c r="B874" t="s">
        <v>289</v>
      </c>
      <c r="C874" t="s">
        <v>13</v>
      </c>
      <c r="D874" t="s">
        <v>59</v>
      </c>
      <c r="E874" t="s">
        <v>94</v>
      </c>
      <c r="F874" t="s">
        <v>52</v>
      </c>
      <c r="G874">
        <v>8</v>
      </c>
      <c r="H874">
        <v>500</v>
      </c>
      <c r="I874">
        <v>12</v>
      </c>
      <c r="J874">
        <v>439754</v>
      </c>
      <c r="K874">
        <v>8</v>
      </c>
      <c r="L874">
        <v>5</v>
      </c>
      <c r="M874" t="str">
        <f>VLOOKUP(Sales_Data!F874,Product_Master!$A$2:$D$11,2)</f>
        <v>Mouse</v>
      </c>
      <c r="N874" t="str">
        <f>VLOOKUP(F874,Product_Master!$A$2:$C$11,3)</f>
        <v>Accessories</v>
      </c>
      <c r="O874">
        <f>VLOOKUP(F874,Product_Master!$A$2:$D$11,4,FALSE)</f>
        <v>350</v>
      </c>
      <c r="P874">
        <f t="shared" si="130"/>
        <v>4000</v>
      </c>
      <c r="Q874">
        <f t="shared" si="131"/>
        <v>480</v>
      </c>
      <c r="R874">
        <f t="shared" si="132"/>
        <v>3520</v>
      </c>
      <c r="S874">
        <f t="shared" si="133"/>
        <v>720</v>
      </c>
      <c r="T874" t="str">
        <f>_xlfn.CONCAT(Sales_Data!C874,"-",Sales_Data!E874,"-",Sales_Data!A874)</f>
        <v>West-C1027-1873</v>
      </c>
      <c r="U874" t="str">
        <f t="shared" si="134"/>
        <v>Regular</v>
      </c>
      <c r="V874" t="str" cm="1">
        <f t="array" ref="V874">_xlfn.IFS(R874&gt;=100000,"Excellent",R874&gt;=50000,"Good",R874&gt;=20000,"Average",TRUE,"Poor")</f>
        <v>Poor</v>
      </c>
      <c r="W874">
        <f t="shared" si="135"/>
        <v>4</v>
      </c>
      <c r="X874" t="str">
        <f t="shared" si="136"/>
        <v>October</v>
      </c>
      <c r="Y874">
        <f>HLOOKUP("Q"&amp;W874,Bonus_HLookup!$A$1:$E$2,2,FALSE)</f>
        <v>0.08</v>
      </c>
      <c r="Z874">
        <f t="shared" si="137"/>
        <v>175901.6</v>
      </c>
      <c r="AA874" s="1">
        <f t="shared" si="138"/>
        <v>8916.6254939070695</v>
      </c>
      <c r="AB874">
        <f t="shared" si="139"/>
        <v>862</v>
      </c>
    </row>
    <row r="875" spans="1:28" x14ac:dyDescent="0.3">
      <c r="A875">
        <v>1874</v>
      </c>
      <c r="B875" t="s">
        <v>245</v>
      </c>
      <c r="C875" t="s">
        <v>30</v>
      </c>
      <c r="D875" t="s">
        <v>46</v>
      </c>
      <c r="E875" t="s">
        <v>183</v>
      </c>
      <c r="F875" t="s">
        <v>28</v>
      </c>
      <c r="G875">
        <v>8</v>
      </c>
      <c r="H875">
        <v>950</v>
      </c>
      <c r="I875">
        <v>10</v>
      </c>
      <c r="J875">
        <v>433667</v>
      </c>
      <c r="K875">
        <v>11</v>
      </c>
      <c r="L875">
        <v>4</v>
      </c>
      <c r="M875" t="str">
        <f>VLOOKUP(Sales_Data!F875,Product_Master!$A$2:$D$11,2)</f>
        <v>Webcam</v>
      </c>
      <c r="N875" t="str">
        <f>VLOOKUP(F875,Product_Master!$A$2:$C$11,3)</f>
        <v>Accessories</v>
      </c>
      <c r="O875">
        <f>VLOOKUP(F875,Product_Master!$A$2:$D$11,4,FALSE)</f>
        <v>700</v>
      </c>
      <c r="P875">
        <f t="shared" si="130"/>
        <v>7600</v>
      </c>
      <c r="Q875">
        <f t="shared" si="131"/>
        <v>760</v>
      </c>
      <c r="R875">
        <f t="shared" si="132"/>
        <v>6840</v>
      </c>
      <c r="S875">
        <f t="shared" si="133"/>
        <v>1240</v>
      </c>
      <c r="T875" t="str">
        <f>_xlfn.CONCAT(Sales_Data!C875,"-",Sales_Data!E875,"-",Sales_Data!A875)</f>
        <v>South-C1008-1874</v>
      </c>
      <c r="U875" t="str">
        <f t="shared" si="134"/>
        <v>Regular</v>
      </c>
      <c r="V875" t="str" cm="1">
        <f t="array" ref="V875">_xlfn.IFS(R875&gt;=100000,"Excellent",R875&gt;=50000,"Good",R875&gt;=20000,"Average",TRUE,"Poor")</f>
        <v>Poor</v>
      </c>
      <c r="W875">
        <f t="shared" si="135"/>
        <v>1</v>
      </c>
      <c r="X875" t="str">
        <f t="shared" si="136"/>
        <v>February</v>
      </c>
      <c r="Y875">
        <f>HLOOKUP("Q"&amp;W875,Bonus_HLookup!$A$1:$E$2,2,FALSE)</f>
        <v>0.02</v>
      </c>
      <c r="Z875">
        <f t="shared" si="137"/>
        <v>190813.48</v>
      </c>
      <c r="AA875" s="1">
        <f t="shared" si="138"/>
        <v>11208.350254340907</v>
      </c>
      <c r="AB875">
        <f t="shared" si="139"/>
        <v>728</v>
      </c>
    </row>
    <row r="876" spans="1:28" x14ac:dyDescent="0.3">
      <c r="A876">
        <v>1875</v>
      </c>
      <c r="B876" t="s">
        <v>22</v>
      </c>
      <c r="C876" t="s">
        <v>13</v>
      </c>
      <c r="D876" t="s">
        <v>14</v>
      </c>
      <c r="E876" t="s">
        <v>24</v>
      </c>
      <c r="F876" t="s">
        <v>69</v>
      </c>
      <c r="G876">
        <v>5</v>
      </c>
      <c r="H876">
        <v>2000</v>
      </c>
      <c r="I876">
        <v>5</v>
      </c>
      <c r="J876">
        <v>481678</v>
      </c>
      <c r="K876">
        <v>9</v>
      </c>
      <c r="L876">
        <v>5</v>
      </c>
      <c r="M876" t="str">
        <f>VLOOKUP(Sales_Data!F876,Product_Master!$A$2:$D$11,2)</f>
        <v>Headset</v>
      </c>
      <c r="N876" t="str">
        <f>VLOOKUP(F876,Product_Master!$A$2:$C$11,3)</f>
        <v>Accessories</v>
      </c>
      <c r="O876">
        <f>VLOOKUP(F876,Product_Master!$A$2:$D$11,4,FALSE)</f>
        <v>1500</v>
      </c>
      <c r="P876">
        <f t="shared" si="130"/>
        <v>10000</v>
      </c>
      <c r="Q876">
        <f t="shared" si="131"/>
        <v>500</v>
      </c>
      <c r="R876">
        <f t="shared" si="132"/>
        <v>9500</v>
      </c>
      <c r="S876">
        <f t="shared" si="133"/>
        <v>2000</v>
      </c>
      <c r="T876" t="str">
        <f>_xlfn.CONCAT(Sales_Data!C876,"-",Sales_Data!E876,"-",Sales_Data!A876)</f>
        <v>West-C1029-1875</v>
      </c>
      <c r="U876" t="str">
        <f t="shared" si="134"/>
        <v>Regular</v>
      </c>
      <c r="V876" t="str" cm="1">
        <f t="array" ref="V876">_xlfn.IFS(R876&gt;=100000,"Excellent",R876&gt;=50000,"Good",R876&gt;=20000,"Average",TRUE,"Poor")</f>
        <v>Poor</v>
      </c>
      <c r="W876">
        <f t="shared" si="135"/>
        <v>1</v>
      </c>
      <c r="X876" t="str">
        <f t="shared" si="136"/>
        <v>January</v>
      </c>
      <c r="Y876">
        <f>HLOOKUP("Q"&amp;W876,Bonus_HLookup!$A$1:$E$2,2,FALSE)</f>
        <v>0.02</v>
      </c>
      <c r="Z876">
        <f t="shared" si="137"/>
        <v>216755.1</v>
      </c>
      <c r="AA876" s="1">
        <f t="shared" si="138"/>
        <v>9998.8430287197461</v>
      </c>
      <c r="AB876">
        <f t="shared" si="139"/>
        <v>651</v>
      </c>
    </row>
    <row r="877" spans="1:28" x14ac:dyDescent="0.3">
      <c r="A877">
        <v>1876</v>
      </c>
      <c r="B877" t="s">
        <v>238</v>
      </c>
      <c r="C877" t="s">
        <v>30</v>
      </c>
      <c r="D877" t="s">
        <v>46</v>
      </c>
      <c r="E877" t="s">
        <v>196</v>
      </c>
      <c r="F877" t="s">
        <v>25</v>
      </c>
      <c r="G877">
        <v>1</v>
      </c>
      <c r="H877">
        <v>1500</v>
      </c>
      <c r="I877">
        <v>2</v>
      </c>
      <c r="J877">
        <v>498718</v>
      </c>
      <c r="K877">
        <v>11</v>
      </c>
      <c r="L877">
        <v>1</v>
      </c>
      <c r="M877" t="str">
        <f>VLOOKUP(Sales_Data!F877,Product_Master!$A$2:$D$11,2)</f>
        <v>Keyboard</v>
      </c>
      <c r="N877" t="str">
        <f>VLOOKUP(F877,Product_Master!$A$2:$C$11,3)</f>
        <v>Accessories</v>
      </c>
      <c r="O877">
        <f>VLOOKUP(F877,Product_Master!$A$2:$D$11,4,FALSE)</f>
        <v>1200</v>
      </c>
      <c r="P877">
        <f t="shared" si="130"/>
        <v>1500</v>
      </c>
      <c r="Q877">
        <f t="shared" si="131"/>
        <v>30</v>
      </c>
      <c r="R877">
        <f t="shared" si="132"/>
        <v>1470</v>
      </c>
      <c r="S877">
        <f t="shared" si="133"/>
        <v>270</v>
      </c>
      <c r="T877" t="str">
        <f>_xlfn.CONCAT(Sales_Data!C877,"-",Sales_Data!E877,"-",Sales_Data!A877)</f>
        <v>South-C1032-1876</v>
      </c>
      <c r="U877" t="str">
        <f t="shared" si="134"/>
        <v>Regular</v>
      </c>
      <c r="V877" t="str" cm="1">
        <f t="array" ref="V877">_xlfn.IFS(R877&gt;=100000,"Excellent",R877&gt;=50000,"Good",R877&gt;=20000,"Average",TRUE,"Poor")</f>
        <v>Poor</v>
      </c>
      <c r="W877">
        <f t="shared" si="135"/>
        <v>1</v>
      </c>
      <c r="X877" t="str">
        <f t="shared" si="136"/>
        <v>February</v>
      </c>
      <c r="Y877">
        <f>HLOOKUP("Q"&amp;W877,Bonus_HLookup!$A$1:$E$2,2,FALSE)</f>
        <v>0.02</v>
      </c>
      <c r="Z877">
        <f t="shared" si="137"/>
        <v>54858.98</v>
      </c>
      <c r="AA877" s="1">
        <f t="shared" si="138"/>
        <v>44077.523974577321</v>
      </c>
      <c r="AB877">
        <f t="shared" si="139"/>
        <v>950</v>
      </c>
    </row>
    <row r="878" spans="1:28" x14ac:dyDescent="0.3">
      <c r="A878">
        <v>1877</v>
      </c>
      <c r="B878" t="s">
        <v>240</v>
      </c>
      <c r="C878" t="s">
        <v>62</v>
      </c>
      <c r="D878" t="s">
        <v>59</v>
      </c>
      <c r="E878" t="s">
        <v>60</v>
      </c>
      <c r="F878" t="s">
        <v>16</v>
      </c>
      <c r="G878">
        <v>9</v>
      </c>
      <c r="H878">
        <v>2500</v>
      </c>
      <c r="I878">
        <v>2</v>
      </c>
      <c r="J878">
        <v>101134</v>
      </c>
      <c r="K878">
        <v>12</v>
      </c>
      <c r="L878">
        <v>5</v>
      </c>
      <c r="M878" t="str">
        <f>VLOOKUP(Sales_Data!F878,Product_Master!$A$2:$D$11,2)</f>
        <v>Speaker</v>
      </c>
      <c r="N878" t="str">
        <f>VLOOKUP(F878,Product_Master!$A$2:$C$11,3)</f>
        <v>Accessories</v>
      </c>
      <c r="O878">
        <f>VLOOKUP(F878,Product_Master!$A$2:$D$11,4,FALSE)</f>
        <v>1800</v>
      </c>
      <c r="P878">
        <f t="shared" si="130"/>
        <v>22500</v>
      </c>
      <c r="Q878">
        <f t="shared" si="131"/>
        <v>450</v>
      </c>
      <c r="R878">
        <f t="shared" si="132"/>
        <v>22050</v>
      </c>
      <c r="S878">
        <f t="shared" si="133"/>
        <v>5850</v>
      </c>
      <c r="T878" t="str">
        <f>_xlfn.CONCAT(Sales_Data!C878,"-",Sales_Data!E878,"-",Sales_Data!A878)</f>
        <v>East-C1018-1877</v>
      </c>
      <c r="U878" t="str">
        <f t="shared" si="134"/>
        <v>Regular</v>
      </c>
      <c r="V878" t="str" cm="1">
        <f t="array" ref="V878">_xlfn.IFS(R878&gt;=100000,"Excellent",R878&gt;=50000,"Good",R878&gt;=20000,"Average",TRUE,"Poor")</f>
        <v>Average</v>
      </c>
      <c r="W878">
        <f t="shared" si="135"/>
        <v>3</v>
      </c>
      <c r="X878" t="str">
        <f t="shared" si="136"/>
        <v>July</v>
      </c>
      <c r="Y878">
        <f>HLOOKUP("Q"&amp;W878,Bonus_HLookup!$A$1:$E$2,2,FALSE)</f>
        <v>0.06</v>
      </c>
      <c r="Z878">
        <f t="shared" si="137"/>
        <v>60680.4</v>
      </c>
      <c r="AA878" s="1">
        <f t="shared" si="138"/>
        <v>2249.6699721648561</v>
      </c>
      <c r="AB878">
        <f t="shared" si="139"/>
        <v>423</v>
      </c>
    </row>
    <row r="879" spans="1:28" x14ac:dyDescent="0.3">
      <c r="A879">
        <v>1878</v>
      </c>
      <c r="B879" t="s">
        <v>262</v>
      </c>
      <c r="C879" t="s">
        <v>30</v>
      </c>
      <c r="D879" t="s">
        <v>46</v>
      </c>
      <c r="E879" t="s">
        <v>133</v>
      </c>
      <c r="F879" t="s">
        <v>28</v>
      </c>
      <c r="G879">
        <v>9</v>
      </c>
      <c r="H879">
        <v>950</v>
      </c>
      <c r="I879">
        <v>2</v>
      </c>
      <c r="J879">
        <v>259168</v>
      </c>
      <c r="K879">
        <v>12</v>
      </c>
      <c r="L879">
        <v>5</v>
      </c>
      <c r="M879" t="str">
        <f>VLOOKUP(Sales_Data!F879,Product_Master!$A$2:$D$11,2)</f>
        <v>Webcam</v>
      </c>
      <c r="N879" t="str">
        <f>VLOOKUP(F879,Product_Master!$A$2:$C$11,3)</f>
        <v>Accessories</v>
      </c>
      <c r="O879">
        <f>VLOOKUP(F879,Product_Master!$A$2:$D$11,4,FALSE)</f>
        <v>700</v>
      </c>
      <c r="P879">
        <f t="shared" si="130"/>
        <v>8550</v>
      </c>
      <c r="Q879">
        <f t="shared" si="131"/>
        <v>171</v>
      </c>
      <c r="R879">
        <f t="shared" si="132"/>
        <v>8379</v>
      </c>
      <c r="S879">
        <f t="shared" si="133"/>
        <v>2079</v>
      </c>
      <c r="T879" t="str">
        <f>_xlfn.CONCAT(Sales_Data!C879,"-",Sales_Data!E879,"-",Sales_Data!A879)</f>
        <v>South-C1021-1878</v>
      </c>
      <c r="U879" t="str">
        <f t="shared" si="134"/>
        <v>Regular</v>
      </c>
      <c r="V879" t="str" cm="1">
        <f t="array" ref="V879">_xlfn.IFS(R879&gt;=100000,"Excellent",R879&gt;=50000,"Good",R879&gt;=20000,"Average",TRUE,"Poor")</f>
        <v>Poor</v>
      </c>
      <c r="W879">
        <f t="shared" si="135"/>
        <v>4</v>
      </c>
      <c r="X879" t="str">
        <f t="shared" si="136"/>
        <v>October</v>
      </c>
      <c r="Y879">
        <f>HLOOKUP("Q"&amp;W879,Bonus_HLookup!$A$1:$E$2,2,FALSE)</f>
        <v>0.08</v>
      </c>
      <c r="Z879">
        <f t="shared" si="137"/>
        <v>155500.79999999999</v>
      </c>
      <c r="AA879" s="1">
        <f t="shared" si="138"/>
        <v>5765.0490176006224</v>
      </c>
      <c r="AB879">
        <f t="shared" si="139"/>
        <v>681</v>
      </c>
    </row>
    <row r="880" spans="1:28" x14ac:dyDescent="0.3">
      <c r="A880">
        <v>1879</v>
      </c>
      <c r="B880" t="s">
        <v>321</v>
      </c>
      <c r="C880" t="s">
        <v>62</v>
      </c>
      <c r="D880" t="s">
        <v>14</v>
      </c>
      <c r="E880" t="s">
        <v>165</v>
      </c>
      <c r="F880" t="s">
        <v>74</v>
      </c>
      <c r="G880">
        <v>6</v>
      </c>
      <c r="H880">
        <v>35000</v>
      </c>
      <c r="I880">
        <v>0</v>
      </c>
      <c r="J880">
        <v>258887</v>
      </c>
      <c r="K880">
        <v>11</v>
      </c>
      <c r="L880">
        <v>1</v>
      </c>
      <c r="M880" t="str">
        <f>VLOOKUP(Sales_Data!F880,Product_Master!$A$2:$D$11,2)</f>
        <v>Tablet</v>
      </c>
      <c r="N880" t="str">
        <f>VLOOKUP(F880,Product_Master!$A$2:$C$11,3)</f>
        <v>Electronics</v>
      </c>
      <c r="O880">
        <f>VLOOKUP(F880,Product_Master!$A$2:$D$11,4,FALSE)</f>
        <v>29000</v>
      </c>
      <c r="P880">
        <f t="shared" si="130"/>
        <v>210000</v>
      </c>
      <c r="Q880">
        <f t="shared" si="131"/>
        <v>0</v>
      </c>
      <c r="R880">
        <f t="shared" si="132"/>
        <v>210000</v>
      </c>
      <c r="S880">
        <f t="shared" si="133"/>
        <v>36000</v>
      </c>
      <c r="T880" t="str">
        <f>_xlfn.CONCAT(Sales_Data!C880,"-",Sales_Data!E880,"-",Sales_Data!A880)</f>
        <v>East-C1042-1879</v>
      </c>
      <c r="U880" t="str">
        <f t="shared" si="134"/>
        <v>High Value</v>
      </c>
      <c r="V880" t="str" cm="1">
        <f t="array" ref="V880">_xlfn.IFS(R880&gt;=100000,"Excellent",R880&gt;=50000,"Good",R880&gt;=20000,"Average",TRUE,"Poor")</f>
        <v>Excellent</v>
      </c>
      <c r="W880">
        <f t="shared" si="135"/>
        <v>2</v>
      </c>
      <c r="X880" t="str">
        <f t="shared" si="136"/>
        <v>May</v>
      </c>
      <c r="Y880">
        <f>HLOOKUP("Q"&amp;W880,Bonus_HLookup!$A$1:$E$2,2,FALSE)</f>
        <v>0.04</v>
      </c>
      <c r="Z880">
        <f t="shared" si="137"/>
        <v>28477.57</v>
      </c>
      <c r="AA880" s="1">
        <f t="shared" si="138"/>
        <v>22880.862429682504</v>
      </c>
      <c r="AB880">
        <f t="shared" si="139"/>
        <v>100</v>
      </c>
    </row>
    <row r="881" spans="1:28" x14ac:dyDescent="0.3">
      <c r="A881">
        <v>1880</v>
      </c>
      <c r="B881" t="s">
        <v>245</v>
      </c>
      <c r="C881" t="s">
        <v>30</v>
      </c>
      <c r="D881" t="s">
        <v>23</v>
      </c>
      <c r="E881" t="s">
        <v>165</v>
      </c>
      <c r="F881" t="s">
        <v>21</v>
      </c>
      <c r="G881">
        <v>1</v>
      </c>
      <c r="H881">
        <v>12000</v>
      </c>
      <c r="I881">
        <v>10</v>
      </c>
      <c r="J881">
        <v>198535</v>
      </c>
      <c r="K881">
        <v>10</v>
      </c>
      <c r="L881">
        <v>2</v>
      </c>
      <c r="M881" t="str">
        <f>VLOOKUP(Sales_Data!F881,Product_Master!$A$2:$D$11,2)</f>
        <v>Monitor</v>
      </c>
      <c r="N881" t="str">
        <f>VLOOKUP(F881,Product_Master!$A$2:$C$11,3)</f>
        <v>Electronics</v>
      </c>
      <c r="O881">
        <f>VLOOKUP(F881,Product_Master!$A$2:$D$11,4,FALSE)</f>
        <v>9000</v>
      </c>
      <c r="P881">
        <f t="shared" si="130"/>
        <v>12000</v>
      </c>
      <c r="Q881">
        <f t="shared" si="131"/>
        <v>1200</v>
      </c>
      <c r="R881">
        <f t="shared" si="132"/>
        <v>10800</v>
      </c>
      <c r="S881">
        <f t="shared" si="133"/>
        <v>1800</v>
      </c>
      <c r="T881" t="str">
        <f>_xlfn.CONCAT(Sales_Data!C881,"-",Sales_Data!E881,"-",Sales_Data!A881)</f>
        <v>South-C1042-1880</v>
      </c>
      <c r="U881" t="str">
        <f t="shared" si="134"/>
        <v>Regular</v>
      </c>
      <c r="V881" t="str" cm="1">
        <f t="array" ref="V881">_xlfn.IFS(R881&gt;=100000,"Excellent",R881&gt;=50000,"Good",R881&gt;=20000,"Average",TRUE,"Poor")</f>
        <v>Poor</v>
      </c>
      <c r="W881">
        <f t="shared" si="135"/>
        <v>1</v>
      </c>
      <c r="X881" t="str">
        <f t="shared" si="136"/>
        <v>February</v>
      </c>
      <c r="Y881">
        <f>HLOOKUP("Q"&amp;W881,Bonus_HLookup!$A$1:$E$2,2,FALSE)</f>
        <v>0.02</v>
      </c>
      <c r="Z881">
        <f t="shared" si="137"/>
        <v>39707</v>
      </c>
      <c r="AA881" s="1">
        <f t="shared" si="138"/>
        <v>9161.3829504188398</v>
      </c>
      <c r="AB881">
        <f t="shared" si="139"/>
        <v>619</v>
      </c>
    </row>
    <row r="882" spans="1:28" x14ac:dyDescent="0.3">
      <c r="A882">
        <v>1881</v>
      </c>
      <c r="B882" t="s">
        <v>415</v>
      </c>
      <c r="C882" t="s">
        <v>13</v>
      </c>
      <c r="D882" t="s">
        <v>14</v>
      </c>
      <c r="E882" t="s">
        <v>99</v>
      </c>
      <c r="F882" t="s">
        <v>42</v>
      </c>
      <c r="G882">
        <v>3</v>
      </c>
      <c r="H882">
        <v>8000</v>
      </c>
      <c r="I882">
        <v>8</v>
      </c>
      <c r="J882">
        <v>73693</v>
      </c>
      <c r="K882">
        <v>12</v>
      </c>
      <c r="L882">
        <v>2</v>
      </c>
      <c r="M882" t="str">
        <f>VLOOKUP(Sales_Data!F882,Product_Master!$A$2:$D$11,2)</f>
        <v>Printer</v>
      </c>
      <c r="N882" t="str">
        <f>VLOOKUP(F882,Product_Master!$A$2:$C$11,3)</f>
        <v>Electronics</v>
      </c>
      <c r="O882">
        <f>VLOOKUP(F882,Product_Master!$A$2:$D$11,4,FALSE)</f>
        <v>6500</v>
      </c>
      <c r="P882">
        <f t="shared" si="130"/>
        <v>24000</v>
      </c>
      <c r="Q882">
        <f t="shared" si="131"/>
        <v>1920</v>
      </c>
      <c r="R882">
        <f t="shared" si="132"/>
        <v>22080</v>
      </c>
      <c r="S882">
        <f t="shared" si="133"/>
        <v>2580</v>
      </c>
      <c r="T882" t="str">
        <f>_xlfn.CONCAT(Sales_Data!C882,"-",Sales_Data!E882,"-",Sales_Data!A882)</f>
        <v>West-C1050-1881</v>
      </c>
      <c r="U882" t="str">
        <f t="shared" si="134"/>
        <v>Regular</v>
      </c>
      <c r="V882" t="str" cm="1">
        <f t="array" ref="V882">_xlfn.IFS(R882&gt;=100000,"Excellent",R882&gt;=50000,"Good",R882&gt;=20000,"Average",TRUE,"Poor")</f>
        <v>Average</v>
      </c>
      <c r="W882">
        <f t="shared" si="135"/>
        <v>2</v>
      </c>
      <c r="X882" t="str">
        <f t="shared" si="136"/>
        <v>June</v>
      </c>
      <c r="Y882">
        <f>HLOOKUP("Q"&amp;W882,Bonus_HLookup!$A$1:$E$2,2,FALSE)</f>
        <v>0.04</v>
      </c>
      <c r="Z882">
        <f t="shared" si="137"/>
        <v>17686.32</v>
      </c>
      <c r="AA882" s="1">
        <f t="shared" si="138"/>
        <v>3468.9853885490461</v>
      </c>
      <c r="AB882">
        <f t="shared" si="139"/>
        <v>418</v>
      </c>
    </row>
    <row r="883" spans="1:28" x14ac:dyDescent="0.3">
      <c r="A883">
        <v>1882</v>
      </c>
      <c r="B883" t="s">
        <v>395</v>
      </c>
      <c r="C883" t="s">
        <v>62</v>
      </c>
      <c r="D883" t="s">
        <v>19</v>
      </c>
      <c r="E883" t="s">
        <v>27</v>
      </c>
      <c r="F883" t="s">
        <v>74</v>
      </c>
      <c r="G883">
        <v>8</v>
      </c>
      <c r="H883">
        <v>35000</v>
      </c>
      <c r="I883">
        <v>5</v>
      </c>
      <c r="J883">
        <v>228989</v>
      </c>
      <c r="K883">
        <v>11</v>
      </c>
      <c r="L883">
        <v>4</v>
      </c>
      <c r="M883" t="str">
        <f>VLOOKUP(Sales_Data!F883,Product_Master!$A$2:$D$11,2)</f>
        <v>Tablet</v>
      </c>
      <c r="N883" t="str">
        <f>VLOOKUP(F883,Product_Master!$A$2:$C$11,3)</f>
        <v>Electronics</v>
      </c>
      <c r="O883">
        <f>VLOOKUP(F883,Product_Master!$A$2:$D$11,4,FALSE)</f>
        <v>29000</v>
      </c>
      <c r="P883">
        <f t="shared" si="130"/>
        <v>280000</v>
      </c>
      <c r="Q883">
        <f t="shared" si="131"/>
        <v>14000</v>
      </c>
      <c r="R883">
        <f t="shared" si="132"/>
        <v>266000</v>
      </c>
      <c r="S883">
        <f t="shared" si="133"/>
        <v>34000</v>
      </c>
      <c r="T883" t="str">
        <f>_xlfn.CONCAT(Sales_Data!C883,"-",Sales_Data!E883,"-",Sales_Data!A883)</f>
        <v>East-C1007-1882</v>
      </c>
      <c r="U883" t="str">
        <f t="shared" si="134"/>
        <v>High Value</v>
      </c>
      <c r="V883" t="str" cm="1">
        <f t="array" ref="V883">_xlfn.IFS(R883&gt;=100000,"Excellent",R883&gt;=50000,"Good",R883&gt;=20000,"Average",TRUE,"Poor")</f>
        <v>Excellent</v>
      </c>
      <c r="W883">
        <f t="shared" si="135"/>
        <v>3</v>
      </c>
      <c r="X883" t="str">
        <f t="shared" si="136"/>
        <v>August</v>
      </c>
      <c r="Y883">
        <f>HLOOKUP("Q"&amp;W883,Bonus_HLookup!$A$1:$E$2,2,FALSE)</f>
        <v>0.06</v>
      </c>
      <c r="Z883">
        <f t="shared" si="137"/>
        <v>100755.16</v>
      </c>
      <c r="AA883" s="1">
        <f t="shared" si="138"/>
        <v>5918.3403772739684</v>
      </c>
      <c r="AB883">
        <f t="shared" si="139"/>
        <v>67</v>
      </c>
    </row>
    <row r="884" spans="1:28" x14ac:dyDescent="0.3">
      <c r="A884">
        <v>1883</v>
      </c>
      <c r="B884" t="s">
        <v>407</v>
      </c>
      <c r="C884" t="s">
        <v>18</v>
      </c>
      <c r="D884" t="s">
        <v>59</v>
      </c>
      <c r="E884" t="s">
        <v>47</v>
      </c>
      <c r="F884" t="s">
        <v>69</v>
      </c>
      <c r="G884">
        <v>8</v>
      </c>
      <c r="H884">
        <v>2000</v>
      </c>
      <c r="I884">
        <v>0</v>
      </c>
      <c r="J884">
        <v>110629</v>
      </c>
      <c r="K884">
        <v>10</v>
      </c>
      <c r="L884">
        <v>5</v>
      </c>
      <c r="M884" t="str">
        <f>VLOOKUP(Sales_Data!F884,Product_Master!$A$2:$D$11,2)</f>
        <v>Headset</v>
      </c>
      <c r="N884" t="str">
        <f>VLOOKUP(F884,Product_Master!$A$2:$C$11,3)</f>
        <v>Accessories</v>
      </c>
      <c r="O884">
        <f>VLOOKUP(F884,Product_Master!$A$2:$D$11,4,FALSE)</f>
        <v>1500</v>
      </c>
      <c r="P884">
        <f t="shared" si="130"/>
        <v>16000</v>
      </c>
      <c r="Q884">
        <f t="shared" si="131"/>
        <v>0</v>
      </c>
      <c r="R884">
        <f t="shared" si="132"/>
        <v>16000</v>
      </c>
      <c r="S884">
        <f t="shared" si="133"/>
        <v>4000</v>
      </c>
      <c r="T884" t="str">
        <f>_xlfn.CONCAT(Sales_Data!C884,"-",Sales_Data!E884,"-",Sales_Data!A884)</f>
        <v>North-C1030-1883</v>
      </c>
      <c r="U884" t="str">
        <f t="shared" si="134"/>
        <v>Regular</v>
      </c>
      <c r="V884" t="str" cm="1">
        <f t="array" ref="V884">_xlfn.IFS(R884&gt;=100000,"Excellent",R884&gt;=50000,"Good",R884&gt;=20000,"Average",TRUE,"Poor")</f>
        <v>Poor</v>
      </c>
      <c r="W884">
        <f t="shared" si="135"/>
        <v>3</v>
      </c>
      <c r="X884" t="str">
        <f t="shared" si="136"/>
        <v>July</v>
      </c>
      <c r="Y884">
        <f>HLOOKUP("Q"&amp;W884,Bonus_HLookup!$A$1:$E$2,2,FALSE)</f>
        <v>0.06</v>
      </c>
      <c r="Z884">
        <f t="shared" si="137"/>
        <v>55314.5</v>
      </c>
      <c r="AA884" s="1">
        <f t="shared" si="138"/>
        <v>2350.5393093628982</v>
      </c>
      <c r="AB884">
        <f t="shared" si="139"/>
        <v>514</v>
      </c>
    </row>
    <row r="885" spans="1:28" x14ac:dyDescent="0.3">
      <c r="A885">
        <v>1884</v>
      </c>
      <c r="B885" t="s">
        <v>322</v>
      </c>
      <c r="C885" t="s">
        <v>13</v>
      </c>
      <c r="D885" t="s">
        <v>91</v>
      </c>
      <c r="E885" t="s">
        <v>51</v>
      </c>
      <c r="F885" t="s">
        <v>28</v>
      </c>
      <c r="G885">
        <v>7</v>
      </c>
      <c r="H885">
        <v>950</v>
      </c>
      <c r="I885">
        <v>2</v>
      </c>
      <c r="J885">
        <v>214173</v>
      </c>
      <c r="K885">
        <v>10</v>
      </c>
      <c r="L885">
        <v>4</v>
      </c>
      <c r="M885" t="str">
        <f>VLOOKUP(Sales_Data!F885,Product_Master!$A$2:$D$11,2)</f>
        <v>Webcam</v>
      </c>
      <c r="N885" t="str">
        <f>VLOOKUP(F885,Product_Master!$A$2:$C$11,3)</f>
        <v>Accessories</v>
      </c>
      <c r="O885">
        <f>VLOOKUP(F885,Product_Master!$A$2:$D$11,4,FALSE)</f>
        <v>700</v>
      </c>
      <c r="P885">
        <f t="shared" si="130"/>
        <v>6650</v>
      </c>
      <c r="Q885">
        <f t="shared" si="131"/>
        <v>133</v>
      </c>
      <c r="R885">
        <f t="shared" si="132"/>
        <v>6517</v>
      </c>
      <c r="S885">
        <f t="shared" si="133"/>
        <v>1617</v>
      </c>
      <c r="T885" t="str">
        <f>_xlfn.CONCAT(Sales_Data!C885,"-",Sales_Data!E885,"-",Sales_Data!A885)</f>
        <v>West-C1002-1884</v>
      </c>
      <c r="U885" t="str">
        <f t="shared" si="134"/>
        <v>Regular</v>
      </c>
      <c r="V885" t="str" cm="1">
        <f t="array" ref="V885">_xlfn.IFS(R885&gt;=100000,"Excellent",R885&gt;=50000,"Good",R885&gt;=20000,"Average",TRUE,"Poor")</f>
        <v>Poor</v>
      </c>
      <c r="W885">
        <f t="shared" si="135"/>
        <v>4</v>
      </c>
      <c r="X885" t="str">
        <f t="shared" si="136"/>
        <v>October</v>
      </c>
      <c r="Y885">
        <f>HLOOKUP("Q"&amp;W885,Bonus_HLookup!$A$1:$E$2,2,FALSE)</f>
        <v>0.08</v>
      </c>
      <c r="Z885">
        <f t="shared" si="137"/>
        <v>85669.2</v>
      </c>
      <c r="AA885" s="1">
        <f t="shared" si="138"/>
        <v>5431.9805819701096</v>
      </c>
      <c r="AB885">
        <f t="shared" si="139"/>
        <v>744</v>
      </c>
    </row>
    <row r="886" spans="1:28" x14ac:dyDescent="0.3">
      <c r="A886">
        <v>1885</v>
      </c>
      <c r="B886" t="s">
        <v>319</v>
      </c>
      <c r="C886" t="s">
        <v>30</v>
      </c>
      <c r="D886" t="s">
        <v>46</v>
      </c>
      <c r="E886" t="s">
        <v>51</v>
      </c>
      <c r="F886" t="s">
        <v>69</v>
      </c>
      <c r="G886">
        <v>7</v>
      </c>
      <c r="H886">
        <v>2000</v>
      </c>
      <c r="I886">
        <v>8</v>
      </c>
      <c r="J886">
        <v>153755</v>
      </c>
      <c r="K886">
        <v>12</v>
      </c>
      <c r="L886">
        <v>4</v>
      </c>
      <c r="M886" t="str">
        <f>VLOOKUP(Sales_Data!F886,Product_Master!$A$2:$D$11,2)</f>
        <v>Headset</v>
      </c>
      <c r="N886" t="str">
        <f>VLOOKUP(F886,Product_Master!$A$2:$C$11,3)</f>
        <v>Accessories</v>
      </c>
      <c r="O886">
        <f>VLOOKUP(F886,Product_Master!$A$2:$D$11,4,FALSE)</f>
        <v>1500</v>
      </c>
      <c r="P886">
        <f t="shared" si="130"/>
        <v>14000</v>
      </c>
      <c r="Q886">
        <f t="shared" si="131"/>
        <v>1120</v>
      </c>
      <c r="R886">
        <f t="shared" si="132"/>
        <v>12880</v>
      </c>
      <c r="S886">
        <f t="shared" si="133"/>
        <v>2380</v>
      </c>
      <c r="T886" t="str">
        <f>_xlfn.CONCAT(Sales_Data!C886,"-",Sales_Data!E886,"-",Sales_Data!A886)</f>
        <v>South-C1002-1885</v>
      </c>
      <c r="U886" t="str">
        <f t="shared" si="134"/>
        <v>Regular</v>
      </c>
      <c r="V886" t="str" cm="1">
        <f t="array" ref="V886">_xlfn.IFS(R886&gt;=100000,"Excellent",R886&gt;=50000,"Good",R886&gt;=20000,"Average",TRUE,"Poor")</f>
        <v>Poor</v>
      </c>
      <c r="W886">
        <f t="shared" si="135"/>
        <v>2</v>
      </c>
      <c r="X886" t="str">
        <f t="shared" si="136"/>
        <v>April</v>
      </c>
      <c r="Y886">
        <f>HLOOKUP("Q"&amp;W886,Bonus_HLookup!$A$1:$E$2,2,FALSE)</f>
        <v>0.04</v>
      </c>
      <c r="Z886">
        <f t="shared" si="137"/>
        <v>73802.399999999994</v>
      </c>
      <c r="AA886" s="1">
        <f t="shared" si="138"/>
        <v>4048.9588668360539</v>
      </c>
      <c r="AB886">
        <f t="shared" si="139"/>
        <v>568</v>
      </c>
    </row>
    <row r="887" spans="1:28" x14ac:dyDescent="0.3">
      <c r="A887">
        <v>1886</v>
      </c>
      <c r="B887" t="s">
        <v>409</v>
      </c>
      <c r="C887" t="s">
        <v>62</v>
      </c>
      <c r="D887" t="s">
        <v>23</v>
      </c>
      <c r="E887" t="s">
        <v>102</v>
      </c>
      <c r="F887" t="s">
        <v>16</v>
      </c>
      <c r="G887">
        <v>8</v>
      </c>
      <c r="H887">
        <v>2500</v>
      </c>
      <c r="I887">
        <v>5</v>
      </c>
      <c r="J887">
        <v>287015</v>
      </c>
      <c r="K887">
        <v>12</v>
      </c>
      <c r="L887">
        <v>1</v>
      </c>
      <c r="M887" t="str">
        <f>VLOOKUP(Sales_Data!F887,Product_Master!$A$2:$D$11,2)</f>
        <v>Speaker</v>
      </c>
      <c r="N887" t="str">
        <f>VLOOKUP(F887,Product_Master!$A$2:$C$11,3)</f>
        <v>Accessories</v>
      </c>
      <c r="O887">
        <f>VLOOKUP(F887,Product_Master!$A$2:$D$11,4,FALSE)</f>
        <v>1800</v>
      </c>
      <c r="P887">
        <f t="shared" si="130"/>
        <v>20000</v>
      </c>
      <c r="Q887">
        <f t="shared" si="131"/>
        <v>1000</v>
      </c>
      <c r="R887">
        <f t="shared" si="132"/>
        <v>19000</v>
      </c>
      <c r="S887">
        <f t="shared" si="133"/>
        <v>4600</v>
      </c>
      <c r="T887" t="str">
        <f>_xlfn.CONCAT(Sales_Data!C887,"-",Sales_Data!E887,"-",Sales_Data!A887)</f>
        <v>East-C1049-1886</v>
      </c>
      <c r="U887" t="str">
        <f t="shared" si="134"/>
        <v>Regular</v>
      </c>
      <c r="V887" t="str" cm="1">
        <f t="array" ref="V887">_xlfn.IFS(R887&gt;=100000,"Excellent",R887&gt;=50000,"Good",R887&gt;=20000,"Average",TRUE,"Poor")</f>
        <v>Poor</v>
      </c>
      <c r="W887">
        <f t="shared" si="135"/>
        <v>4</v>
      </c>
      <c r="X887" t="str">
        <f t="shared" si="136"/>
        <v>December</v>
      </c>
      <c r="Y887">
        <f>HLOOKUP("Q"&amp;W887,Bonus_HLookup!$A$1:$E$2,2,FALSE)</f>
        <v>0.08</v>
      </c>
      <c r="Z887">
        <f t="shared" si="137"/>
        <v>34441.800000000003</v>
      </c>
      <c r="AA887" s="1">
        <f t="shared" si="138"/>
        <v>25500.935082514239</v>
      </c>
      <c r="AB887">
        <f t="shared" si="139"/>
        <v>465</v>
      </c>
    </row>
    <row r="888" spans="1:28" x14ac:dyDescent="0.3">
      <c r="A888">
        <v>1887</v>
      </c>
      <c r="B888" t="s">
        <v>338</v>
      </c>
      <c r="C888" t="s">
        <v>18</v>
      </c>
      <c r="D888" t="s">
        <v>23</v>
      </c>
      <c r="E888" t="s">
        <v>20</v>
      </c>
      <c r="F888" t="s">
        <v>28</v>
      </c>
      <c r="G888">
        <v>6</v>
      </c>
      <c r="H888">
        <v>950</v>
      </c>
      <c r="I888">
        <v>15</v>
      </c>
      <c r="J888">
        <v>239929</v>
      </c>
      <c r="K888">
        <v>7</v>
      </c>
      <c r="L888">
        <v>2</v>
      </c>
      <c r="M888" t="str">
        <f>VLOOKUP(Sales_Data!F888,Product_Master!$A$2:$D$11,2)</f>
        <v>Webcam</v>
      </c>
      <c r="N888" t="str">
        <f>VLOOKUP(F888,Product_Master!$A$2:$C$11,3)</f>
        <v>Accessories</v>
      </c>
      <c r="O888">
        <f>VLOOKUP(F888,Product_Master!$A$2:$D$11,4,FALSE)</f>
        <v>700</v>
      </c>
      <c r="P888">
        <f t="shared" si="130"/>
        <v>5700</v>
      </c>
      <c r="Q888">
        <f t="shared" si="131"/>
        <v>855</v>
      </c>
      <c r="R888">
        <f t="shared" si="132"/>
        <v>4845</v>
      </c>
      <c r="S888">
        <f t="shared" si="133"/>
        <v>645</v>
      </c>
      <c r="T888" t="str">
        <f>_xlfn.CONCAT(Sales_Data!C888,"-",Sales_Data!E888,"-",Sales_Data!A888)</f>
        <v>North-C1003-1887</v>
      </c>
      <c r="U888" t="str">
        <f t="shared" si="134"/>
        <v>Regular</v>
      </c>
      <c r="V888" t="str" cm="1">
        <f t="array" ref="V888">_xlfn.IFS(R888&gt;=100000,"Excellent",R888&gt;=50000,"Good",R888&gt;=20000,"Average",TRUE,"Poor")</f>
        <v>Poor</v>
      </c>
      <c r="W888">
        <f t="shared" si="135"/>
        <v>4</v>
      </c>
      <c r="X888" t="str">
        <f t="shared" si="136"/>
        <v>December</v>
      </c>
      <c r="Y888">
        <f>HLOOKUP("Q"&amp;W888,Bonus_HLookup!$A$1:$E$2,2,FALSE)</f>
        <v>0.08</v>
      </c>
      <c r="Z888">
        <f t="shared" si="137"/>
        <v>33590.06</v>
      </c>
      <c r="AA888" s="1">
        <f t="shared" si="138"/>
        <v>10742.240131638577</v>
      </c>
      <c r="AB888">
        <f t="shared" si="139"/>
        <v>794</v>
      </c>
    </row>
    <row r="889" spans="1:28" x14ac:dyDescent="0.3">
      <c r="A889">
        <v>1888</v>
      </c>
      <c r="B889" t="s">
        <v>43</v>
      </c>
      <c r="C889" t="s">
        <v>18</v>
      </c>
      <c r="D889" t="s">
        <v>14</v>
      </c>
      <c r="E889" t="s">
        <v>203</v>
      </c>
      <c r="F889" t="s">
        <v>25</v>
      </c>
      <c r="G889">
        <v>10</v>
      </c>
      <c r="H889">
        <v>1500</v>
      </c>
      <c r="I889">
        <v>8</v>
      </c>
      <c r="J889">
        <v>271337</v>
      </c>
      <c r="K889">
        <v>10</v>
      </c>
      <c r="L889">
        <v>5</v>
      </c>
      <c r="M889" t="str">
        <f>VLOOKUP(Sales_Data!F889,Product_Master!$A$2:$D$11,2)</f>
        <v>Keyboard</v>
      </c>
      <c r="N889" t="str">
        <f>VLOOKUP(F889,Product_Master!$A$2:$C$11,3)</f>
        <v>Accessories</v>
      </c>
      <c r="O889">
        <f>VLOOKUP(F889,Product_Master!$A$2:$D$11,4,FALSE)</f>
        <v>1200</v>
      </c>
      <c r="P889">
        <f t="shared" si="130"/>
        <v>15000</v>
      </c>
      <c r="Q889">
        <f t="shared" si="131"/>
        <v>1200</v>
      </c>
      <c r="R889">
        <f t="shared" si="132"/>
        <v>13800</v>
      </c>
      <c r="S889">
        <f t="shared" si="133"/>
        <v>1800</v>
      </c>
      <c r="T889" t="str">
        <f>_xlfn.CONCAT(Sales_Data!C889,"-",Sales_Data!E889,"-",Sales_Data!A889)</f>
        <v>North-C1037-1888</v>
      </c>
      <c r="U889" t="str">
        <f t="shared" si="134"/>
        <v>Regular</v>
      </c>
      <c r="V889" t="str" cm="1">
        <f t="array" ref="V889">_xlfn.IFS(R889&gt;=100000,"Excellent",R889&gt;=50000,"Good",R889&gt;=20000,"Average",TRUE,"Poor")</f>
        <v>Poor</v>
      </c>
      <c r="W889">
        <f t="shared" si="135"/>
        <v>4</v>
      </c>
      <c r="X889" t="str">
        <f t="shared" si="136"/>
        <v>December</v>
      </c>
      <c r="Y889">
        <f>HLOOKUP("Q"&amp;W889,Bonus_HLookup!$A$1:$E$2,2,FALSE)</f>
        <v>0.08</v>
      </c>
      <c r="Z889">
        <f t="shared" si="137"/>
        <v>135668.5</v>
      </c>
      <c r="AA889" s="1">
        <f t="shared" si="138"/>
        <v>5765.1093708214003</v>
      </c>
      <c r="AB889">
        <f t="shared" si="139"/>
        <v>544</v>
      </c>
    </row>
    <row r="890" spans="1:28" x14ac:dyDescent="0.3">
      <c r="A890">
        <v>1889</v>
      </c>
      <c r="B890" t="s">
        <v>168</v>
      </c>
      <c r="C890" t="s">
        <v>13</v>
      </c>
      <c r="D890" t="s">
        <v>59</v>
      </c>
      <c r="E890" t="s">
        <v>38</v>
      </c>
      <c r="F890" t="s">
        <v>39</v>
      </c>
      <c r="G890">
        <v>9</v>
      </c>
      <c r="H890">
        <v>7000</v>
      </c>
      <c r="I890">
        <v>8</v>
      </c>
      <c r="J890">
        <v>207616</v>
      </c>
      <c r="K890">
        <v>8</v>
      </c>
      <c r="L890">
        <v>1</v>
      </c>
      <c r="M890" t="str">
        <f>VLOOKUP(Sales_Data!F890,Product_Master!$A$2:$D$11,2)</f>
        <v>Router</v>
      </c>
      <c r="N890" t="str">
        <f>VLOOKUP(F890,Product_Master!$A$2:$C$11,3)</f>
        <v>Electronics</v>
      </c>
      <c r="O890">
        <f>VLOOKUP(F890,Product_Master!$A$2:$D$11,4,FALSE)</f>
        <v>5000</v>
      </c>
      <c r="P890">
        <f t="shared" si="130"/>
        <v>63000</v>
      </c>
      <c r="Q890">
        <f t="shared" si="131"/>
        <v>5040</v>
      </c>
      <c r="R890">
        <f t="shared" si="132"/>
        <v>57960</v>
      </c>
      <c r="S890">
        <f t="shared" si="133"/>
        <v>12960</v>
      </c>
      <c r="T890" t="str">
        <f>_xlfn.CONCAT(Sales_Data!C890,"-",Sales_Data!E890,"-",Sales_Data!A890)</f>
        <v>West-C1009-1889</v>
      </c>
      <c r="U890" t="str">
        <f t="shared" si="134"/>
        <v>High Value</v>
      </c>
      <c r="V890" t="str" cm="1">
        <f t="array" ref="V890">_xlfn.IFS(R890&gt;=100000,"Excellent",R890&gt;=50000,"Good",R890&gt;=20000,"Average",TRUE,"Poor")</f>
        <v>Good</v>
      </c>
      <c r="W890">
        <f t="shared" si="135"/>
        <v>2</v>
      </c>
      <c r="X890" t="str">
        <f t="shared" si="136"/>
        <v>June</v>
      </c>
      <c r="Y890">
        <f>HLOOKUP("Q"&amp;W890,Bonus_HLookup!$A$1:$E$2,2,FALSE)</f>
        <v>0.04</v>
      </c>
      <c r="Z890">
        <f t="shared" si="137"/>
        <v>16609.28</v>
      </c>
      <c r="AA890" s="1">
        <f t="shared" si="138"/>
        <v>18060.189692998782</v>
      </c>
      <c r="AB890">
        <f t="shared" si="139"/>
        <v>259</v>
      </c>
    </row>
    <row r="891" spans="1:28" x14ac:dyDescent="0.3">
      <c r="A891">
        <v>1890</v>
      </c>
      <c r="B891" t="s">
        <v>72</v>
      </c>
      <c r="C891" t="s">
        <v>62</v>
      </c>
      <c r="D891" t="s">
        <v>46</v>
      </c>
      <c r="E891" t="s">
        <v>165</v>
      </c>
      <c r="F891" t="s">
        <v>21</v>
      </c>
      <c r="G891">
        <v>7</v>
      </c>
      <c r="H891">
        <v>12000</v>
      </c>
      <c r="I891">
        <v>5</v>
      </c>
      <c r="J891">
        <v>77834</v>
      </c>
      <c r="K891">
        <v>10</v>
      </c>
      <c r="L891">
        <v>5</v>
      </c>
      <c r="M891" t="str">
        <f>VLOOKUP(Sales_Data!F891,Product_Master!$A$2:$D$11,2)</f>
        <v>Monitor</v>
      </c>
      <c r="N891" t="str">
        <f>VLOOKUP(F891,Product_Master!$A$2:$C$11,3)</f>
        <v>Electronics</v>
      </c>
      <c r="O891">
        <f>VLOOKUP(F891,Product_Master!$A$2:$D$11,4,FALSE)</f>
        <v>9000</v>
      </c>
      <c r="P891">
        <f t="shared" si="130"/>
        <v>84000</v>
      </c>
      <c r="Q891">
        <f t="shared" si="131"/>
        <v>4200</v>
      </c>
      <c r="R891">
        <f t="shared" si="132"/>
        <v>79800</v>
      </c>
      <c r="S891">
        <f t="shared" si="133"/>
        <v>16800</v>
      </c>
      <c r="T891" t="str">
        <f>_xlfn.CONCAT(Sales_Data!C891,"-",Sales_Data!E891,"-",Sales_Data!A891)</f>
        <v>East-C1042-1890</v>
      </c>
      <c r="U891" t="str">
        <f t="shared" si="134"/>
        <v>High Value</v>
      </c>
      <c r="V891" t="str" cm="1">
        <f t="array" ref="V891">_xlfn.IFS(R891&gt;=100000,"Excellent",R891&gt;=50000,"Good",R891&gt;=20000,"Average",TRUE,"Poor")</f>
        <v>Good</v>
      </c>
      <c r="W891">
        <f t="shared" si="135"/>
        <v>4</v>
      </c>
      <c r="X891" t="str">
        <f t="shared" si="136"/>
        <v>October</v>
      </c>
      <c r="Y891">
        <f>HLOOKUP("Q"&amp;W891,Bonus_HLookup!$A$1:$E$2,2,FALSE)</f>
        <v>0.08</v>
      </c>
      <c r="Z891">
        <f t="shared" si="137"/>
        <v>38917</v>
      </c>
      <c r="AA891" s="1">
        <f t="shared" si="138"/>
        <v>1653.7424780568549</v>
      </c>
      <c r="AB891">
        <f t="shared" si="139"/>
        <v>194</v>
      </c>
    </row>
    <row r="892" spans="1:28" x14ac:dyDescent="0.3">
      <c r="A892">
        <v>1891</v>
      </c>
      <c r="B892" t="s">
        <v>341</v>
      </c>
      <c r="C892" t="s">
        <v>62</v>
      </c>
      <c r="D892" t="s">
        <v>23</v>
      </c>
      <c r="E892" t="s">
        <v>47</v>
      </c>
      <c r="F892" t="s">
        <v>28</v>
      </c>
      <c r="G892">
        <v>6</v>
      </c>
      <c r="H892">
        <v>950</v>
      </c>
      <c r="I892">
        <v>5</v>
      </c>
      <c r="J892">
        <v>259202</v>
      </c>
      <c r="K892">
        <v>9</v>
      </c>
      <c r="L892">
        <v>1</v>
      </c>
      <c r="M892" t="str">
        <f>VLOOKUP(Sales_Data!F892,Product_Master!$A$2:$D$11,2)</f>
        <v>Webcam</v>
      </c>
      <c r="N892" t="str">
        <f>VLOOKUP(F892,Product_Master!$A$2:$C$11,3)</f>
        <v>Accessories</v>
      </c>
      <c r="O892">
        <f>VLOOKUP(F892,Product_Master!$A$2:$D$11,4,FALSE)</f>
        <v>700</v>
      </c>
      <c r="P892">
        <f t="shared" si="130"/>
        <v>5700</v>
      </c>
      <c r="Q892">
        <f t="shared" si="131"/>
        <v>285</v>
      </c>
      <c r="R892">
        <f t="shared" si="132"/>
        <v>5415</v>
      </c>
      <c r="S892">
        <f t="shared" si="133"/>
        <v>1215</v>
      </c>
      <c r="T892" t="str">
        <f>_xlfn.CONCAT(Sales_Data!C892,"-",Sales_Data!E892,"-",Sales_Data!A892)</f>
        <v>East-C1030-1891</v>
      </c>
      <c r="U892" t="str">
        <f t="shared" si="134"/>
        <v>Regular</v>
      </c>
      <c r="V892" t="str" cm="1">
        <f t="array" ref="V892">_xlfn.IFS(R892&gt;=100000,"Excellent",R892&gt;=50000,"Good",R892&gt;=20000,"Average",TRUE,"Poor")</f>
        <v>Poor</v>
      </c>
      <c r="W892">
        <f t="shared" si="135"/>
        <v>3</v>
      </c>
      <c r="X892" t="str">
        <f t="shared" si="136"/>
        <v>August</v>
      </c>
      <c r="Y892">
        <f>HLOOKUP("Q"&amp;W892,Bonus_HLookup!$A$1:$E$2,2,FALSE)</f>
        <v>0.06</v>
      </c>
      <c r="Z892">
        <f t="shared" si="137"/>
        <v>23328.18</v>
      </c>
      <c r="AA892" s="1">
        <f t="shared" si="138"/>
        <v>22667.597681717176</v>
      </c>
      <c r="AB892">
        <f t="shared" si="139"/>
        <v>774</v>
      </c>
    </row>
    <row r="893" spans="1:28" x14ac:dyDescent="0.3">
      <c r="A893">
        <v>1892</v>
      </c>
      <c r="B893" t="s">
        <v>320</v>
      </c>
      <c r="C893" t="s">
        <v>13</v>
      </c>
      <c r="D893" t="s">
        <v>59</v>
      </c>
      <c r="E893" t="s">
        <v>54</v>
      </c>
      <c r="F893" t="s">
        <v>69</v>
      </c>
      <c r="G893">
        <v>9</v>
      </c>
      <c r="H893">
        <v>2000</v>
      </c>
      <c r="I893">
        <v>10</v>
      </c>
      <c r="J893">
        <v>342677</v>
      </c>
      <c r="K893">
        <v>11</v>
      </c>
      <c r="L893">
        <v>2</v>
      </c>
      <c r="M893" t="str">
        <f>VLOOKUP(Sales_Data!F893,Product_Master!$A$2:$D$11,2)</f>
        <v>Headset</v>
      </c>
      <c r="N893" t="str">
        <f>VLOOKUP(F893,Product_Master!$A$2:$C$11,3)</f>
        <v>Accessories</v>
      </c>
      <c r="O893">
        <f>VLOOKUP(F893,Product_Master!$A$2:$D$11,4,FALSE)</f>
        <v>1500</v>
      </c>
      <c r="P893">
        <f t="shared" si="130"/>
        <v>18000</v>
      </c>
      <c r="Q893">
        <f t="shared" si="131"/>
        <v>1800</v>
      </c>
      <c r="R893">
        <f t="shared" si="132"/>
        <v>16200</v>
      </c>
      <c r="S893">
        <f t="shared" si="133"/>
        <v>2700</v>
      </c>
      <c r="T893" t="str">
        <f>_xlfn.CONCAT(Sales_Data!C893,"-",Sales_Data!E893,"-",Sales_Data!A893)</f>
        <v>West-C1034-1892</v>
      </c>
      <c r="U893" t="str">
        <f t="shared" si="134"/>
        <v>Regular</v>
      </c>
      <c r="V893" t="str" cm="1">
        <f t="array" ref="V893">_xlfn.IFS(R893&gt;=100000,"Excellent",R893&gt;=50000,"Good",R893&gt;=20000,"Average",TRUE,"Poor")</f>
        <v>Poor</v>
      </c>
      <c r="W893">
        <f t="shared" si="135"/>
        <v>1</v>
      </c>
      <c r="X893" t="str">
        <f t="shared" si="136"/>
        <v>January</v>
      </c>
      <c r="Y893">
        <f>HLOOKUP("Q"&amp;W893,Bonus_HLookup!$A$1:$E$2,2,FALSE)</f>
        <v>0.02</v>
      </c>
      <c r="Z893">
        <f t="shared" si="137"/>
        <v>75388.94</v>
      </c>
      <c r="AA893" s="1">
        <f t="shared" si="138"/>
        <v>15971.43416967062</v>
      </c>
      <c r="AB893">
        <f t="shared" si="139"/>
        <v>511</v>
      </c>
    </row>
    <row r="894" spans="1:28" x14ac:dyDescent="0.3">
      <c r="A894">
        <v>1893</v>
      </c>
      <c r="B894" t="s">
        <v>199</v>
      </c>
      <c r="C894" t="s">
        <v>18</v>
      </c>
      <c r="D894" t="s">
        <v>33</v>
      </c>
      <c r="E894" t="s">
        <v>203</v>
      </c>
      <c r="F894" t="s">
        <v>69</v>
      </c>
      <c r="G894">
        <v>7</v>
      </c>
      <c r="H894">
        <v>2000</v>
      </c>
      <c r="I894">
        <v>8</v>
      </c>
      <c r="J894">
        <v>476343</v>
      </c>
      <c r="K894">
        <v>9</v>
      </c>
      <c r="L894">
        <v>2</v>
      </c>
      <c r="M894" t="str">
        <f>VLOOKUP(Sales_Data!F894,Product_Master!$A$2:$D$11,2)</f>
        <v>Headset</v>
      </c>
      <c r="N894" t="str">
        <f>VLOOKUP(F894,Product_Master!$A$2:$C$11,3)</f>
        <v>Accessories</v>
      </c>
      <c r="O894">
        <f>VLOOKUP(F894,Product_Master!$A$2:$D$11,4,FALSE)</f>
        <v>1500</v>
      </c>
      <c r="P894">
        <f t="shared" si="130"/>
        <v>14000</v>
      </c>
      <c r="Q894">
        <f t="shared" si="131"/>
        <v>1120</v>
      </c>
      <c r="R894">
        <f t="shared" si="132"/>
        <v>12880</v>
      </c>
      <c r="S894">
        <f t="shared" si="133"/>
        <v>2380</v>
      </c>
      <c r="T894" t="str">
        <f>_xlfn.CONCAT(Sales_Data!C894,"-",Sales_Data!E894,"-",Sales_Data!A894)</f>
        <v>North-C1037-1893</v>
      </c>
      <c r="U894" t="str">
        <f t="shared" si="134"/>
        <v>Regular</v>
      </c>
      <c r="V894" t="str" cm="1">
        <f t="array" ref="V894">_xlfn.IFS(R894&gt;=100000,"Excellent",R894&gt;=50000,"Good",R894&gt;=20000,"Average",TRUE,"Poor")</f>
        <v>Poor</v>
      </c>
      <c r="W894">
        <f t="shared" si="135"/>
        <v>3</v>
      </c>
      <c r="X894" t="str">
        <f t="shared" si="136"/>
        <v>July</v>
      </c>
      <c r="Y894">
        <f>HLOOKUP("Q"&amp;W894,Bonus_HLookup!$A$1:$E$2,2,FALSE)</f>
        <v>0.06</v>
      </c>
      <c r="Z894">
        <f t="shared" si="137"/>
        <v>85741.74</v>
      </c>
      <c r="AA894" s="1">
        <f t="shared" si="138"/>
        <v>21761.60719148815</v>
      </c>
      <c r="AB894">
        <f t="shared" si="139"/>
        <v>568</v>
      </c>
    </row>
    <row r="895" spans="1:28" x14ac:dyDescent="0.3">
      <c r="A895">
        <v>1894</v>
      </c>
      <c r="B895" t="s">
        <v>395</v>
      </c>
      <c r="C895" t="s">
        <v>18</v>
      </c>
      <c r="D895" t="s">
        <v>59</v>
      </c>
      <c r="E895" t="s">
        <v>82</v>
      </c>
      <c r="F895" t="s">
        <v>74</v>
      </c>
      <c r="G895">
        <v>9</v>
      </c>
      <c r="H895">
        <v>35000</v>
      </c>
      <c r="I895">
        <v>15</v>
      </c>
      <c r="J895">
        <v>455339</v>
      </c>
      <c r="K895">
        <v>10</v>
      </c>
      <c r="L895">
        <v>4</v>
      </c>
      <c r="M895" t="str">
        <f>VLOOKUP(Sales_Data!F895,Product_Master!$A$2:$D$11,2)</f>
        <v>Tablet</v>
      </c>
      <c r="N895" t="str">
        <f>VLOOKUP(F895,Product_Master!$A$2:$C$11,3)</f>
        <v>Electronics</v>
      </c>
      <c r="O895">
        <f>VLOOKUP(F895,Product_Master!$A$2:$D$11,4,FALSE)</f>
        <v>29000</v>
      </c>
      <c r="P895">
        <f t="shared" si="130"/>
        <v>315000</v>
      </c>
      <c r="Q895">
        <f t="shared" si="131"/>
        <v>47250</v>
      </c>
      <c r="R895">
        <f t="shared" si="132"/>
        <v>267750</v>
      </c>
      <c r="S895">
        <f t="shared" si="133"/>
        <v>6750</v>
      </c>
      <c r="T895" t="str">
        <f>_xlfn.CONCAT(Sales_Data!C895,"-",Sales_Data!E895,"-",Sales_Data!A895)</f>
        <v>North-C1045-1894</v>
      </c>
      <c r="U895" t="str">
        <f t="shared" si="134"/>
        <v>High Value</v>
      </c>
      <c r="V895" t="str" cm="1">
        <f t="array" ref="V895">_xlfn.IFS(R895&gt;=100000,"Excellent",R895&gt;=50000,"Good",R895&gt;=20000,"Average",TRUE,"Poor")</f>
        <v>Excellent</v>
      </c>
      <c r="W895">
        <f t="shared" si="135"/>
        <v>3</v>
      </c>
      <c r="X895" t="str">
        <f t="shared" si="136"/>
        <v>August</v>
      </c>
      <c r="Y895">
        <f>HLOOKUP("Q"&amp;W895,Bonus_HLookup!$A$1:$E$2,2,FALSE)</f>
        <v>0.06</v>
      </c>
      <c r="Z895">
        <f t="shared" si="137"/>
        <v>182135.6</v>
      </c>
      <c r="AA895" s="1">
        <f t="shared" si="138"/>
        <v>11548.57337859435</v>
      </c>
      <c r="AB895">
        <f t="shared" si="139"/>
        <v>65</v>
      </c>
    </row>
    <row r="896" spans="1:28" x14ac:dyDescent="0.3">
      <c r="A896">
        <v>1895</v>
      </c>
      <c r="B896" t="s">
        <v>217</v>
      </c>
      <c r="C896" t="s">
        <v>13</v>
      </c>
      <c r="D896" t="s">
        <v>19</v>
      </c>
      <c r="E896" t="s">
        <v>41</v>
      </c>
      <c r="F896" t="s">
        <v>69</v>
      </c>
      <c r="G896">
        <v>9</v>
      </c>
      <c r="H896">
        <v>2000</v>
      </c>
      <c r="I896">
        <v>8</v>
      </c>
      <c r="J896">
        <v>440496</v>
      </c>
      <c r="K896">
        <v>12</v>
      </c>
      <c r="L896">
        <v>4</v>
      </c>
      <c r="M896" t="str">
        <f>VLOOKUP(Sales_Data!F896,Product_Master!$A$2:$D$11,2)</f>
        <v>Headset</v>
      </c>
      <c r="N896" t="str">
        <f>VLOOKUP(F896,Product_Master!$A$2:$C$11,3)</f>
        <v>Accessories</v>
      </c>
      <c r="O896">
        <f>VLOOKUP(F896,Product_Master!$A$2:$D$11,4,FALSE)</f>
        <v>1500</v>
      </c>
      <c r="P896">
        <f t="shared" si="130"/>
        <v>18000</v>
      </c>
      <c r="Q896">
        <f t="shared" si="131"/>
        <v>1440</v>
      </c>
      <c r="R896">
        <f t="shared" si="132"/>
        <v>16560</v>
      </c>
      <c r="S896">
        <f t="shared" si="133"/>
        <v>3060</v>
      </c>
      <c r="T896" t="str">
        <f>_xlfn.CONCAT(Sales_Data!C896,"-",Sales_Data!E896,"-",Sales_Data!A896)</f>
        <v>West-C1023-1895</v>
      </c>
      <c r="U896" t="str">
        <f t="shared" si="134"/>
        <v>Regular</v>
      </c>
      <c r="V896" t="str" cm="1">
        <f t="array" ref="V896">_xlfn.IFS(R896&gt;=100000,"Excellent",R896&gt;=50000,"Good",R896&gt;=20000,"Average",TRUE,"Poor")</f>
        <v>Poor</v>
      </c>
      <c r="W896">
        <f t="shared" si="135"/>
        <v>3</v>
      </c>
      <c r="X896" t="str">
        <f t="shared" si="136"/>
        <v>August</v>
      </c>
      <c r="Y896">
        <f>HLOOKUP("Q"&amp;W896,Bonus_HLookup!$A$1:$E$2,2,FALSE)</f>
        <v>0.06</v>
      </c>
      <c r="Z896">
        <f t="shared" si="137"/>
        <v>211438.07999999999</v>
      </c>
      <c r="AA896" s="1">
        <f t="shared" si="138"/>
        <v>11599.949172422454</v>
      </c>
      <c r="AB896">
        <f t="shared" si="139"/>
        <v>508</v>
      </c>
    </row>
    <row r="897" spans="1:28" x14ac:dyDescent="0.3">
      <c r="A897">
        <v>1896</v>
      </c>
      <c r="B897" t="s">
        <v>113</v>
      </c>
      <c r="C897" t="s">
        <v>13</v>
      </c>
      <c r="D897" t="s">
        <v>33</v>
      </c>
      <c r="E897" t="s">
        <v>174</v>
      </c>
      <c r="F897" t="s">
        <v>69</v>
      </c>
      <c r="G897">
        <v>7</v>
      </c>
      <c r="H897">
        <v>2000</v>
      </c>
      <c r="I897">
        <v>12</v>
      </c>
      <c r="J897">
        <v>66599</v>
      </c>
      <c r="K897">
        <v>11</v>
      </c>
      <c r="L897">
        <v>3</v>
      </c>
      <c r="M897" t="str">
        <f>VLOOKUP(Sales_Data!F897,Product_Master!$A$2:$D$11,2)</f>
        <v>Headset</v>
      </c>
      <c r="N897" t="str">
        <f>VLOOKUP(F897,Product_Master!$A$2:$C$11,3)</f>
        <v>Accessories</v>
      </c>
      <c r="O897">
        <f>VLOOKUP(F897,Product_Master!$A$2:$D$11,4,FALSE)</f>
        <v>1500</v>
      </c>
      <c r="P897">
        <f t="shared" si="130"/>
        <v>14000</v>
      </c>
      <c r="Q897">
        <f t="shared" si="131"/>
        <v>1680</v>
      </c>
      <c r="R897">
        <f t="shared" si="132"/>
        <v>12320</v>
      </c>
      <c r="S897">
        <f t="shared" si="133"/>
        <v>1820</v>
      </c>
      <c r="T897" t="str">
        <f>_xlfn.CONCAT(Sales_Data!C897,"-",Sales_Data!E897,"-",Sales_Data!A897)</f>
        <v>West-C1044-1896</v>
      </c>
      <c r="U897" t="str">
        <f t="shared" si="134"/>
        <v>Regular</v>
      </c>
      <c r="V897" t="str" cm="1">
        <f t="array" ref="V897">_xlfn.IFS(R897&gt;=100000,"Excellent",R897&gt;=50000,"Good",R897&gt;=20000,"Average",TRUE,"Poor")</f>
        <v>Poor</v>
      </c>
      <c r="W897">
        <f t="shared" si="135"/>
        <v>4</v>
      </c>
      <c r="X897" t="str">
        <f t="shared" si="136"/>
        <v>October</v>
      </c>
      <c r="Y897">
        <f>HLOOKUP("Q"&amp;W897,Bonus_HLookup!$A$1:$E$2,2,FALSE)</f>
        <v>0.08</v>
      </c>
      <c r="Z897">
        <f t="shared" si="137"/>
        <v>21977.67</v>
      </c>
      <c r="AA897" s="1">
        <f t="shared" si="138"/>
        <v>2180.3658212752189</v>
      </c>
      <c r="AB897">
        <f t="shared" si="139"/>
        <v>584</v>
      </c>
    </row>
    <row r="898" spans="1:28" x14ac:dyDescent="0.3">
      <c r="A898">
        <v>1897</v>
      </c>
      <c r="B898" t="s">
        <v>318</v>
      </c>
      <c r="C898" t="s">
        <v>13</v>
      </c>
      <c r="D898" t="s">
        <v>46</v>
      </c>
      <c r="E898" t="s">
        <v>77</v>
      </c>
      <c r="F898" t="s">
        <v>42</v>
      </c>
      <c r="G898">
        <v>9</v>
      </c>
      <c r="H898">
        <v>8000</v>
      </c>
      <c r="I898">
        <v>15</v>
      </c>
      <c r="J898">
        <v>124798</v>
      </c>
      <c r="K898">
        <v>11</v>
      </c>
      <c r="L898">
        <v>1</v>
      </c>
      <c r="M898" t="str">
        <f>VLOOKUP(Sales_Data!F898,Product_Master!$A$2:$D$11,2)</f>
        <v>Printer</v>
      </c>
      <c r="N898" t="str">
        <f>VLOOKUP(F898,Product_Master!$A$2:$C$11,3)</f>
        <v>Electronics</v>
      </c>
      <c r="O898">
        <f>VLOOKUP(F898,Product_Master!$A$2:$D$11,4,FALSE)</f>
        <v>6500</v>
      </c>
      <c r="P898">
        <f t="shared" si="130"/>
        <v>72000</v>
      </c>
      <c r="Q898">
        <f t="shared" si="131"/>
        <v>10800</v>
      </c>
      <c r="R898">
        <f t="shared" si="132"/>
        <v>61200</v>
      </c>
      <c r="S898">
        <f t="shared" si="133"/>
        <v>2700</v>
      </c>
      <c r="T898" t="str">
        <f>_xlfn.CONCAT(Sales_Data!C898,"-",Sales_Data!E898,"-",Sales_Data!A898)</f>
        <v>West-C1020-1897</v>
      </c>
      <c r="U898" t="str">
        <f t="shared" si="134"/>
        <v>High Value</v>
      </c>
      <c r="V898" t="str" cm="1">
        <f t="array" ref="V898">_xlfn.IFS(R898&gt;=100000,"Excellent",R898&gt;=50000,"Good",R898&gt;=20000,"Average",TRUE,"Poor")</f>
        <v>Good</v>
      </c>
      <c r="W898">
        <f t="shared" si="135"/>
        <v>3</v>
      </c>
      <c r="X898" t="str">
        <f t="shared" si="136"/>
        <v>August</v>
      </c>
      <c r="Y898">
        <f>HLOOKUP("Q"&amp;W898,Bonus_HLookup!$A$1:$E$2,2,FALSE)</f>
        <v>0.06</v>
      </c>
      <c r="Z898">
        <f t="shared" si="137"/>
        <v>13727.78</v>
      </c>
      <c r="AA898" s="1">
        <f t="shared" si="138"/>
        <v>11029.854220179141</v>
      </c>
      <c r="AB898">
        <f t="shared" si="139"/>
        <v>251</v>
      </c>
    </row>
    <row r="899" spans="1:28" x14ac:dyDescent="0.3">
      <c r="A899">
        <v>1898</v>
      </c>
      <c r="B899" t="s">
        <v>254</v>
      </c>
      <c r="C899" t="s">
        <v>13</v>
      </c>
      <c r="D899" t="s">
        <v>19</v>
      </c>
      <c r="E899" t="s">
        <v>66</v>
      </c>
      <c r="F899" t="s">
        <v>36</v>
      </c>
      <c r="G899">
        <v>4</v>
      </c>
      <c r="H899">
        <v>55000</v>
      </c>
      <c r="I899">
        <v>15</v>
      </c>
      <c r="J899">
        <v>493650</v>
      </c>
      <c r="K899">
        <v>8</v>
      </c>
      <c r="L899">
        <v>2</v>
      </c>
      <c r="M899" t="str">
        <f>VLOOKUP(Sales_Data!F899,Product_Master!$A$2:$D$11,2)</f>
        <v>Laptop</v>
      </c>
      <c r="N899" t="str">
        <f>VLOOKUP(F899,Product_Master!$A$2:$C$11,3)</f>
        <v>Electronics</v>
      </c>
      <c r="O899">
        <f>VLOOKUP(F899,Product_Master!$A$2:$D$11,4,FALSE)</f>
        <v>45000</v>
      </c>
      <c r="P899">
        <f t="shared" ref="P899:P962" si="140">H899*G899</f>
        <v>220000</v>
      </c>
      <c r="Q899">
        <f t="shared" ref="Q899:Q962" si="141">P899*(I899/100)</f>
        <v>33000</v>
      </c>
      <c r="R899">
        <f t="shared" ref="R899:R962" si="142">P899-Q899</f>
        <v>187000</v>
      </c>
      <c r="S899">
        <f t="shared" ref="S899:S962" si="143">R899-(G899*O899)</f>
        <v>7000</v>
      </c>
      <c r="T899" t="str">
        <f>_xlfn.CONCAT(Sales_Data!C899,"-",Sales_Data!E899,"-",Sales_Data!A899)</f>
        <v>West-C1010-1898</v>
      </c>
      <c r="U899" t="str">
        <f t="shared" ref="U899:U962" si="144">IF(R899&gt;=50000,"High Value","Regular")</f>
        <v>High Value</v>
      </c>
      <c r="V899" t="str" cm="1">
        <f t="array" ref="V899">_xlfn.IFS(R899&gt;=100000,"Excellent",R899&gt;=50000,"Good",R899&gt;=20000,"Average",TRUE,"Poor")</f>
        <v>Excellent</v>
      </c>
      <c r="W899">
        <f t="shared" ref="W899:W962" si="145">ROUNDUP(MONTH(B899)/3,0)</f>
        <v>3</v>
      </c>
      <c r="X899" t="str">
        <f t="shared" ref="X899:X962" si="146">TEXT(B899,"mmmm")</f>
        <v>August</v>
      </c>
      <c r="Y899">
        <f>HLOOKUP("Q"&amp;W899,Bonus_HLookup!$A$1:$E$2,2,FALSE)</f>
        <v>0.06</v>
      </c>
      <c r="Z899">
        <f t="shared" ref="Z899:Z962" si="147">(J899*K899*L899)/100</f>
        <v>78984</v>
      </c>
      <c r="AA899" s="1">
        <f t="shared" ref="AA899:AA962" si="148">PMT(K899/1200,L899*12,-J899)</f>
        <v>22326.452427345306</v>
      </c>
      <c r="AB899">
        <f t="shared" ref="AB899:AB962" si="149">RANK(R899,$R$2:$R$1001)</f>
        <v>113</v>
      </c>
    </row>
    <row r="900" spans="1:28" x14ac:dyDescent="0.3">
      <c r="A900">
        <v>1899</v>
      </c>
      <c r="B900" t="s">
        <v>188</v>
      </c>
      <c r="C900" t="s">
        <v>18</v>
      </c>
      <c r="D900" t="s">
        <v>91</v>
      </c>
      <c r="E900" t="s">
        <v>82</v>
      </c>
      <c r="F900" t="s">
        <v>74</v>
      </c>
      <c r="G900">
        <v>4</v>
      </c>
      <c r="H900">
        <v>35000</v>
      </c>
      <c r="I900">
        <v>0</v>
      </c>
      <c r="J900">
        <v>429237</v>
      </c>
      <c r="K900">
        <v>7</v>
      </c>
      <c r="L900">
        <v>5</v>
      </c>
      <c r="M900" t="str">
        <f>VLOOKUP(Sales_Data!F900,Product_Master!$A$2:$D$11,2)</f>
        <v>Tablet</v>
      </c>
      <c r="N900" t="str">
        <f>VLOOKUP(F900,Product_Master!$A$2:$C$11,3)</f>
        <v>Electronics</v>
      </c>
      <c r="O900">
        <f>VLOOKUP(F900,Product_Master!$A$2:$D$11,4,FALSE)</f>
        <v>29000</v>
      </c>
      <c r="P900">
        <f t="shared" si="140"/>
        <v>140000</v>
      </c>
      <c r="Q900">
        <f t="shared" si="141"/>
        <v>0</v>
      </c>
      <c r="R900">
        <f t="shared" si="142"/>
        <v>140000</v>
      </c>
      <c r="S900">
        <f t="shared" si="143"/>
        <v>24000</v>
      </c>
      <c r="T900" t="str">
        <f>_xlfn.CONCAT(Sales_Data!C900,"-",Sales_Data!E900,"-",Sales_Data!A900)</f>
        <v>North-C1045-1899</v>
      </c>
      <c r="U900" t="str">
        <f t="shared" si="144"/>
        <v>High Value</v>
      </c>
      <c r="V900" t="str" cm="1">
        <f t="array" ref="V900">_xlfn.IFS(R900&gt;=100000,"Excellent",R900&gt;=50000,"Good",R900&gt;=20000,"Average",TRUE,"Poor")</f>
        <v>Excellent</v>
      </c>
      <c r="W900">
        <f t="shared" si="145"/>
        <v>4</v>
      </c>
      <c r="X900" t="str">
        <f t="shared" si="146"/>
        <v>November</v>
      </c>
      <c r="Y900">
        <f>HLOOKUP("Q"&amp;W900,Bonus_HLookup!$A$1:$E$2,2,FALSE)</f>
        <v>0.08</v>
      </c>
      <c r="Z900">
        <f t="shared" si="147"/>
        <v>150232.95000000001</v>
      </c>
      <c r="AA900" s="1">
        <f t="shared" si="148"/>
        <v>8499.407057864013</v>
      </c>
      <c r="AB900">
        <f t="shared" si="149"/>
        <v>137</v>
      </c>
    </row>
    <row r="901" spans="1:28" x14ac:dyDescent="0.3">
      <c r="A901">
        <v>1900</v>
      </c>
      <c r="B901" t="s">
        <v>12</v>
      </c>
      <c r="C901" t="s">
        <v>13</v>
      </c>
      <c r="D901" t="s">
        <v>91</v>
      </c>
      <c r="E901" t="s">
        <v>108</v>
      </c>
      <c r="F901" t="s">
        <v>21</v>
      </c>
      <c r="G901">
        <v>6</v>
      </c>
      <c r="H901">
        <v>12000</v>
      </c>
      <c r="I901">
        <v>12</v>
      </c>
      <c r="J901">
        <v>174947</v>
      </c>
      <c r="K901">
        <v>11</v>
      </c>
      <c r="L901">
        <v>3</v>
      </c>
      <c r="M901" t="str">
        <f>VLOOKUP(Sales_Data!F901,Product_Master!$A$2:$D$11,2)</f>
        <v>Monitor</v>
      </c>
      <c r="N901" t="str">
        <f>VLOOKUP(F901,Product_Master!$A$2:$C$11,3)</f>
        <v>Electronics</v>
      </c>
      <c r="O901">
        <f>VLOOKUP(F901,Product_Master!$A$2:$D$11,4,FALSE)</f>
        <v>9000</v>
      </c>
      <c r="P901">
        <f t="shared" si="140"/>
        <v>72000</v>
      </c>
      <c r="Q901">
        <f t="shared" si="141"/>
        <v>8640</v>
      </c>
      <c r="R901">
        <f t="shared" si="142"/>
        <v>63360</v>
      </c>
      <c r="S901">
        <f t="shared" si="143"/>
        <v>9360</v>
      </c>
      <c r="T901" t="str">
        <f>_xlfn.CONCAT(Sales_Data!C901,"-",Sales_Data!E901,"-",Sales_Data!A901)</f>
        <v>West-C1031-1900</v>
      </c>
      <c r="U901" t="str">
        <f t="shared" si="144"/>
        <v>High Value</v>
      </c>
      <c r="V901" t="str" cm="1">
        <f t="array" ref="V901">_xlfn.IFS(R901&gt;=100000,"Excellent",R901&gt;=50000,"Good",R901&gt;=20000,"Average",TRUE,"Poor")</f>
        <v>Good</v>
      </c>
      <c r="W901">
        <f t="shared" si="145"/>
        <v>4</v>
      </c>
      <c r="X901" t="str">
        <f t="shared" si="146"/>
        <v>December</v>
      </c>
      <c r="Y901">
        <f>HLOOKUP("Q"&amp;W901,Bonus_HLookup!$A$1:$E$2,2,FALSE)</f>
        <v>0.08</v>
      </c>
      <c r="Z901">
        <f t="shared" si="147"/>
        <v>57732.51</v>
      </c>
      <c r="AA901" s="1">
        <f t="shared" si="148"/>
        <v>5727.5403434681557</v>
      </c>
      <c r="AB901">
        <f t="shared" si="149"/>
        <v>240</v>
      </c>
    </row>
    <row r="902" spans="1:28" x14ac:dyDescent="0.3">
      <c r="A902">
        <v>1901</v>
      </c>
      <c r="B902" t="s">
        <v>139</v>
      </c>
      <c r="C902" t="s">
        <v>62</v>
      </c>
      <c r="D902" t="s">
        <v>46</v>
      </c>
      <c r="E902" t="s">
        <v>203</v>
      </c>
      <c r="F902" t="s">
        <v>16</v>
      </c>
      <c r="G902">
        <v>4</v>
      </c>
      <c r="H902">
        <v>2500</v>
      </c>
      <c r="I902">
        <v>0</v>
      </c>
      <c r="J902">
        <v>446018</v>
      </c>
      <c r="K902">
        <v>12</v>
      </c>
      <c r="L902">
        <v>3</v>
      </c>
      <c r="M902" t="str">
        <f>VLOOKUP(Sales_Data!F902,Product_Master!$A$2:$D$11,2)</f>
        <v>Speaker</v>
      </c>
      <c r="N902" t="str">
        <f>VLOOKUP(F902,Product_Master!$A$2:$C$11,3)</f>
        <v>Accessories</v>
      </c>
      <c r="O902">
        <f>VLOOKUP(F902,Product_Master!$A$2:$D$11,4,FALSE)</f>
        <v>1800</v>
      </c>
      <c r="P902">
        <f t="shared" si="140"/>
        <v>10000</v>
      </c>
      <c r="Q902">
        <f t="shared" si="141"/>
        <v>0</v>
      </c>
      <c r="R902">
        <f t="shared" si="142"/>
        <v>10000</v>
      </c>
      <c r="S902">
        <f t="shared" si="143"/>
        <v>2800</v>
      </c>
      <c r="T902" t="str">
        <f>_xlfn.CONCAT(Sales_Data!C902,"-",Sales_Data!E902,"-",Sales_Data!A902)</f>
        <v>East-C1037-1901</v>
      </c>
      <c r="U902" t="str">
        <f t="shared" si="144"/>
        <v>Regular</v>
      </c>
      <c r="V902" t="str" cm="1">
        <f t="array" ref="V902">_xlfn.IFS(R902&gt;=100000,"Excellent",R902&gt;=50000,"Good",R902&gt;=20000,"Average",TRUE,"Poor")</f>
        <v>Poor</v>
      </c>
      <c r="W902">
        <f t="shared" si="145"/>
        <v>4</v>
      </c>
      <c r="X902" t="str">
        <f t="shared" si="146"/>
        <v>October</v>
      </c>
      <c r="Y902">
        <f>HLOOKUP("Q"&amp;W902,Bonus_HLookup!$A$1:$E$2,2,FALSE)</f>
        <v>0.08</v>
      </c>
      <c r="Z902">
        <f t="shared" si="147"/>
        <v>160566.48000000001</v>
      </c>
      <c r="AA902" s="1">
        <f t="shared" si="148"/>
        <v>14814.180034108262</v>
      </c>
      <c r="AB902">
        <f t="shared" si="149"/>
        <v>636</v>
      </c>
    </row>
    <row r="903" spans="1:28" x14ac:dyDescent="0.3">
      <c r="A903">
        <v>1902</v>
      </c>
      <c r="B903" t="s">
        <v>408</v>
      </c>
      <c r="C903" t="s">
        <v>18</v>
      </c>
      <c r="D903" t="s">
        <v>46</v>
      </c>
      <c r="E903" t="s">
        <v>57</v>
      </c>
      <c r="F903" t="s">
        <v>36</v>
      </c>
      <c r="G903">
        <v>9</v>
      </c>
      <c r="H903">
        <v>55000</v>
      </c>
      <c r="I903">
        <v>0</v>
      </c>
      <c r="J903">
        <v>146391</v>
      </c>
      <c r="K903">
        <v>9</v>
      </c>
      <c r="L903">
        <v>3</v>
      </c>
      <c r="M903" t="str">
        <f>VLOOKUP(Sales_Data!F903,Product_Master!$A$2:$D$11,2)</f>
        <v>Laptop</v>
      </c>
      <c r="N903" t="str">
        <f>VLOOKUP(F903,Product_Master!$A$2:$C$11,3)</f>
        <v>Electronics</v>
      </c>
      <c r="O903">
        <f>VLOOKUP(F903,Product_Master!$A$2:$D$11,4,FALSE)</f>
        <v>45000</v>
      </c>
      <c r="P903">
        <f t="shared" si="140"/>
        <v>495000</v>
      </c>
      <c r="Q903">
        <f t="shared" si="141"/>
        <v>0</v>
      </c>
      <c r="R903">
        <f t="shared" si="142"/>
        <v>495000</v>
      </c>
      <c r="S903">
        <f t="shared" si="143"/>
        <v>90000</v>
      </c>
      <c r="T903" t="str">
        <f>_xlfn.CONCAT(Sales_Data!C903,"-",Sales_Data!E903,"-",Sales_Data!A903)</f>
        <v>North-C1012-1902</v>
      </c>
      <c r="U903" t="str">
        <f t="shared" si="144"/>
        <v>High Value</v>
      </c>
      <c r="V903" t="str" cm="1">
        <f t="array" ref="V903">_xlfn.IFS(R903&gt;=100000,"Excellent",R903&gt;=50000,"Good",R903&gt;=20000,"Average",TRUE,"Poor")</f>
        <v>Excellent</v>
      </c>
      <c r="W903">
        <f t="shared" si="145"/>
        <v>4</v>
      </c>
      <c r="X903" t="str">
        <f t="shared" si="146"/>
        <v>December</v>
      </c>
      <c r="Y903">
        <f>HLOOKUP("Q"&amp;W903,Bonus_HLookup!$A$1:$E$2,2,FALSE)</f>
        <v>0.08</v>
      </c>
      <c r="Z903">
        <f t="shared" si="147"/>
        <v>39525.57</v>
      </c>
      <c r="AA903" s="1">
        <f t="shared" si="148"/>
        <v>4655.1946638213767</v>
      </c>
      <c r="AB903">
        <f t="shared" si="149"/>
        <v>4</v>
      </c>
    </row>
    <row r="904" spans="1:28" x14ac:dyDescent="0.3">
      <c r="A904">
        <v>1903</v>
      </c>
      <c r="B904" t="s">
        <v>145</v>
      </c>
      <c r="C904" t="s">
        <v>18</v>
      </c>
      <c r="D904" t="s">
        <v>14</v>
      </c>
      <c r="E904" t="s">
        <v>106</v>
      </c>
      <c r="F904" t="s">
        <v>21</v>
      </c>
      <c r="G904">
        <v>10</v>
      </c>
      <c r="H904">
        <v>12000</v>
      </c>
      <c r="I904">
        <v>10</v>
      </c>
      <c r="J904">
        <v>245686</v>
      </c>
      <c r="K904">
        <v>7</v>
      </c>
      <c r="L904">
        <v>3</v>
      </c>
      <c r="M904" t="str">
        <f>VLOOKUP(Sales_Data!F904,Product_Master!$A$2:$D$11,2)</f>
        <v>Monitor</v>
      </c>
      <c r="N904" t="str">
        <f>VLOOKUP(F904,Product_Master!$A$2:$C$11,3)</f>
        <v>Electronics</v>
      </c>
      <c r="O904">
        <f>VLOOKUP(F904,Product_Master!$A$2:$D$11,4,FALSE)</f>
        <v>9000</v>
      </c>
      <c r="P904">
        <f t="shared" si="140"/>
        <v>120000</v>
      </c>
      <c r="Q904">
        <f t="shared" si="141"/>
        <v>12000</v>
      </c>
      <c r="R904">
        <f t="shared" si="142"/>
        <v>108000</v>
      </c>
      <c r="S904">
        <f t="shared" si="143"/>
        <v>18000</v>
      </c>
      <c r="T904" t="str">
        <f>_xlfn.CONCAT(Sales_Data!C904,"-",Sales_Data!E904,"-",Sales_Data!A904)</f>
        <v>North-C1004-1903</v>
      </c>
      <c r="U904" t="str">
        <f t="shared" si="144"/>
        <v>High Value</v>
      </c>
      <c r="V904" t="str" cm="1">
        <f t="array" ref="V904">_xlfn.IFS(R904&gt;=100000,"Excellent",R904&gt;=50000,"Good",R904&gt;=20000,"Average",TRUE,"Poor")</f>
        <v>Excellent</v>
      </c>
      <c r="W904">
        <f t="shared" si="145"/>
        <v>1</v>
      </c>
      <c r="X904" t="str">
        <f t="shared" si="146"/>
        <v>March</v>
      </c>
      <c r="Y904">
        <f>HLOOKUP("Q"&amp;W904,Bonus_HLookup!$A$1:$E$2,2,FALSE)</f>
        <v>0.02</v>
      </c>
      <c r="Z904">
        <f t="shared" si="147"/>
        <v>51594.06</v>
      </c>
      <c r="AA904" s="1">
        <f t="shared" si="148"/>
        <v>7586.0704204657704</v>
      </c>
      <c r="AB904">
        <f t="shared" si="149"/>
        <v>154</v>
      </c>
    </row>
    <row r="905" spans="1:28" x14ac:dyDescent="0.3">
      <c r="A905">
        <v>1904</v>
      </c>
      <c r="B905" t="s">
        <v>90</v>
      </c>
      <c r="C905" t="s">
        <v>13</v>
      </c>
      <c r="D905" t="s">
        <v>46</v>
      </c>
      <c r="E905" t="s">
        <v>15</v>
      </c>
      <c r="F905" t="s">
        <v>39</v>
      </c>
      <c r="G905">
        <v>4</v>
      </c>
      <c r="H905">
        <v>7000</v>
      </c>
      <c r="I905">
        <v>10</v>
      </c>
      <c r="J905">
        <v>289360</v>
      </c>
      <c r="K905">
        <v>11</v>
      </c>
      <c r="L905">
        <v>1</v>
      </c>
      <c r="M905" t="str">
        <f>VLOOKUP(Sales_Data!F905,Product_Master!$A$2:$D$11,2)</f>
        <v>Router</v>
      </c>
      <c r="N905" t="str">
        <f>VLOOKUP(F905,Product_Master!$A$2:$C$11,3)</f>
        <v>Electronics</v>
      </c>
      <c r="O905">
        <f>VLOOKUP(F905,Product_Master!$A$2:$D$11,4,FALSE)</f>
        <v>5000</v>
      </c>
      <c r="P905">
        <f t="shared" si="140"/>
        <v>28000</v>
      </c>
      <c r="Q905">
        <f t="shared" si="141"/>
        <v>2800</v>
      </c>
      <c r="R905">
        <f t="shared" si="142"/>
        <v>25200</v>
      </c>
      <c r="S905">
        <f t="shared" si="143"/>
        <v>5200</v>
      </c>
      <c r="T905" t="str">
        <f>_xlfn.CONCAT(Sales_Data!C905,"-",Sales_Data!E905,"-",Sales_Data!A905)</f>
        <v>West-C1016-1904</v>
      </c>
      <c r="U905" t="str">
        <f t="shared" si="144"/>
        <v>Regular</v>
      </c>
      <c r="V905" t="str" cm="1">
        <f t="array" ref="V905">_xlfn.IFS(R905&gt;=100000,"Excellent",R905&gt;=50000,"Good",R905&gt;=20000,"Average",TRUE,"Poor")</f>
        <v>Average</v>
      </c>
      <c r="W905">
        <f t="shared" si="145"/>
        <v>2</v>
      </c>
      <c r="X905" t="str">
        <f t="shared" si="146"/>
        <v>May</v>
      </c>
      <c r="Y905">
        <f>HLOOKUP("Q"&amp;W905,Bonus_HLookup!$A$1:$E$2,2,FALSE)</f>
        <v>0.04</v>
      </c>
      <c r="Z905">
        <f t="shared" si="147"/>
        <v>31829.599999999999</v>
      </c>
      <c r="AA905" s="1">
        <f t="shared" si="148"/>
        <v>25574.11670981134</v>
      </c>
      <c r="AB905">
        <f t="shared" si="149"/>
        <v>395</v>
      </c>
    </row>
    <row r="906" spans="1:28" x14ac:dyDescent="0.3">
      <c r="A906">
        <v>1905</v>
      </c>
      <c r="B906" t="s">
        <v>214</v>
      </c>
      <c r="C906" t="s">
        <v>13</v>
      </c>
      <c r="D906" t="s">
        <v>50</v>
      </c>
      <c r="E906" t="s">
        <v>151</v>
      </c>
      <c r="F906" t="s">
        <v>36</v>
      </c>
      <c r="G906">
        <v>6</v>
      </c>
      <c r="H906">
        <v>55000</v>
      </c>
      <c r="I906">
        <v>8</v>
      </c>
      <c r="J906">
        <v>320110</v>
      </c>
      <c r="K906">
        <v>8</v>
      </c>
      <c r="L906">
        <v>4</v>
      </c>
      <c r="M906" t="str">
        <f>VLOOKUP(Sales_Data!F906,Product_Master!$A$2:$D$11,2)</f>
        <v>Laptop</v>
      </c>
      <c r="N906" t="str">
        <f>VLOOKUP(F906,Product_Master!$A$2:$C$11,3)</f>
        <v>Electronics</v>
      </c>
      <c r="O906">
        <f>VLOOKUP(F906,Product_Master!$A$2:$D$11,4,FALSE)</f>
        <v>45000</v>
      </c>
      <c r="P906">
        <f t="shared" si="140"/>
        <v>330000</v>
      </c>
      <c r="Q906">
        <f t="shared" si="141"/>
        <v>26400</v>
      </c>
      <c r="R906">
        <f t="shared" si="142"/>
        <v>303600</v>
      </c>
      <c r="S906">
        <f t="shared" si="143"/>
        <v>33600</v>
      </c>
      <c r="T906" t="str">
        <f>_xlfn.CONCAT(Sales_Data!C906,"-",Sales_Data!E906,"-",Sales_Data!A906)</f>
        <v>West-C1001-1905</v>
      </c>
      <c r="U906" t="str">
        <f t="shared" si="144"/>
        <v>High Value</v>
      </c>
      <c r="V906" t="str" cm="1">
        <f t="array" ref="V906">_xlfn.IFS(R906&gt;=100000,"Excellent",R906&gt;=50000,"Good",R906&gt;=20000,"Average",TRUE,"Poor")</f>
        <v>Excellent</v>
      </c>
      <c r="W906">
        <f t="shared" si="145"/>
        <v>4</v>
      </c>
      <c r="X906" t="str">
        <f t="shared" si="146"/>
        <v>December</v>
      </c>
      <c r="Y906">
        <f>HLOOKUP("Q"&amp;W906,Bonus_HLookup!$A$1:$E$2,2,FALSE)</f>
        <v>0.08</v>
      </c>
      <c r="Z906">
        <f t="shared" si="147"/>
        <v>102435.2</v>
      </c>
      <c r="AA906" s="1">
        <f t="shared" si="148"/>
        <v>7814.8205707383595</v>
      </c>
      <c r="AB906">
        <f t="shared" si="149"/>
        <v>54</v>
      </c>
    </row>
    <row r="907" spans="1:28" x14ac:dyDescent="0.3">
      <c r="A907">
        <v>1906</v>
      </c>
      <c r="B907" t="s">
        <v>416</v>
      </c>
      <c r="C907" t="s">
        <v>18</v>
      </c>
      <c r="D907" t="s">
        <v>50</v>
      </c>
      <c r="E907" t="s">
        <v>174</v>
      </c>
      <c r="F907" t="s">
        <v>74</v>
      </c>
      <c r="G907">
        <v>2</v>
      </c>
      <c r="H907">
        <v>35000</v>
      </c>
      <c r="I907">
        <v>5</v>
      </c>
      <c r="J907">
        <v>174834</v>
      </c>
      <c r="K907">
        <v>8</v>
      </c>
      <c r="L907">
        <v>1</v>
      </c>
      <c r="M907" t="str">
        <f>VLOOKUP(Sales_Data!F907,Product_Master!$A$2:$D$11,2)</f>
        <v>Tablet</v>
      </c>
      <c r="N907" t="str">
        <f>VLOOKUP(F907,Product_Master!$A$2:$C$11,3)</f>
        <v>Electronics</v>
      </c>
      <c r="O907">
        <f>VLOOKUP(F907,Product_Master!$A$2:$D$11,4,FALSE)</f>
        <v>29000</v>
      </c>
      <c r="P907">
        <f t="shared" si="140"/>
        <v>70000</v>
      </c>
      <c r="Q907">
        <f t="shared" si="141"/>
        <v>3500</v>
      </c>
      <c r="R907">
        <f t="shared" si="142"/>
        <v>66500</v>
      </c>
      <c r="S907">
        <f t="shared" si="143"/>
        <v>8500</v>
      </c>
      <c r="T907" t="str">
        <f>_xlfn.CONCAT(Sales_Data!C907,"-",Sales_Data!E907,"-",Sales_Data!A907)</f>
        <v>North-C1044-1906</v>
      </c>
      <c r="U907" t="str">
        <f t="shared" si="144"/>
        <v>High Value</v>
      </c>
      <c r="V907" t="str" cm="1">
        <f t="array" ref="V907">_xlfn.IFS(R907&gt;=100000,"Excellent",R907&gt;=50000,"Good",R907&gt;=20000,"Average",TRUE,"Poor")</f>
        <v>Good</v>
      </c>
      <c r="W907">
        <f t="shared" si="145"/>
        <v>4</v>
      </c>
      <c r="X907" t="str">
        <f t="shared" si="146"/>
        <v>December</v>
      </c>
      <c r="Y907">
        <f>HLOOKUP("Q"&amp;W907,Bonus_HLookup!$A$1:$E$2,2,FALSE)</f>
        <v>0.08</v>
      </c>
      <c r="Z907">
        <f t="shared" si="147"/>
        <v>13986.72</v>
      </c>
      <c r="AA907" s="1">
        <f t="shared" si="148"/>
        <v>15208.535010720509</v>
      </c>
      <c r="AB907">
        <f t="shared" si="149"/>
        <v>228</v>
      </c>
    </row>
    <row r="908" spans="1:28" x14ac:dyDescent="0.3">
      <c r="A908">
        <v>1907</v>
      </c>
      <c r="B908" t="s">
        <v>286</v>
      </c>
      <c r="C908" t="s">
        <v>62</v>
      </c>
      <c r="D908" t="s">
        <v>19</v>
      </c>
      <c r="E908" t="s">
        <v>196</v>
      </c>
      <c r="F908" t="s">
        <v>16</v>
      </c>
      <c r="G908">
        <v>5</v>
      </c>
      <c r="H908">
        <v>2500</v>
      </c>
      <c r="I908">
        <v>5</v>
      </c>
      <c r="J908">
        <v>50073</v>
      </c>
      <c r="K908">
        <v>9</v>
      </c>
      <c r="L908">
        <v>3</v>
      </c>
      <c r="M908" t="str">
        <f>VLOOKUP(Sales_Data!F908,Product_Master!$A$2:$D$11,2)</f>
        <v>Speaker</v>
      </c>
      <c r="N908" t="str">
        <f>VLOOKUP(F908,Product_Master!$A$2:$C$11,3)</f>
        <v>Accessories</v>
      </c>
      <c r="O908">
        <f>VLOOKUP(F908,Product_Master!$A$2:$D$11,4,FALSE)</f>
        <v>1800</v>
      </c>
      <c r="P908">
        <f t="shared" si="140"/>
        <v>12500</v>
      </c>
      <c r="Q908">
        <f t="shared" si="141"/>
        <v>625</v>
      </c>
      <c r="R908">
        <f t="shared" si="142"/>
        <v>11875</v>
      </c>
      <c r="S908">
        <f t="shared" si="143"/>
        <v>2875</v>
      </c>
      <c r="T908" t="str">
        <f>_xlfn.CONCAT(Sales_Data!C908,"-",Sales_Data!E908,"-",Sales_Data!A908)</f>
        <v>East-C1032-1907</v>
      </c>
      <c r="U908" t="str">
        <f t="shared" si="144"/>
        <v>Regular</v>
      </c>
      <c r="V908" t="str" cm="1">
        <f t="array" ref="V908">_xlfn.IFS(R908&gt;=100000,"Excellent",R908&gt;=50000,"Good",R908&gt;=20000,"Average",TRUE,"Poor")</f>
        <v>Poor</v>
      </c>
      <c r="W908">
        <f t="shared" si="145"/>
        <v>1</v>
      </c>
      <c r="X908" t="str">
        <f t="shared" si="146"/>
        <v>January</v>
      </c>
      <c r="Y908">
        <f>HLOOKUP("Q"&amp;W908,Bonus_HLookup!$A$1:$E$2,2,FALSE)</f>
        <v>0.02</v>
      </c>
      <c r="Z908">
        <f t="shared" si="147"/>
        <v>13519.71</v>
      </c>
      <c r="AA908" s="1">
        <f t="shared" si="148"/>
        <v>1592.3080134812099</v>
      </c>
      <c r="AB908">
        <f t="shared" si="149"/>
        <v>598</v>
      </c>
    </row>
    <row r="909" spans="1:28" x14ac:dyDescent="0.3">
      <c r="A909">
        <v>1908</v>
      </c>
      <c r="B909" t="s">
        <v>195</v>
      </c>
      <c r="C909" t="s">
        <v>18</v>
      </c>
      <c r="D909" t="s">
        <v>14</v>
      </c>
      <c r="E909" t="s">
        <v>44</v>
      </c>
      <c r="F909" t="s">
        <v>25</v>
      </c>
      <c r="G909">
        <v>9</v>
      </c>
      <c r="H909">
        <v>1500</v>
      </c>
      <c r="I909">
        <v>2</v>
      </c>
      <c r="J909">
        <v>84018</v>
      </c>
      <c r="K909">
        <v>12</v>
      </c>
      <c r="L909">
        <v>2</v>
      </c>
      <c r="M909" t="str">
        <f>VLOOKUP(Sales_Data!F909,Product_Master!$A$2:$D$11,2)</f>
        <v>Keyboard</v>
      </c>
      <c r="N909" t="str">
        <f>VLOOKUP(F909,Product_Master!$A$2:$C$11,3)</f>
        <v>Accessories</v>
      </c>
      <c r="O909">
        <f>VLOOKUP(F909,Product_Master!$A$2:$D$11,4,FALSE)</f>
        <v>1200</v>
      </c>
      <c r="P909">
        <f t="shared" si="140"/>
        <v>13500</v>
      </c>
      <c r="Q909">
        <f t="shared" si="141"/>
        <v>270</v>
      </c>
      <c r="R909">
        <f t="shared" si="142"/>
        <v>13230</v>
      </c>
      <c r="S909">
        <f t="shared" si="143"/>
        <v>2430</v>
      </c>
      <c r="T909" t="str">
        <f>_xlfn.CONCAT(Sales_Data!C909,"-",Sales_Data!E909,"-",Sales_Data!A909)</f>
        <v>North-C1028-1908</v>
      </c>
      <c r="U909" t="str">
        <f t="shared" si="144"/>
        <v>Regular</v>
      </c>
      <c r="V909" t="str" cm="1">
        <f t="array" ref="V909">_xlfn.IFS(R909&gt;=100000,"Excellent",R909&gt;=50000,"Good",R909&gt;=20000,"Average",TRUE,"Poor")</f>
        <v>Poor</v>
      </c>
      <c r="W909">
        <f t="shared" si="145"/>
        <v>2</v>
      </c>
      <c r="X909" t="str">
        <f t="shared" si="146"/>
        <v>April</v>
      </c>
      <c r="Y909">
        <f>HLOOKUP("Q"&amp;W909,Bonus_HLookup!$A$1:$E$2,2,FALSE)</f>
        <v>0.04</v>
      </c>
      <c r="Z909">
        <f t="shared" si="147"/>
        <v>20164.32</v>
      </c>
      <c r="AA909" s="1">
        <f t="shared" si="148"/>
        <v>3955.0189892542539</v>
      </c>
      <c r="AB909">
        <f t="shared" si="149"/>
        <v>563</v>
      </c>
    </row>
    <row r="910" spans="1:28" x14ac:dyDescent="0.3">
      <c r="A910">
        <v>1909</v>
      </c>
      <c r="B910" t="s">
        <v>361</v>
      </c>
      <c r="C910" t="s">
        <v>18</v>
      </c>
      <c r="D910" t="s">
        <v>19</v>
      </c>
      <c r="E910" t="s">
        <v>122</v>
      </c>
      <c r="F910" t="s">
        <v>28</v>
      </c>
      <c r="G910">
        <v>10</v>
      </c>
      <c r="H910">
        <v>950</v>
      </c>
      <c r="I910">
        <v>5</v>
      </c>
      <c r="J910">
        <v>72885</v>
      </c>
      <c r="K910">
        <v>8</v>
      </c>
      <c r="L910">
        <v>5</v>
      </c>
      <c r="M910" t="str">
        <f>VLOOKUP(Sales_Data!F910,Product_Master!$A$2:$D$11,2)</f>
        <v>Webcam</v>
      </c>
      <c r="N910" t="str">
        <f>VLOOKUP(F910,Product_Master!$A$2:$C$11,3)</f>
        <v>Accessories</v>
      </c>
      <c r="O910">
        <f>VLOOKUP(F910,Product_Master!$A$2:$D$11,4,FALSE)</f>
        <v>700</v>
      </c>
      <c r="P910">
        <f t="shared" si="140"/>
        <v>9500</v>
      </c>
      <c r="Q910">
        <f t="shared" si="141"/>
        <v>475</v>
      </c>
      <c r="R910">
        <f t="shared" si="142"/>
        <v>9025</v>
      </c>
      <c r="S910">
        <f t="shared" si="143"/>
        <v>2025</v>
      </c>
      <c r="T910" t="str">
        <f>_xlfn.CONCAT(Sales_Data!C910,"-",Sales_Data!E910,"-",Sales_Data!A910)</f>
        <v>North-C1046-1909</v>
      </c>
      <c r="U910" t="str">
        <f t="shared" si="144"/>
        <v>Regular</v>
      </c>
      <c r="V910" t="str" cm="1">
        <f t="array" ref="V910">_xlfn.IFS(R910&gt;=100000,"Excellent",R910&gt;=50000,"Good",R910&gt;=20000,"Average",TRUE,"Poor")</f>
        <v>Poor</v>
      </c>
      <c r="W910">
        <f t="shared" si="145"/>
        <v>3</v>
      </c>
      <c r="X910" t="str">
        <f t="shared" si="146"/>
        <v>August</v>
      </c>
      <c r="Y910">
        <f>HLOOKUP("Q"&amp;W910,Bonus_HLookup!$A$1:$E$2,2,FALSE)</f>
        <v>0.06</v>
      </c>
      <c r="Z910">
        <f t="shared" si="147"/>
        <v>29154</v>
      </c>
      <c r="AA910" s="1">
        <f t="shared" si="148"/>
        <v>1477.8449977110313</v>
      </c>
      <c r="AB910">
        <f t="shared" si="149"/>
        <v>661</v>
      </c>
    </row>
    <row r="911" spans="1:28" x14ac:dyDescent="0.3">
      <c r="A911">
        <v>1910</v>
      </c>
      <c r="B911" t="s">
        <v>64</v>
      </c>
      <c r="C911" t="s">
        <v>30</v>
      </c>
      <c r="D911" t="s">
        <v>23</v>
      </c>
      <c r="E911" t="s">
        <v>94</v>
      </c>
      <c r="F911" t="s">
        <v>39</v>
      </c>
      <c r="G911">
        <v>9</v>
      </c>
      <c r="H911">
        <v>7000</v>
      </c>
      <c r="I911">
        <v>10</v>
      </c>
      <c r="J911">
        <v>292936</v>
      </c>
      <c r="K911">
        <v>10</v>
      </c>
      <c r="L911">
        <v>5</v>
      </c>
      <c r="M911" t="str">
        <f>VLOOKUP(Sales_Data!F911,Product_Master!$A$2:$D$11,2)</f>
        <v>Router</v>
      </c>
      <c r="N911" t="str">
        <f>VLOOKUP(F911,Product_Master!$A$2:$C$11,3)</f>
        <v>Electronics</v>
      </c>
      <c r="O911">
        <f>VLOOKUP(F911,Product_Master!$A$2:$D$11,4,FALSE)</f>
        <v>5000</v>
      </c>
      <c r="P911">
        <f t="shared" si="140"/>
        <v>63000</v>
      </c>
      <c r="Q911">
        <f t="shared" si="141"/>
        <v>6300</v>
      </c>
      <c r="R911">
        <f t="shared" si="142"/>
        <v>56700</v>
      </c>
      <c r="S911">
        <f t="shared" si="143"/>
        <v>11700</v>
      </c>
      <c r="T911" t="str">
        <f>_xlfn.CONCAT(Sales_Data!C911,"-",Sales_Data!E911,"-",Sales_Data!A911)</f>
        <v>South-C1027-1910</v>
      </c>
      <c r="U911" t="str">
        <f t="shared" si="144"/>
        <v>High Value</v>
      </c>
      <c r="V911" t="str" cm="1">
        <f t="array" ref="V911">_xlfn.IFS(R911&gt;=100000,"Excellent",R911&gt;=50000,"Good",R911&gt;=20000,"Average",TRUE,"Poor")</f>
        <v>Good</v>
      </c>
      <c r="W911">
        <f t="shared" si="145"/>
        <v>2</v>
      </c>
      <c r="X911" t="str">
        <f t="shared" si="146"/>
        <v>April</v>
      </c>
      <c r="Y911">
        <f>HLOOKUP("Q"&amp;W911,Bonus_HLookup!$A$1:$E$2,2,FALSE)</f>
        <v>0.04</v>
      </c>
      <c r="Z911">
        <f t="shared" si="147"/>
        <v>146468</v>
      </c>
      <c r="AA911" s="1">
        <f t="shared" si="148"/>
        <v>6224.0242895400843</v>
      </c>
      <c r="AB911">
        <f t="shared" si="149"/>
        <v>263</v>
      </c>
    </row>
    <row r="912" spans="1:28" x14ac:dyDescent="0.3">
      <c r="A912">
        <v>1911</v>
      </c>
      <c r="B912" t="s">
        <v>35</v>
      </c>
      <c r="C912" t="s">
        <v>30</v>
      </c>
      <c r="D912" t="s">
        <v>14</v>
      </c>
      <c r="E912" t="s">
        <v>94</v>
      </c>
      <c r="F912" t="s">
        <v>28</v>
      </c>
      <c r="G912">
        <v>3</v>
      </c>
      <c r="H912">
        <v>950</v>
      </c>
      <c r="I912">
        <v>5</v>
      </c>
      <c r="J912">
        <v>190824</v>
      </c>
      <c r="K912">
        <v>11</v>
      </c>
      <c r="L912">
        <v>3</v>
      </c>
      <c r="M912" t="str">
        <f>VLOOKUP(Sales_Data!F912,Product_Master!$A$2:$D$11,2)</f>
        <v>Webcam</v>
      </c>
      <c r="N912" t="str">
        <f>VLOOKUP(F912,Product_Master!$A$2:$C$11,3)</f>
        <v>Accessories</v>
      </c>
      <c r="O912">
        <f>VLOOKUP(F912,Product_Master!$A$2:$D$11,4,FALSE)</f>
        <v>700</v>
      </c>
      <c r="P912">
        <f t="shared" si="140"/>
        <v>2850</v>
      </c>
      <c r="Q912">
        <f t="shared" si="141"/>
        <v>142.5</v>
      </c>
      <c r="R912">
        <f t="shared" si="142"/>
        <v>2707.5</v>
      </c>
      <c r="S912">
        <f t="shared" si="143"/>
        <v>607.5</v>
      </c>
      <c r="T912" t="str">
        <f>_xlfn.CONCAT(Sales_Data!C912,"-",Sales_Data!E912,"-",Sales_Data!A912)</f>
        <v>South-C1027-1911</v>
      </c>
      <c r="U912" t="str">
        <f t="shared" si="144"/>
        <v>Regular</v>
      </c>
      <c r="V912" t="str" cm="1">
        <f t="array" ref="V912">_xlfn.IFS(R912&gt;=100000,"Excellent",R912&gt;=50000,"Good",R912&gt;=20000,"Average",TRUE,"Poor")</f>
        <v>Poor</v>
      </c>
      <c r="W912">
        <f t="shared" si="145"/>
        <v>3</v>
      </c>
      <c r="X912" t="str">
        <f t="shared" si="146"/>
        <v>September</v>
      </c>
      <c r="Y912">
        <f>HLOOKUP("Q"&amp;W912,Bonus_HLookup!$A$1:$E$2,2,FALSE)</f>
        <v>0.06</v>
      </c>
      <c r="Z912">
        <f t="shared" si="147"/>
        <v>62971.92</v>
      </c>
      <c r="AA912" s="1">
        <f t="shared" si="148"/>
        <v>6247.3329551347979</v>
      </c>
      <c r="AB912">
        <f t="shared" si="149"/>
        <v>896</v>
      </c>
    </row>
    <row r="913" spans="1:28" x14ac:dyDescent="0.3">
      <c r="A913">
        <v>1912</v>
      </c>
      <c r="B913" t="s">
        <v>228</v>
      </c>
      <c r="C913" t="s">
        <v>30</v>
      </c>
      <c r="D913" t="s">
        <v>91</v>
      </c>
      <c r="E913" t="s">
        <v>44</v>
      </c>
      <c r="F913" t="s">
        <v>21</v>
      </c>
      <c r="G913">
        <v>8</v>
      </c>
      <c r="H913">
        <v>12000</v>
      </c>
      <c r="I913">
        <v>5</v>
      </c>
      <c r="J913">
        <v>444035</v>
      </c>
      <c r="K913">
        <v>7</v>
      </c>
      <c r="L913">
        <v>2</v>
      </c>
      <c r="M913" t="str">
        <f>VLOOKUP(Sales_Data!F913,Product_Master!$A$2:$D$11,2)</f>
        <v>Monitor</v>
      </c>
      <c r="N913" t="str">
        <f>VLOOKUP(F913,Product_Master!$A$2:$C$11,3)</f>
        <v>Electronics</v>
      </c>
      <c r="O913">
        <f>VLOOKUP(F913,Product_Master!$A$2:$D$11,4,FALSE)</f>
        <v>9000</v>
      </c>
      <c r="P913">
        <f t="shared" si="140"/>
        <v>96000</v>
      </c>
      <c r="Q913">
        <f t="shared" si="141"/>
        <v>4800</v>
      </c>
      <c r="R913">
        <f t="shared" si="142"/>
        <v>91200</v>
      </c>
      <c r="S913">
        <f t="shared" si="143"/>
        <v>19200</v>
      </c>
      <c r="T913" t="str">
        <f>_xlfn.CONCAT(Sales_Data!C913,"-",Sales_Data!E913,"-",Sales_Data!A913)</f>
        <v>South-C1028-1912</v>
      </c>
      <c r="U913" t="str">
        <f t="shared" si="144"/>
        <v>High Value</v>
      </c>
      <c r="V913" t="str" cm="1">
        <f t="array" ref="V913">_xlfn.IFS(R913&gt;=100000,"Excellent",R913&gt;=50000,"Good",R913&gt;=20000,"Average",TRUE,"Poor")</f>
        <v>Good</v>
      </c>
      <c r="W913">
        <f t="shared" si="145"/>
        <v>3</v>
      </c>
      <c r="X913" t="str">
        <f t="shared" si="146"/>
        <v>August</v>
      </c>
      <c r="Y913">
        <f>HLOOKUP("Q"&amp;W913,Bonus_HLookup!$A$1:$E$2,2,FALSE)</f>
        <v>0.06</v>
      </c>
      <c r="Z913">
        <f t="shared" si="147"/>
        <v>62164.9</v>
      </c>
      <c r="AA913" s="1">
        <f t="shared" si="148"/>
        <v>19880.592162065175</v>
      </c>
      <c r="AB913">
        <f t="shared" si="149"/>
        <v>184</v>
      </c>
    </row>
    <row r="914" spans="1:28" x14ac:dyDescent="0.3">
      <c r="A914">
        <v>1913</v>
      </c>
      <c r="B914" t="s">
        <v>159</v>
      </c>
      <c r="C914" t="s">
        <v>13</v>
      </c>
      <c r="D914" t="s">
        <v>59</v>
      </c>
      <c r="E914" t="s">
        <v>44</v>
      </c>
      <c r="F914" t="s">
        <v>42</v>
      </c>
      <c r="G914">
        <v>6</v>
      </c>
      <c r="H914">
        <v>8000</v>
      </c>
      <c r="I914">
        <v>12</v>
      </c>
      <c r="J914">
        <v>255809</v>
      </c>
      <c r="K914">
        <v>12</v>
      </c>
      <c r="L914">
        <v>3</v>
      </c>
      <c r="M914" t="str">
        <f>VLOOKUP(Sales_Data!F914,Product_Master!$A$2:$D$11,2)</f>
        <v>Printer</v>
      </c>
      <c r="N914" t="str">
        <f>VLOOKUP(F914,Product_Master!$A$2:$C$11,3)</f>
        <v>Electronics</v>
      </c>
      <c r="O914">
        <f>VLOOKUP(F914,Product_Master!$A$2:$D$11,4,FALSE)</f>
        <v>6500</v>
      </c>
      <c r="P914">
        <f t="shared" si="140"/>
        <v>48000</v>
      </c>
      <c r="Q914">
        <f t="shared" si="141"/>
        <v>5760</v>
      </c>
      <c r="R914">
        <f t="shared" si="142"/>
        <v>42240</v>
      </c>
      <c r="S914">
        <f t="shared" si="143"/>
        <v>3240</v>
      </c>
      <c r="T914" t="str">
        <f>_xlfn.CONCAT(Sales_Data!C914,"-",Sales_Data!E914,"-",Sales_Data!A914)</f>
        <v>West-C1028-1913</v>
      </c>
      <c r="U914" t="str">
        <f t="shared" si="144"/>
        <v>Regular</v>
      </c>
      <c r="V914" t="str" cm="1">
        <f t="array" ref="V914">_xlfn.IFS(R914&gt;=100000,"Excellent",R914&gt;=50000,"Good",R914&gt;=20000,"Average",TRUE,"Poor")</f>
        <v>Average</v>
      </c>
      <c r="W914">
        <f t="shared" si="145"/>
        <v>1</v>
      </c>
      <c r="X914" t="str">
        <f t="shared" si="146"/>
        <v>March</v>
      </c>
      <c r="Y914">
        <f>HLOOKUP("Q"&amp;W914,Bonus_HLookup!$A$1:$E$2,2,FALSE)</f>
        <v>0.02</v>
      </c>
      <c r="Z914">
        <f t="shared" si="147"/>
        <v>92091.24</v>
      </c>
      <c r="AA914" s="1">
        <f t="shared" si="148"/>
        <v>8496.519378915651</v>
      </c>
      <c r="AB914">
        <f t="shared" si="149"/>
        <v>328</v>
      </c>
    </row>
    <row r="915" spans="1:28" x14ac:dyDescent="0.3">
      <c r="A915">
        <v>1914</v>
      </c>
      <c r="B915" t="s">
        <v>417</v>
      </c>
      <c r="C915" t="s">
        <v>13</v>
      </c>
      <c r="D915" t="s">
        <v>59</v>
      </c>
      <c r="E915" t="s">
        <v>187</v>
      </c>
      <c r="F915" t="s">
        <v>39</v>
      </c>
      <c r="G915">
        <v>10</v>
      </c>
      <c r="H915">
        <v>7000</v>
      </c>
      <c r="I915">
        <v>10</v>
      </c>
      <c r="J915">
        <v>188995</v>
      </c>
      <c r="K915">
        <v>8</v>
      </c>
      <c r="L915">
        <v>1</v>
      </c>
      <c r="M915" t="str">
        <f>VLOOKUP(Sales_Data!F915,Product_Master!$A$2:$D$11,2)</f>
        <v>Router</v>
      </c>
      <c r="N915" t="str">
        <f>VLOOKUP(F915,Product_Master!$A$2:$C$11,3)</f>
        <v>Electronics</v>
      </c>
      <c r="O915">
        <f>VLOOKUP(F915,Product_Master!$A$2:$D$11,4,FALSE)</f>
        <v>5000</v>
      </c>
      <c r="P915">
        <f t="shared" si="140"/>
        <v>70000</v>
      </c>
      <c r="Q915">
        <f t="shared" si="141"/>
        <v>7000</v>
      </c>
      <c r="R915">
        <f t="shared" si="142"/>
        <v>63000</v>
      </c>
      <c r="S915">
        <f t="shared" si="143"/>
        <v>13000</v>
      </c>
      <c r="T915" t="str">
        <f>_xlfn.CONCAT(Sales_Data!C915,"-",Sales_Data!E915,"-",Sales_Data!A915)</f>
        <v>West-C1041-1914</v>
      </c>
      <c r="U915" t="str">
        <f t="shared" si="144"/>
        <v>High Value</v>
      </c>
      <c r="V915" t="str" cm="1">
        <f t="array" ref="V915">_xlfn.IFS(R915&gt;=100000,"Excellent",R915&gt;=50000,"Good",R915&gt;=20000,"Average",TRUE,"Poor")</f>
        <v>Good</v>
      </c>
      <c r="W915">
        <f t="shared" si="145"/>
        <v>1</v>
      </c>
      <c r="X915" t="str">
        <f t="shared" si="146"/>
        <v>January</v>
      </c>
      <c r="Y915">
        <f>HLOOKUP("Q"&amp;W915,Bonus_HLookup!$A$1:$E$2,2,FALSE)</f>
        <v>0.02</v>
      </c>
      <c r="Z915">
        <f t="shared" si="147"/>
        <v>15119.6</v>
      </c>
      <c r="AA915" s="1">
        <f t="shared" si="148"/>
        <v>16440.378154999155</v>
      </c>
      <c r="AB915">
        <f t="shared" si="149"/>
        <v>245</v>
      </c>
    </row>
    <row r="916" spans="1:28" x14ac:dyDescent="0.3">
      <c r="A916">
        <v>1915</v>
      </c>
      <c r="B916" t="s">
        <v>321</v>
      </c>
      <c r="C916" t="s">
        <v>18</v>
      </c>
      <c r="D916" t="s">
        <v>50</v>
      </c>
      <c r="E916" t="s">
        <v>27</v>
      </c>
      <c r="F916" t="s">
        <v>16</v>
      </c>
      <c r="G916">
        <v>4</v>
      </c>
      <c r="H916">
        <v>2500</v>
      </c>
      <c r="I916">
        <v>2</v>
      </c>
      <c r="J916">
        <v>257085</v>
      </c>
      <c r="K916">
        <v>10</v>
      </c>
      <c r="L916">
        <v>4</v>
      </c>
      <c r="M916" t="str">
        <f>VLOOKUP(Sales_Data!F916,Product_Master!$A$2:$D$11,2)</f>
        <v>Speaker</v>
      </c>
      <c r="N916" t="str">
        <f>VLOOKUP(F916,Product_Master!$A$2:$C$11,3)</f>
        <v>Accessories</v>
      </c>
      <c r="O916">
        <f>VLOOKUP(F916,Product_Master!$A$2:$D$11,4,FALSE)</f>
        <v>1800</v>
      </c>
      <c r="P916">
        <f t="shared" si="140"/>
        <v>10000</v>
      </c>
      <c r="Q916">
        <f t="shared" si="141"/>
        <v>200</v>
      </c>
      <c r="R916">
        <f t="shared" si="142"/>
        <v>9800</v>
      </c>
      <c r="S916">
        <f t="shared" si="143"/>
        <v>2600</v>
      </c>
      <c r="T916" t="str">
        <f>_xlfn.CONCAT(Sales_Data!C916,"-",Sales_Data!E916,"-",Sales_Data!A916)</f>
        <v>North-C1007-1915</v>
      </c>
      <c r="U916" t="str">
        <f t="shared" si="144"/>
        <v>Regular</v>
      </c>
      <c r="V916" t="str" cm="1">
        <f t="array" ref="V916">_xlfn.IFS(R916&gt;=100000,"Excellent",R916&gt;=50000,"Good",R916&gt;=20000,"Average",TRUE,"Poor")</f>
        <v>Poor</v>
      </c>
      <c r="W916">
        <f t="shared" si="145"/>
        <v>2</v>
      </c>
      <c r="X916" t="str">
        <f t="shared" si="146"/>
        <v>May</v>
      </c>
      <c r="Y916">
        <f>HLOOKUP("Q"&amp;W916,Bonus_HLookup!$A$1:$E$2,2,FALSE)</f>
        <v>0.04</v>
      </c>
      <c r="Z916">
        <f t="shared" si="147"/>
        <v>102834</v>
      </c>
      <c r="AA916" s="1">
        <f t="shared" si="148"/>
        <v>6520.3397623219807</v>
      </c>
      <c r="AB916">
        <f t="shared" si="149"/>
        <v>645</v>
      </c>
    </row>
    <row r="917" spans="1:28" x14ac:dyDescent="0.3">
      <c r="A917">
        <v>1916</v>
      </c>
      <c r="B917" t="s">
        <v>240</v>
      </c>
      <c r="C917" t="s">
        <v>18</v>
      </c>
      <c r="D917" t="s">
        <v>19</v>
      </c>
      <c r="E917" t="s">
        <v>99</v>
      </c>
      <c r="F917" t="s">
        <v>69</v>
      </c>
      <c r="G917">
        <v>7</v>
      </c>
      <c r="H917">
        <v>2000</v>
      </c>
      <c r="I917">
        <v>2</v>
      </c>
      <c r="J917">
        <v>359511</v>
      </c>
      <c r="K917">
        <v>9</v>
      </c>
      <c r="L917">
        <v>1</v>
      </c>
      <c r="M917" t="str">
        <f>VLOOKUP(Sales_Data!F917,Product_Master!$A$2:$D$11,2)</f>
        <v>Headset</v>
      </c>
      <c r="N917" t="str">
        <f>VLOOKUP(F917,Product_Master!$A$2:$C$11,3)</f>
        <v>Accessories</v>
      </c>
      <c r="O917">
        <f>VLOOKUP(F917,Product_Master!$A$2:$D$11,4,FALSE)</f>
        <v>1500</v>
      </c>
      <c r="P917">
        <f t="shared" si="140"/>
        <v>14000</v>
      </c>
      <c r="Q917">
        <f t="shared" si="141"/>
        <v>280</v>
      </c>
      <c r="R917">
        <f t="shared" si="142"/>
        <v>13720</v>
      </c>
      <c r="S917">
        <f t="shared" si="143"/>
        <v>3220</v>
      </c>
      <c r="T917" t="str">
        <f>_xlfn.CONCAT(Sales_Data!C917,"-",Sales_Data!E917,"-",Sales_Data!A917)</f>
        <v>North-C1050-1916</v>
      </c>
      <c r="U917" t="str">
        <f t="shared" si="144"/>
        <v>Regular</v>
      </c>
      <c r="V917" t="str" cm="1">
        <f t="array" ref="V917">_xlfn.IFS(R917&gt;=100000,"Excellent",R917&gt;=50000,"Good",R917&gt;=20000,"Average",TRUE,"Poor")</f>
        <v>Poor</v>
      </c>
      <c r="W917">
        <f t="shared" si="145"/>
        <v>3</v>
      </c>
      <c r="X917" t="str">
        <f t="shared" si="146"/>
        <v>July</v>
      </c>
      <c r="Y917">
        <f>HLOOKUP("Q"&amp;W917,Bonus_HLookup!$A$1:$E$2,2,FALSE)</f>
        <v>0.06</v>
      </c>
      <c r="Z917">
        <f t="shared" si="147"/>
        <v>32355.99</v>
      </c>
      <c r="AA917" s="1">
        <f t="shared" si="148"/>
        <v>31439.767865031223</v>
      </c>
      <c r="AB917">
        <f t="shared" si="149"/>
        <v>549</v>
      </c>
    </row>
    <row r="918" spans="1:28" x14ac:dyDescent="0.3">
      <c r="A918">
        <v>1917</v>
      </c>
      <c r="B918" t="s">
        <v>354</v>
      </c>
      <c r="C918" t="s">
        <v>18</v>
      </c>
      <c r="D918" t="s">
        <v>23</v>
      </c>
      <c r="E918" t="s">
        <v>44</v>
      </c>
      <c r="F918" t="s">
        <v>69</v>
      </c>
      <c r="G918">
        <v>1</v>
      </c>
      <c r="H918">
        <v>2000</v>
      </c>
      <c r="I918">
        <v>2</v>
      </c>
      <c r="J918">
        <v>283827</v>
      </c>
      <c r="K918">
        <v>9</v>
      </c>
      <c r="L918">
        <v>2</v>
      </c>
      <c r="M918" t="str">
        <f>VLOOKUP(Sales_Data!F918,Product_Master!$A$2:$D$11,2)</f>
        <v>Headset</v>
      </c>
      <c r="N918" t="str">
        <f>VLOOKUP(F918,Product_Master!$A$2:$C$11,3)</f>
        <v>Accessories</v>
      </c>
      <c r="O918">
        <f>VLOOKUP(F918,Product_Master!$A$2:$D$11,4,FALSE)</f>
        <v>1500</v>
      </c>
      <c r="P918">
        <f t="shared" si="140"/>
        <v>2000</v>
      </c>
      <c r="Q918">
        <f t="shared" si="141"/>
        <v>40</v>
      </c>
      <c r="R918">
        <f t="shared" si="142"/>
        <v>1960</v>
      </c>
      <c r="S918">
        <f t="shared" si="143"/>
        <v>460</v>
      </c>
      <c r="T918" t="str">
        <f>_xlfn.CONCAT(Sales_Data!C918,"-",Sales_Data!E918,"-",Sales_Data!A918)</f>
        <v>North-C1028-1917</v>
      </c>
      <c r="U918" t="str">
        <f t="shared" si="144"/>
        <v>Regular</v>
      </c>
      <c r="V918" t="str" cm="1">
        <f t="array" ref="V918">_xlfn.IFS(R918&gt;=100000,"Excellent",R918&gt;=50000,"Good",R918&gt;=20000,"Average",TRUE,"Poor")</f>
        <v>Poor</v>
      </c>
      <c r="W918">
        <f t="shared" si="145"/>
        <v>2</v>
      </c>
      <c r="X918" t="str">
        <f t="shared" si="146"/>
        <v>June</v>
      </c>
      <c r="Y918">
        <f>HLOOKUP("Q"&amp;W918,Bonus_HLookup!$A$1:$E$2,2,FALSE)</f>
        <v>0.04</v>
      </c>
      <c r="Z918">
        <f t="shared" si="147"/>
        <v>51088.86</v>
      </c>
      <c r="AA918" s="1">
        <f t="shared" si="148"/>
        <v>12966.563346870862</v>
      </c>
      <c r="AB918">
        <f t="shared" si="149"/>
        <v>932</v>
      </c>
    </row>
    <row r="919" spans="1:28" x14ac:dyDescent="0.3">
      <c r="A919">
        <v>1918</v>
      </c>
      <c r="B919" t="s">
        <v>161</v>
      </c>
      <c r="C919" t="s">
        <v>18</v>
      </c>
      <c r="D919" t="s">
        <v>33</v>
      </c>
      <c r="E919" t="s">
        <v>94</v>
      </c>
      <c r="F919" t="s">
        <v>39</v>
      </c>
      <c r="G919">
        <v>9</v>
      </c>
      <c r="H919">
        <v>7000</v>
      </c>
      <c r="I919">
        <v>12</v>
      </c>
      <c r="J919">
        <v>127258</v>
      </c>
      <c r="K919">
        <v>9</v>
      </c>
      <c r="L919">
        <v>3</v>
      </c>
      <c r="M919" t="str">
        <f>VLOOKUP(Sales_Data!F919,Product_Master!$A$2:$D$11,2)</f>
        <v>Router</v>
      </c>
      <c r="N919" t="str">
        <f>VLOOKUP(F919,Product_Master!$A$2:$C$11,3)</f>
        <v>Electronics</v>
      </c>
      <c r="O919">
        <f>VLOOKUP(F919,Product_Master!$A$2:$D$11,4,FALSE)</f>
        <v>5000</v>
      </c>
      <c r="P919">
        <f t="shared" si="140"/>
        <v>63000</v>
      </c>
      <c r="Q919">
        <f t="shared" si="141"/>
        <v>7560</v>
      </c>
      <c r="R919">
        <f t="shared" si="142"/>
        <v>55440</v>
      </c>
      <c r="S919">
        <f t="shared" si="143"/>
        <v>10440</v>
      </c>
      <c r="T919" t="str">
        <f>_xlfn.CONCAT(Sales_Data!C919,"-",Sales_Data!E919,"-",Sales_Data!A919)</f>
        <v>North-C1027-1918</v>
      </c>
      <c r="U919" t="str">
        <f t="shared" si="144"/>
        <v>High Value</v>
      </c>
      <c r="V919" t="str" cm="1">
        <f t="array" ref="V919">_xlfn.IFS(R919&gt;=100000,"Excellent",R919&gt;=50000,"Good",R919&gt;=20000,"Average",TRUE,"Poor")</f>
        <v>Good</v>
      </c>
      <c r="W919">
        <f t="shared" si="145"/>
        <v>3</v>
      </c>
      <c r="X919" t="str">
        <f t="shared" si="146"/>
        <v>July</v>
      </c>
      <c r="Y919">
        <f>HLOOKUP("Q"&amp;W919,Bonus_HLookup!$A$1:$E$2,2,FALSE)</f>
        <v>0.06</v>
      </c>
      <c r="Z919">
        <f t="shared" si="147"/>
        <v>34359.660000000003</v>
      </c>
      <c r="AA919" s="1">
        <f t="shared" si="148"/>
        <v>4046.7703788387316</v>
      </c>
      <c r="AB919">
        <f t="shared" si="149"/>
        <v>267</v>
      </c>
    </row>
    <row r="920" spans="1:28" x14ac:dyDescent="0.3">
      <c r="A920">
        <v>1919</v>
      </c>
      <c r="B920" t="s">
        <v>166</v>
      </c>
      <c r="C920" t="s">
        <v>62</v>
      </c>
      <c r="D920" t="s">
        <v>33</v>
      </c>
      <c r="E920" t="s">
        <v>57</v>
      </c>
      <c r="F920" t="s">
        <v>39</v>
      </c>
      <c r="G920">
        <v>5</v>
      </c>
      <c r="H920">
        <v>7000</v>
      </c>
      <c r="I920">
        <v>5</v>
      </c>
      <c r="J920">
        <v>437377</v>
      </c>
      <c r="K920">
        <v>11</v>
      </c>
      <c r="L920">
        <v>4</v>
      </c>
      <c r="M920" t="str">
        <f>VLOOKUP(Sales_Data!F920,Product_Master!$A$2:$D$11,2)</f>
        <v>Router</v>
      </c>
      <c r="N920" t="str">
        <f>VLOOKUP(F920,Product_Master!$A$2:$C$11,3)</f>
        <v>Electronics</v>
      </c>
      <c r="O920">
        <f>VLOOKUP(F920,Product_Master!$A$2:$D$11,4,FALSE)</f>
        <v>5000</v>
      </c>
      <c r="P920">
        <f t="shared" si="140"/>
        <v>35000</v>
      </c>
      <c r="Q920">
        <f t="shared" si="141"/>
        <v>1750</v>
      </c>
      <c r="R920">
        <f t="shared" si="142"/>
        <v>33250</v>
      </c>
      <c r="S920">
        <f t="shared" si="143"/>
        <v>8250</v>
      </c>
      <c r="T920" t="str">
        <f>_xlfn.CONCAT(Sales_Data!C920,"-",Sales_Data!E920,"-",Sales_Data!A920)</f>
        <v>East-C1012-1919</v>
      </c>
      <c r="U920" t="str">
        <f t="shared" si="144"/>
        <v>Regular</v>
      </c>
      <c r="V920" t="str" cm="1">
        <f t="array" ref="V920">_xlfn.IFS(R920&gt;=100000,"Excellent",R920&gt;=50000,"Good",R920&gt;=20000,"Average",TRUE,"Poor")</f>
        <v>Average</v>
      </c>
      <c r="W920">
        <f t="shared" si="145"/>
        <v>4</v>
      </c>
      <c r="X920" t="str">
        <f t="shared" si="146"/>
        <v>December</v>
      </c>
      <c r="Y920">
        <f>HLOOKUP("Q"&amp;W920,Bonus_HLookup!$A$1:$E$2,2,FALSE)</f>
        <v>0.08</v>
      </c>
      <c r="Z920">
        <f t="shared" si="147"/>
        <v>192445.88</v>
      </c>
      <c r="AA920" s="1">
        <f t="shared" si="148"/>
        <v>11304.237143229398</v>
      </c>
      <c r="AB920">
        <f t="shared" si="149"/>
        <v>357</v>
      </c>
    </row>
    <row r="921" spans="1:28" x14ac:dyDescent="0.3">
      <c r="A921">
        <v>1920</v>
      </c>
      <c r="B921" t="s">
        <v>49</v>
      </c>
      <c r="C921" t="s">
        <v>62</v>
      </c>
      <c r="D921" t="s">
        <v>50</v>
      </c>
      <c r="E921" t="s">
        <v>71</v>
      </c>
      <c r="F921" t="s">
        <v>16</v>
      </c>
      <c r="G921">
        <v>1</v>
      </c>
      <c r="H921">
        <v>2500</v>
      </c>
      <c r="I921">
        <v>8</v>
      </c>
      <c r="J921">
        <v>366778</v>
      </c>
      <c r="K921">
        <v>7</v>
      </c>
      <c r="L921">
        <v>3</v>
      </c>
      <c r="M921" t="str">
        <f>VLOOKUP(Sales_Data!F921,Product_Master!$A$2:$D$11,2)</f>
        <v>Speaker</v>
      </c>
      <c r="N921" t="str">
        <f>VLOOKUP(F921,Product_Master!$A$2:$C$11,3)</f>
        <v>Accessories</v>
      </c>
      <c r="O921">
        <f>VLOOKUP(F921,Product_Master!$A$2:$D$11,4,FALSE)</f>
        <v>1800</v>
      </c>
      <c r="P921">
        <f t="shared" si="140"/>
        <v>2500</v>
      </c>
      <c r="Q921">
        <f t="shared" si="141"/>
        <v>200</v>
      </c>
      <c r="R921">
        <f t="shared" si="142"/>
        <v>2300</v>
      </c>
      <c r="S921">
        <f t="shared" si="143"/>
        <v>500</v>
      </c>
      <c r="T921" t="str">
        <f>_xlfn.CONCAT(Sales_Data!C921,"-",Sales_Data!E921,"-",Sales_Data!A921)</f>
        <v>East-C1019-1920</v>
      </c>
      <c r="U921" t="str">
        <f t="shared" si="144"/>
        <v>Regular</v>
      </c>
      <c r="V921" t="str" cm="1">
        <f t="array" ref="V921">_xlfn.IFS(R921&gt;=100000,"Excellent",R921&gt;=50000,"Good",R921&gt;=20000,"Average",TRUE,"Poor")</f>
        <v>Poor</v>
      </c>
      <c r="W921">
        <f t="shared" si="145"/>
        <v>4</v>
      </c>
      <c r="X921" t="str">
        <f t="shared" si="146"/>
        <v>November</v>
      </c>
      <c r="Y921">
        <f>HLOOKUP("Q"&amp;W921,Bonus_HLookup!$A$1:$E$2,2,FALSE)</f>
        <v>0.08</v>
      </c>
      <c r="Z921">
        <f t="shared" si="147"/>
        <v>77023.38</v>
      </c>
      <c r="AA921" s="1">
        <f t="shared" si="148"/>
        <v>11325.039834087391</v>
      </c>
      <c r="AB921">
        <f t="shared" si="149"/>
        <v>917</v>
      </c>
    </row>
    <row r="922" spans="1:28" x14ac:dyDescent="0.3">
      <c r="A922">
        <v>1921</v>
      </c>
      <c r="B922" t="s">
        <v>148</v>
      </c>
      <c r="C922" t="s">
        <v>62</v>
      </c>
      <c r="D922" t="s">
        <v>46</v>
      </c>
      <c r="E922" t="s">
        <v>34</v>
      </c>
      <c r="F922" t="s">
        <v>36</v>
      </c>
      <c r="G922">
        <v>6</v>
      </c>
      <c r="H922">
        <v>55000</v>
      </c>
      <c r="I922">
        <v>0</v>
      </c>
      <c r="J922">
        <v>316641</v>
      </c>
      <c r="K922">
        <v>8</v>
      </c>
      <c r="L922">
        <v>3</v>
      </c>
      <c r="M922" t="str">
        <f>VLOOKUP(Sales_Data!F922,Product_Master!$A$2:$D$11,2)</f>
        <v>Laptop</v>
      </c>
      <c r="N922" t="str">
        <f>VLOOKUP(F922,Product_Master!$A$2:$C$11,3)</f>
        <v>Electronics</v>
      </c>
      <c r="O922">
        <f>VLOOKUP(F922,Product_Master!$A$2:$D$11,4,FALSE)</f>
        <v>45000</v>
      </c>
      <c r="P922">
        <f t="shared" si="140"/>
        <v>330000</v>
      </c>
      <c r="Q922">
        <f t="shared" si="141"/>
        <v>0</v>
      </c>
      <c r="R922">
        <f t="shared" si="142"/>
        <v>330000</v>
      </c>
      <c r="S922">
        <f t="shared" si="143"/>
        <v>60000</v>
      </c>
      <c r="T922" t="str">
        <f>_xlfn.CONCAT(Sales_Data!C922,"-",Sales_Data!E922,"-",Sales_Data!A922)</f>
        <v>East-C1036-1921</v>
      </c>
      <c r="U922" t="str">
        <f t="shared" si="144"/>
        <v>High Value</v>
      </c>
      <c r="V922" t="str" cm="1">
        <f t="array" ref="V922">_xlfn.IFS(R922&gt;=100000,"Excellent",R922&gt;=50000,"Good",R922&gt;=20000,"Average",TRUE,"Poor")</f>
        <v>Excellent</v>
      </c>
      <c r="W922">
        <f t="shared" si="145"/>
        <v>2</v>
      </c>
      <c r="X922" t="str">
        <f t="shared" si="146"/>
        <v>May</v>
      </c>
      <c r="Y922">
        <f>HLOOKUP("Q"&amp;W922,Bonus_HLookup!$A$1:$E$2,2,FALSE)</f>
        <v>0.04</v>
      </c>
      <c r="Z922">
        <f t="shared" si="147"/>
        <v>75993.84</v>
      </c>
      <c r="AA922" s="1">
        <f t="shared" si="148"/>
        <v>9922.3780960729255</v>
      </c>
      <c r="AB922">
        <f t="shared" si="149"/>
        <v>40</v>
      </c>
    </row>
    <row r="923" spans="1:28" x14ac:dyDescent="0.3">
      <c r="A923">
        <v>1922</v>
      </c>
      <c r="B923" t="s">
        <v>84</v>
      </c>
      <c r="C923" t="s">
        <v>62</v>
      </c>
      <c r="D923" t="s">
        <v>46</v>
      </c>
      <c r="E923" t="s">
        <v>44</v>
      </c>
      <c r="F923" t="s">
        <v>42</v>
      </c>
      <c r="G923">
        <v>4</v>
      </c>
      <c r="H923">
        <v>8000</v>
      </c>
      <c r="I923">
        <v>0</v>
      </c>
      <c r="J923">
        <v>492648</v>
      </c>
      <c r="K923">
        <v>12</v>
      </c>
      <c r="L923">
        <v>3</v>
      </c>
      <c r="M923" t="str">
        <f>VLOOKUP(Sales_Data!F923,Product_Master!$A$2:$D$11,2)</f>
        <v>Printer</v>
      </c>
      <c r="N923" t="str">
        <f>VLOOKUP(F923,Product_Master!$A$2:$C$11,3)</f>
        <v>Electronics</v>
      </c>
      <c r="O923">
        <f>VLOOKUP(F923,Product_Master!$A$2:$D$11,4,FALSE)</f>
        <v>6500</v>
      </c>
      <c r="P923">
        <f t="shared" si="140"/>
        <v>32000</v>
      </c>
      <c r="Q923">
        <f t="shared" si="141"/>
        <v>0</v>
      </c>
      <c r="R923">
        <f t="shared" si="142"/>
        <v>32000</v>
      </c>
      <c r="S923">
        <f t="shared" si="143"/>
        <v>6000</v>
      </c>
      <c r="T923" t="str">
        <f>_xlfn.CONCAT(Sales_Data!C923,"-",Sales_Data!E923,"-",Sales_Data!A923)</f>
        <v>East-C1028-1922</v>
      </c>
      <c r="U923" t="str">
        <f t="shared" si="144"/>
        <v>Regular</v>
      </c>
      <c r="V923" t="str" cm="1">
        <f t="array" ref="V923">_xlfn.IFS(R923&gt;=100000,"Excellent",R923&gt;=50000,"Good",R923&gt;=20000,"Average",TRUE,"Poor")</f>
        <v>Average</v>
      </c>
      <c r="W923">
        <f t="shared" si="145"/>
        <v>3</v>
      </c>
      <c r="X923" t="str">
        <f t="shared" si="146"/>
        <v>August</v>
      </c>
      <c r="Y923">
        <f>HLOOKUP("Q"&amp;W923,Bonus_HLookup!$A$1:$E$2,2,FALSE)</f>
        <v>0.06</v>
      </c>
      <c r="Z923">
        <f t="shared" si="147"/>
        <v>177353.28</v>
      </c>
      <c r="AA923" s="1">
        <f t="shared" si="148"/>
        <v>16362.963300681513</v>
      </c>
      <c r="AB923">
        <f t="shared" si="149"/>
        <v>363</v>
      </c>
    </row>
    <row r="924" spans="1:28" x14ac:dyDescent="0.3">
      <c r="A924">
        <v>1923</v>
      </c>
      <c r="B924" t="s">
        <v>418</v>
      </c>
      <c r="C924" t="s">
        <v>62</v>
      </c>
      <c r="D924" t="s">
        <v>46</v>
      </c>
      <c r="E924" t="s">
        <v>68</v>
      </c>
      <c r="F924" t="s">
        <v>16</v>
      </c>
      <c r="G924">
        <v>10</v>
      </c>
      <c r="H924">
        <v>2500</v>
      </c>
      <c r="I924">
        <v>0</v>
      </c>
      <c r="J924">
        <v>107748</v>
      </c>
      <c r="K924">
        <v>7</v>
      </c>
      <c r="L924">
        <v>2</v>
      </c>
      <c r="M924" t="str">
        <f>VLOOKUP(Sales_Data!F924,Product_Master!$A$2:$D$11,2)</f>
        <v>Speaker</v>
      </c>
      <c r="N924" t="str">
        <f>VLOOKUP(F924,Product_Master!$A$2:$C$11,3)</f>
        <v>Accessories</v>
      </c>
      <c r="O924">
        <f>VLOOKUP(F924,Product_Master!$A$2:$D$11,4,FALSE)</f>
        <v>1800</v>
      </c>
      <c r="P924">
        <f t="shared" si="140"/>
        <v>25000</v>
      </c>
      <c r="Q924">
        <f t="shared" si="141"/>
        <v>0</v>
      </c>
      <c r="R924">
        <f t="shared" si="142"/>
        <v>25000</v>
      </c>
      <c r="S924">
        <f t="shared" si="143"/>
        <v>7000</v>
      </c>
      <c r="T924" t="str">
        <f>_xlfn.CONCAT(Sales_Data!C924,"-",Sales_Data!E924,"-",Sales_Data!A924)</f>
        <v>East-C1043-1923</v>
      </c>
      <c r="U924" t="str">
        <f t="shared" si="144"/>
        <v>Regular</v>
      </c>
      <c r="V924" t="str" cm="1">
        <f t="array" ref="V924">_xlfn.IFS(R924&gt;=100000,"Excellent",R924&gt;=50000,"Good",R924&gt;=20000,"Average",TRUE,"Poor")</f>
        <v>Average</v>
      </c>
      <c r="W924">
        <f t="shared" si="145"/>
        <v>1</v>
      </c>
      <c r="X924" t="str">
        <f t="shared" si="146"/>
        <v>January</v>
      </c>
      <c r="Y924">
        <f>HLOOKUP("Q"&amp;W924,Bonus_HLookup!$A$1:$E$2,2,FALSE)</f>
        <v>0.02</v>
      </c>
      <c r="Z924">
        <f t="shared" si="147"/>
        <v>15084.72</v>
      </c>
      <c r="AA924" s="1">
        <f t="shared" si="148"/>
        <v>4824.1558532057124</v>
      </c>
      <c r="AB924">
        <f t="shared" si="149"/>
        <v>397</v>
      </c>
    </row>
    <row r="925" spans="1:28" x14ac:dyDescent="0.3">
      <c r="A925">
        <v>1924</v>
      </c>
      <c r="B925" t="s">
        <v>250</v>
      </c>
      <c r="C925" t="s">
        <v>18</v>
      </c>
      <c r="D925" t="s">
        <v>50</v>
      </c>
      <c r="E925" t="s">
        <v>89</v>
      </c>
      <c r="F925" t="s">
        <v>25</v>
      </c>
      <c r="G925">
        <v>6</v>
      </c>
      <c r="H925">
        <v>1500</v>
      </c>
      <c r="I925">
        <v>0</v>
      </c>
      <c r="J925">
        <v>301925</v>
      </c>
      <c r="K925">
        <v>9</v>
      </c>
      <c r="L925">
        <v>1</v>
      </c>
      <c r="M925" t="str">
        <f>VLOOKUP(Sales_Data!F925,Product_Master!$A$2:$D$11,2)</f>
        <v>Keyboard</v>
      </c>
      <c r="N925" t="str">
        <f>VLOOKUP(F925,Product_Master!$A$2:$C$11,3)</f>
        <v>Accessories</v>
      </c>
      <c r="O925">
        <f>VLOOKUP(F925,Product_Master!$A$2:$D$11,4,FALSE)</f>
        <v>1200</v>
      </c>
      <c r="P925">
        <f t="shared" si="140"/>
        <v>9000</v>
      </c>
      <c r="Q925">
        <f t="shared" si="141"/>
        <v>0</v>
      </c>
      <c r="R925">
        <f t="shared" si="142"/>
        <v>9000</v>
      </c>
      <c r="S925">
        <f t="shared" si="143"/>
        <v>1800</v>
      </c>
      <c r="T925" t="str">
        <f>_xlfn.CONCAT(Sales_Data!C925,"-",Sales_Data!E925,"-",Sales_Data!A925)</f>
        <v>North-C1022-1924</v>
      </c>
      <c r="U925" t="str">
        <f t="shared" si="144"/>
        <v>Regular</v>
      </c>
      <c r="V925" t="str" cm="1">
        <f t="array" ref="V925">_xlfn.IFS(R925&gt;=100000,"Excellent",R925&gt;=50000,"Good",R925&gt;=20000,"Average",TRUE,"Poor")</f>
        <v>Poor</v>
      </c>
      <c r="W925">
        <f t="shared" si="145"/>
        <v>2</v>
      </c>
      <c r="X925" t="str">
        <f t="shared" si="146"/>
        <v>April</v>
      </c>
      <c r="Y925">
        <f>HLOOKUP("Q"&amp;W925,Bonus_HLookup!$A$1:$E$2,2,FALSE)</f>
        <v>0.04</v>
      </c>
      <c r="Z925">
        <f t="shared" si="147"/>
        <v>27173.25</v>
      </c>
      <c r="AA925" s="1">
        <f t="shared" si="148"/>
        <v>26403.787123758524</v>
      </c>
      <c r="AB925">
        <f t="shared" si="149"/>
        <v>663</v>
      </c>
    </row>
    <row r="926" spans="1:28" x14ac:dyDescent="0.3">
      <c r="A926">
        <v>1925</v>
      </c>
      <c r="B926" t="s">
        <v>345</v>
      </c>
      <c r="C926" t="s">
        <v>30</v>
      </c>
      <c r="D926" t="s">
        <v>14</v>
      </c>
      <c r="E926" t="s">
        <v>24</v>
      </c>
      <c r="F926" t="s">
        <v>21</v>
      </c>
      <c r="G926">
        <v>5</v>
      </c>
      <c r="H926">
        <v>12000</v>
      </c>
      <c r="I926">
        <v>5</v>
      </c>
      <c r="J926">
        <v>409919</v>
      </c>
      <c r="K926">
        <v>10</v>
      </c>
      <c r="L926">
        <v>2</v>
      </c>
      <c r="M926" t="str">
        <f>VLOOKUP(Sales_Data!F926,Product_Master!$A$2:$D$11,2)</f>
        <v>Monitor</v>
      </c>
      <c r="N926" t="str">
        <f>VLOOKUP(F926,Product_Master!$A$2:$C$11,3)</f>
        <v>Electronics</v>
      </c>
      <c r="O926">
        <f>VLOOKUP(F926,Product_Master!$A$2:$D$11,4,FALSE)</f>
        <v>9000</v>
      </c>
      <c r="P926">
        <f t="shared" si="140"/>
        <v>60000</v>
      </c>
      <c r="Q926">
        <f t="shared" si="141"/>
        <v>3000</v>
      </c>
      <c r="R926">
        <f t="shared" si="142"/>
        <v>57000</v>
      </c>
      <c r="S926">
        <f t="shared" si="143"/>
        <v>12000</v>
      </c>
      <c r="T926" t="str">
        <f>_xlfn.CONCAT(Sales_Data!C926,"-",Sales_Data!E926,"-",Sales_Data!A926)</f>
        <v>South-C1029-1925</v>
      </c>
      <c r="U926" t="str">
        <f t="shared" si="144"/>
        <v>High Value</v>
      </c>
      <c r="V926" t="str" cm="1">
        <f t="array" ref="V926">_xlfn.IFS(R926&gt;=100000,"Excellent",R926&gt;=50000,"Good",R926&gt;=20000,"Average",TRUE,"Poor")</f>
        <v>Good</v>
      </c>
      <c r="W926">
        <f t="shared" si="145"/>
        <v>4</v>
      </c>
      <c r="X926" t="str">
        <f t="shared" si="146"/>
        <v>October</v>
      </c>
      <c r="Y926">
        <f>HLOOKUP("Q"&amp;W926,Bonus_HLookup!$A$1:$E$2,2,FALSE)</f>
        <v>0.08</v>
      </c>
      <c r="Z926">
        <f t="shared" si="147"/>
        <v>81983.8</v>
      </c>
      <c r="AA926" s="1">
        <f t="shared" si="148"/>
        <v>18915.68205934843</v>
      </c>
      <c r="AB926">
        <f t="shared" si="149"/>
        <v>261</v>
      </c>
    </row>
    <row r="927" spans="1:28" x14ac:dyDescent="0.3">
      <c r="A927">
        <v>1926</v>
      </c>
      <c r="B927" t="s">
        <v>225</v>
      </c>
      <c r="C927" t="s">
        <v>18</v>
      </c>
      <c r="D927" t="s">
        <v>33</v>
      </c>
      <c r="E927" t="s">
        <v>203</v>
      </c>
      <c r="F927" t="s">
        <v>69</v>
      </c>
      <c r="G927">
        <v>9</v>
      </c>
      <c r="H927">
        <v>2000</v>
      </c>
      <c r="I927">
        <v>10</v>
      </c>
      <c r="J927">
        <v>269590</v>
      </c>
      <c r="K927">
        <v>8</v>
      </c>
      <c r="L927">
        <v>2</v>
      </c>
      <c r="M927" t="str">
        <f>VLOOKUP(Sales_Data!F927,Product_Master!$A$2:$D$11,2)</f>
        <v>Headset</v>
      </c>
      <c r="N927" t="str">
        <f>VLOOKUP(F927,Product_Master!$A$2:$C$11,3)</f>
        <v>Accessories</v>
      </c>
      <c r="O927">
        <f>VLOOKUP(F927,Product_Master!$A$2:$D$11,4,FALSE)</f>
        <v>1500</v>
      </c>
      <c r="P927">
        <f t="shared" si="140"/>
        <v>18000</v>
      </c>
      <c r="Q927">
        <f t="shared" si="141"/>
        <v>1800</v>
      </c>
      <c r="R927">
        <f t="shared" si="142"/>
        <v>16200</v>
      </c>
      <c r="S927">
        <f t="shared" si="143"/>
        <v>2700</v>
      </c>
      <c r="T927" t="str">
        <f>_xlfn.CONCAT(Sales_Data!C927,"-",Sales_Data!E927,"-",Sales_Data!A927)</f>
        <v>North-C1037-1926</v>
      </c>
      <c r="U927" t="str">
        <f t="shared" si="144"/>
        <v>Regular</v>
      </c>
      <c r="V927" t="str" cm="1">
        <f t="array" ref="V927">_xlfn.IFS(R927&gt;=100000,"Excellent",R927&gt;=50000,"Good",R927&gt;=20000,"Average",TRUE,"Poor")</f>
        <v>Poor</v>
      </c>
      <c r="W927">
        <f t="shared" si="145"/>
        <v>3</v>
      </c>
      <c r="X927" t="str">
        <f t="shared" si="146"/>
        <v>September</v>
      </c>
      <c r="Y927">
        <f>HLOOKUP("Q"&amp;W927,Bonus_HLookup!$A$1:$E$2,2,FALSE)</f>
        <v>0.06</v>
      </c>
      <c r="Z927">
        <f t="shared" si="147"/>
        <v>43134.400000000001</v>
      </c>
      <c r="AA927" s="1">
        <f t="shared" si="148"/>
        <v>12192.825503672684</v>
      </c>
      <c r="AB927">
        <f t="shared" si="149"/>
        <v>511</v>
      </c>
    </row>
    <row r="928" spans="1:28" x14ac:dyDescent="0.3">
      <c r="A928">
        <v>1927</v>
      </c>
      <c r="B928" t="s">
        <v>116</v>
      </c>
      <c r="C928" t="s">
        <v>18</v>
      </c>
      <c r="D928" t="s">
        <v>19</v>
      </c>
      <c r="E928" t="s">
        <v>63</v>
      </c>
      <c r="F928" t="s">
        <v>39</v>
      </c>
      <c r="G928">
        <v>9</v>
      </c>
      <c r="H928">
        <v>7000</v>
      </c>
      <c r="I928">
        <v>15</v>
      </c>
      <c r="J928">
        <v>128874</v>
      </c>
      <c r="K928">
        <v>10</v>
      </c>
      <c r="L928">
        <v>3</v>
      </c>
      <c r="M928" t="str">
        <f>VLOOKUP(Sales_Data!F928,Product_Master!$A$2:$D$11,2)</f>
        <v>Router</v>
      </c>
      <c r="N928" t="str">
        <f>VLOOKUP(F928,Product_Master!$A$2:$C$11,3)</f>
        <v>Electronics</v>
      </c>
      <c r="O928">
        <f>VLOOKUP(F928,Product_Master!$A$2:$D$11,4,FALSE)</f>
        <v>5000</v>
      </c>
      <c r="P928">
        <f t="shared" si="140"/>
        <v>63000</v>
      </c>
      <c r="Q928">
        <f t="shared" si="141"/>
        <v>9450</v>
      </c>
      <c r="R928">
        <f t="shared" si="142"/>
        <v>53550</v>
      </c>
      <c r="S928">
        <f t="shared" si="143"/>
        <v>8550</v>
      </c>
      <c r="T928" t="str">
        <f>_xlfn.CONCAT(Sales_Data!C928,"-",Sales_Data!E928,"-",Sales_Data!A928)</f>
        <v>North-C1035-1927</v>
      </c>
      <c r="U928" t="str">
        <f t="shared" si="144"/>
        <v>High Value</v>
      </c>
      <c r="V928" t="str" cm="1">
        <f t="array" ref="V928">_xlfn.IFS(R928&gt;=100000,"Excellent",R928&gt;=50000,"Good",R928&gt;=20000,"Average",TRUE,"Poor")</f>
        <v>Good</v>
      </c>
      <c r="W928">
        <f t="shared" si="145"/>
        <v>2</v>
      </c>
      <c r="X928" t="str">
        <f t="shared" si="146"/>
        <v>May</v>
      </c>
      <c r="Y928">
        <f>HLOOKUP("Q"&amp;W928,Bonus_HLookup!$A$1:$E$2,2,FALSE)</f>
        <v>0.04</v>
      </c>
      <c r="Z928">
        <f t="shared" si="147"/>
        <v>38662.199999999997</v>
      </c>
      <c r="AA928" s="1">
        <f t="shared" si="148"/>
        <v>4158.4014824186124</v>
      </c>
      <c r="AB928">
        <f t="shared" si="149"/>
        <v>279</v>
      </c>
    </row>
    <row r="929" spans="1:28" x14ac:dyDescent="0.3">
      <c r="A929">
        <v>1928</v>
      </c>
      <c r="B929" t="s">
        <v>145</v>
      </c>
      <c r="C929" t="s">
        <v>18</v>
      </c>
      <c r="D929" t="s">
        <v>91</v>
      </c>
      <c r="E929" t="s">
        <v>51</v>
      </c>
      <c r="F929" t="s">
        <v>21</v>
      </c>
      <c r="G929">
        <v>1</v>
      </c>
      <c r="H929">
        <v>12000</v>
      </c>
      <c r="I929">
        <v>2</v>
      </c>
      <c r="J929">
        <v>319197</v>
      </c>
      <c r="K929">
        <v>11</v>
      </c>
      <c r="L929">
        <v>5</v>
      </c>
      <c r="M929" t="str">
        <f>VLOOKUP(Sales_Data!F929,Product_Master!$A$2:$D$11,2)</f>
        <v>Monitor</v>
      </c>
      <c r="N929" t="str">
        <f>VLOOKUP(F929,Product_Master!$A$2:$C$11,3)</f>
        <v>Electronics</v>
      </c>
      <c r="O929">
        <f>VLOOKUP(F929,Product_Master!$A$2:$D$11,4,FALSE)</f>
        <v>9000</v>
      </c>
      <c r="P929">
        <f t="shared" si="140"/>
        <v>12000</v>
      </c>
      <c r="Q929">
        <f t="shared" si="141"/>
        <v>240</v>
      </c>
      <c r="R929">
        <f t="shared" si="142"/>
        <v>11760</v>
      </c>
      <c r="S929">
        <f t="shared" si="143"/>
        <v>2760</v>
      </c>
      <c r="T929" t="str">
        <f>_xlfn.CONCAT(Sales_Data!C929,"-",Sales_Data!E929,"-",Sales_Data!A929)</f>
        <v>North-C1002-1928</v>
      </c>
      <c r="U929" t="str">
        <f t="shared" si="144"/>
        <v>Regular</v>
      </c>
      <c r="V929" t="str" cm="1">
        <f t="array" ref="V929">_xlfn.IFS(R929&gt;=100000,"Excellent",R929&gt;=50000,"Good",R929&gt;=20000,"Average",TRUE,"Poor")</f>
        <v>Poor</v>
      </c>
      <c r="W929">
        <f t="shared" si="145"/>
        <v>1</v>
      </c>
      <c r="X929" t="str">
        <f t="shared" si="146"/>
        <v>March</v>
      </c>
      <c r="Y929">
        <f>HLOOKUP("Q"&amp;W929,Bonus_HLookup!$A$1:$E$2,2,FALSE)</f>
        <v>0.02</v>
      </c>
      <c r="Z929">
        <f t="shared" si="147"/>
        <v>175558.35</v>
      </c>
      <c r="AA929" s="1">
        <f t="shared" si="148"/>
        <v>6940.1162175185264</v>
      </c>
      <c r="AB929">
        <f t="shared" si="149"/>
        <v>599</v>
      </c>
    </row>
    <row r="930" spans="1:28" x14ac:dyDescent="0.3">
      <c r="A930">
        <v>1929</v>
      </c>
      <c r="B930" t="s">
        <v>413</v>
      </c>
      <c r="C930" t="s">
        <v>18</v>
      </c>
      <c r="D930" t="s">
        <v>33</v>
      </c>
      <c r="E930" t="s">
        <v>231</v>
      </c>
      <c r="F930" t="s">
        <v>16</v>
      </c>
      <c r="G930">
        <v>5</v>
      </c>
      <c r="H930">
        <v>2500</v>
      </c>
      <c r="I930">
        <v>8</v>
      </c>
      <c r="J930">
        <v>402398</v>
      </c>
      <c r="K930">
        <v>7</v>
      </c>
      <c r="L930">
        <v>3</v>
      </c>
      <c r="M930" t="str">
        <f>VLOOKUP(Sales_Data!F930,Product_Master!$A$2:$D$11,2)</f>
        <v>Speaker</v>
      </c>
      <c r="N930" t="str">
        <f>VLOOKUP(F930,Product_Master!$A$2:$C$11,3)</f>
        <v>Accessories</v>
      </c>
      <c r="O930">
        <f>VLOOKUP(F930,Product_Master!$A$2:$D$11,4,FALSE)</f>
        <v>1800</v>
      </c>
      <c r="P930">
        <f t="shared" si="140"/>
        <v>12500</v>
      </c>
      <c r="Q930">
        <f t="shared" si="141"/>
        <v>1000</v>
      </c>
      <c r="R930">
        <f t="shared" si="142"/>
        <v>11500</v>
      </c>
      <c r="S930">
        <f t="shared" si="143"/>
        <v>2500</v>
      </c>
      <c r="T930" t="str">
        <f>_xlfn.CONCAT(Sales_Data!C930,"-",Sales_Data!E930,"-",Sales_Data!A930)</f>
        <v>North-C1006-1929</v>
      </c>
      <c r="U930" t="str">
        <f t="shared" si="144"/>
        <v>Regular</v>
      </c>
      <c r="V930" t="str" cm="1">
        <f t="array" ref="V930">_xlfn.IFS(R930&gt;=100000,"Excellent",R930&gt;=50000,"Good",R930&gt;=20000,"Average",TRUE,"Poor")</f>
        <v>Poor</v>
      </c>
      <c r="W930">
        <f t="shared" si="145"/>
        <v>1</v>
      </c>
      <c r="X930" t="str">
        <f t="shared" si="146"/>
        <v>March</v>
      </c>
      <c r="Y930">
        <f>HLOOKUP("Q"&amp;W930,Bonus_HLookup!$A$1:$E$2,2,FALSE)</f>
        <v>0.02</v>
      </c>
      <c r="Z930">
        <f t="shared" si="147"/>
        <v>84503.58</v>
      </c>
      <c r="AA930" s="1">
        <f t="shared" si="148"/>
        <v>12424.882024431939</v>
      </c>
      <c r="AB930">
        <f t="shared" si="149"/>
        <v>603</v>
      </c>
    </row>
    <row r="931" spans="1:28" x14ac:dyDescent="0.3">
      <c r="A931">
        <v>1930</v>
      </c>
      <c r="B931" t="s">
        <v>246</v>
      </c>
      <c r="C931" t="s">
        <v>62</v>
      </c>
      <c r="D931" t="s">
        <v>14</v>
      </c>
      <c r="E931" t="s">
        <v>60</v>
      </c>
      <c r="F931" t="s">
        <v>28</v>
      </c>
      <c r="G931">
        <v>6</v>
      </c>
      <c r="H931">
        <v>950</v>
      </c>
      <c r="I931">
        <v>15</v>
      </c>
      <c r="J931">
        <v>258283</v>
      </c>
      <c r="K931">
        <v>9</v>
      </c>
      <c r="L931">
        <v>2</v>
      </c>
      <c r="M931" t="str">
        <f>VLOOKUP(Sales_Data!F931,Product_Master!$A$2:$D$11,2)</f>
        <v>Webcam</v>
      </c>
      <c r="N931" t="str">
        <f>VLOOKUP(F931,Product_Master!$A$2:$C$11,3)</f>
        <v>Accessories</v>
      </c>
      <c r="O931">
        <f>VLOOKUP(F931,Product_Master!$A$2:$D$11,4,FALSE)</f>
        <v>700</v>
      </c>
      <c r="P931">
        <f t="shared" si="140"/>
        <v>5700</v>
      </c>
      <c r="Q931">
        <f t="shared" si="141"/>
        <v>855</v>
      </c>
      <c r="R931">
        <f t="shared" si="142"/>
        <v>4845</v>
      </c>
      <c r="S931">
        <f t="shared" si="143"/>
        <v>645</v>
      </c>
      <c r="T931" t="str">
        <f>_xlfn.CONCAT(Sales_Data!C931,"-",Sales_Data!E931,"-",Sales_Data!A931)</f>
        <v>East-C1018-1930</v>
      </c>
      <c r="U931" t="str">
        <f t="shared" si="144"/>
        <v>Regular</v>
      </c>
      <c r="V931" t="str" cm="1">
        <f t="array" ref="V931">_xlfn.IFS(R931&gt;=100000,"Excellent",R931&gt;=50000,"Good",R931&gt;=20000,"Average",TRUE,"Poor")</f>
        <v>Poor</v>
      </c>
      <c r="W931">
        <f t="shared" si="145"/>
        <v>3</v>
      </c>
      <c r="X931" t="str">
        <f t="shared" si="146"/>
        <v>September</v>
      </c>
      <c r="Y931">
        <f>HLOOKUP("Q"&amp;W931,Bonus_HLookup!$A$1:$E$2,2,FALSE)</f>
        <v>0.06</v>
      </c>
      <c r="Z931">
        <f t="shared" si="147"/>
        <v>46490.94</v>
      </c>
      <c r="AA931" s="1">
        <f t="shared" si="148"/>
        <v>11799.592290091665</v>
      </c>
      <c r="AB931">
        <f t="shared" si="149"/>
        <v>794</v>
      </c>
    </row>
    <row r="932" spans="1:28" x14ac:dyDescent="0.3">
      <c r="A932">
        <v>1931</v>
      </c>
      <c r="B932" t="s">
        <v>258</v>
      </c>
      <c r="C932" t="s">
        <v>13</v>
      </c>
      <c r="D932" t="s">
        <v>50</v>
      </c>
      <c r="E932" t="s">
        <v>112</v>
      </c>
      <c r="F932" t="s">
        <v>16</v>
      </c>
      <c r="G932">
        <v>9</v>
      </c>
      <c r="H932">
        <v>2500</v>
      </c>
      <c r="I932">
        <v>12</v>
      </c>
      <c r="J932">
        <v>499395</v>
      </c>
      <c r="K932">
        <v>11</v>
      </c>
      <c r="L932">
        <v>4</v>
      </c>
      <c r="M932" t="str">
        <f>VLOOKUP(Sales_Data!F932,Product_Master!$A$2:$D$11,2)</f>
        <v>Speaker</v>
      </c>
      <c r="N932" t="str">
        <f>VLOOKUP(F932,Product_Master!$A$2:$C$11,3)</f>
        <v>Accessories</v>
      </c>
      <c r="O932">
        <f>VLOOKUP(F932,Product_Master!$A$2:$D$11,4,FALSE)</f>
        <v>1800</v>
      </c>
      <c r="P932">
        <f t="shared" si="140"/>
        <v>22500</v>
      </c>
      <c r="Q932">
        <f t="shared" si="141"/>
        <v>2700</v>
      </c>
      <c r="R932">
        <f t="shared" si="142"/>
        <v>19800</v>
      </c>
      <c r="S932">
        <f t="shared" si="143"/>
        <v>3600</v>
      </c>
      <c r="T932" t="str">
        <f>_xlfn.CONCAT(Sales_Data!C932,"-",Sales_Data!E932,"-",Sales_Data!A932)</f>
        <v>West-C1048-1931</v>
      </c>
      <c r="U932" t="str">
        <f t="shared" si="144"/>
        <v>Regular</v>
      </c>
      <c r="V932" t="str" cm="1">
        <f t="array" ref="V932">_xlfn.IFS(R932&gt;=100000,"Excellent",R932&gt;=50000,"Good",R932&gt;=20000,"Average",TRUE,"Poor")</f>
        <v>Poor</v>
      </c>
      <c r="W932">
        <f t="shared" si="145"/>
        <v>2</v>
      </c>
      <c r="X932" t="str">
        <f t="shared" si="146"/>
        <v>June</v>
      </c>
      <c r="Y932">
        <f>HLOOKUP("Q"&amp;W932,Bonus_HLookup!$A$1:$E$2,2,FALSE)</f>
        <v>0.04</v>
      </c>
      <c r="Z932">
        <f t="shared" si="147"/>
        <v>219733.8</v>
      </c>
      <c r="AA932" s="1">
        <f t="shared" si="148"/>
        <v>12907.124764546477</v>
      </c>
      <c r="AB932">
        <f t="shared" si="149"/>
        <v>460</v>
      </c>
    </row>
    <row r="933" spans="1:28" x14ac:dyDescent="0.3">
      <c r="A933">
        <v>1932</v>
      </c>
      <c r="B933" t="s">
        <v>35</v>
      </c>
      <c r="C933" t="s">
        <v>30</v>
      </c>
      <c r="D933" t="s">
        <v>46</v>
      </c>
      <c r="E933" t="s">
        <v>169</v>
      </c>
      <c r="F933" t="s">
        <v>28</v>
      </c>
      <c r="G933">
        <v>8</v>
      </c>
      <c r="H933">
        <v>950</v>
      </c>
      <c r="I933">
        <v>15</v>
      </c>
      <c r="J933">
        <v>433939</v>
      </c>
      <c r="K933">
        <v>12</v>
      </c>
      <c r="L933">
        <v>1</v>
      </c>
      <c r="M933" t="str">
        <f>VLOOKUP(Sales_Data!F933,Product_Master!$A$2:$D$11,2)</f>
        <v>Webcam</v>
      </c>
      <c r="N933" t="str">
        <f>VLOOKUP(F933,Product_Master!$A$2:$C$11,3)</f>
        <v>Accessories</v>
      </c>
      <c r="O933">
        <f>VLOOKUP(F933,Product_Master!$A$2:$D$11,4,FALSE)</f>
        <v>700</v>
      </c>
      <c r="P933">
        <f t="shared" si="140"/>
        <v>7600</v>
      </c>
      <c r="Q933">
        <f t="shared" si="141"/>
        <v>1140</v>
      </c>
      <c r="R933">
        <f t="shared" si="142"/>
        <v>6460</v>
      </c>
      <c r="S933">
        <f t="shared" si="143"/>
        <v>860</v>
      </c>
      <c r="T933" t="str">
        <f>_xlfn.CONCAT(Sales_Data!C933,"-",Sales_Data!E933,"-",Sales_Data!A933)</f>
        <v>South-C1038-1932</v>
      </c>
      <c r="U933" t="str">
        <f t="shared" si="144"/>
        <v>Regular</v>
      </c>
      <c r="V933" t="str" cm="1">
        <f t="array" ref="V933">_xlfn.IFS(R933&gt;=100000,"Excellent",R933&gt;=50000,"Good",R933&gt;=20000,"Average",TRUE,"Poor")</f>
        <v>Poor</v>
      </c>
      <c r="W933">
        <f t="shared" si="145"/>
        <v>3</v>
      </c>
      <c r="X933" t="str">
        <f t="shared" si="146"/>
        <v>September</v>
      </c>
      <c r="Y933">
        <f>HLOOKUP("Q"&amp;W933,Bonus_HLookup!$A$1:$E$2,2,FALSE)</f>
        <v>0.06</v>
      </c>
      <c r="Z933">
        <f t="shared" si="147"/>
        <v>52072.68</v>
      </c>
      <c r="AA933" s="1">
        <f t="shared" si="148"/>
        <v>38554.954510290911</v>
      </c>
      <c r="AB933">
        <f t="shared" si="149"/>
        <v>745</v>
      </c>
    </row>
    <row r="934" spans="1:28" x14ac:dyDescent="0.3">
      <c r="A934">
        <v>1933</v>
      </c>
      <c r="B934" t="s">
        <v>238</v>
      </c>
      <c r="C934" t="s">
        <v>18</v>
      </c>
      <c r="D934" t="s">
        <v>33</v>
      </c>
      <c r="E934" t="s">
        <v>41</v>
      </c>
      <c r="F934" t="s">
        <v>25</v>
      </c>
      <c r="G934">
        <v>3</v>
      </c>
      <c r="H934">
        <v>1500</v>
      </c>
      <c r="I934">
        <v>10</v>
      </c>
      <c r="J934">
        <v>256177</v>
      </c>
      <c r="K934">
        <v>12</v>
      </c>
      <c r="L934">
        <v>4</v>
      </c>
      <c r="M934" t="str">
        <f>VLOOKUP(Sales_Data!F934,Product_Master!$A$2:$D$11,2)</f>
        <v>Keyboard</v>
      </c>
      <c r="N934" t="str">
        <f>VLOOKUP(F934,Product_Master!$A$2:$C$11,3)</f>
        <v>Accessories</v>
      </c>
      <c r="O934">
        <f>VLOOKUP(F934,Product_Master!$A$2:$D$11,4,FALSE)</f>
        <v>1200</v>
      </c>
      <c r="P934">
        <f t="shared" si="140"/>
        <v>4500</v>
      </c>
      <c r="Q934">
        <f t="shared" si="141"/>
        <v>450</v>
      </c>
      <c r="R934">
        <f t="shared" si="142"/>
        <v>4050</v>
      </c>
      <c r="S934">
        <f t="shared" si="143"/>
        <v>450</v>
      </c>
      <c r="T934" t="str">
        <f>_xlfn.CONCAT(Sales_Data!C934,"-",Sales_Data!E934,"-",Sales_Data!A934)</f>
        <v>North-C1023-1933</v>
      </c>
      <c r="U934" t="str">
        <f t="shared" si="144"/>
        <v>Regular</v>
      </c>
      <c r="V934" t="str" cm="1">
        <f t="array" ref="V934">_xlfn.IFS(R934&gt;=100000,"Excellent",R934&gt;=50000,"Good",R934&gt;=20000,"Average",TRUE,"Poor")</f>
        <v>Poor</v>
      </c>
      <c r="W934">
        <f t="shared" si="145"/>
        <v>1</v>
      </c>
      <c r="X934" t="str">
        <f t="shared" si="146"/>
        <v>February</v>
      </c>
      <c r="Y934">
        <f>HLOOKUP("Q"&amp;W934,Bonus_HLookup!$A$1:$E$2,2,FALSE)</f>
        <v>0.02</v>
      </c>
      <c r="Z934">
        <f t="shared" si="147"/>
        <v>122964.96</v>
      </c>
      <c r="AA934" s="1">
        <f t="shared" si="148"/>
        <v>6746.1229594449596</v>
      </c>
      <c r="AB934">
        <f t="shared" si="149"/>
        <v>832</v>
      </c>
    </row>
    <row r="935" spans="1:28" x14ac:dyDescent="0.3">
      <c r="A935">
        <v>1934</v>
      </c>
      <c r="B935" t="s">
        <v>308</v>
      </c>
      <c r="C935" t="s">
        <v>18</v>
      </c>
      <c r="D935" t="s">
        <v>23</v>
      </c>
      <c r="E935" t="s">
        <v>34</v>
      </c>
      <c r="F935" t="s">
        <v>74</v>
      </c>
      <c r="G935">
        <v>10</v>
      </c>
      <c r="H935">
        <v>35000</v>
      </c>
      <c r="I935">
        <v>10</v>
      </c>
      <c r="J935">
        <v>123227</v>
      </c>
      <c r="K935">
        <v>10</v>
      </c>
      <c r="L935">
        <v>2</v>
      </c>
      <c r="M935" t="str">
        <f>VLOOKUP(Sales_Data!F935,Product_Master!$A$2:$D$11,2)</f>
        <v>Tablet</v>
      </c>
      <c r="N935" t="str">
        <f>VLOOKUP(F935,Product_Master!$A$2:$C$11,3)</f>
        <v>Electronics</v>
      </c>
      <c r="O935">
        <f>VLOOKUP(F935,Product_Master!$A$2:$D$11,4,FALSE)</f>
        <v>29000</v>
      </c>
      <c r="P935">
        <f t="shared" si="140"/>
        <v>350000</v>
      </c>
      <c r="Q935">
        <f t="shared" si="141"/>
        <v>35000</v>
      </c>
      <c r="R935">
        <f t="shared" si="142"/>
        <v>315000</v>
      </c>
      <c r="S935">
        <f t="shared" si="143"/>
        <v>25000</v>
      </c>
      <c r="T935" t="str">
        <f>_xlfn.CONCAT(Sales_Data!C935,"-",Sales_Data!E935,"-",Sales_Data!A935)</f>
        <v>North-C1036-1934</v>
      </c>
      <c r="U935" t="str">
        <f t="shared" si="144"/>
        <v>High Value</v>
      </c>
      <c r="V935" t="str" cm="1">
        <f t="array" ref="V935">_xlfn.IFS(R935&gt;=100000,"Excellent",R935&gt;=50000,"Good",R935&gt;=20000,"Average",TRUE,"Poor")</f>
        <v>Excellent</v>
      </c>
      <c r="W935">
        <f t="shared" si="145"/>
        <v>3</v>
      </c>
      <c r="X935" t="str">
        <f t="shared" si="146"/>
        <v>August</v>
      </c>
      <c r="Y935">
        <f>HLOOKUP("Q"&amp;W935,Bonus_HLookup!$A$1:$E$2,2,FALSE)</f>
        <v>0.06</v>
      </c>
      <c r="Z935">
        <f t="shared" si="147"/>
        <v>24645.4</v>
      </c>
      <c r="AA935" s="1">
        <f t="shared" si="148"/>
        <v>5686.3008377931455</v>
      </c>
      <c r="AB935">
        <f t="shared" si="149"/>
        <v>45</v>
      </c>
    </row>
    <row r="936" spans="1:28" x14ac:dyDescent="0.3">
      <c r="A936">
        <v>1935</v>
      </c>
      <c r="B936" t="s">
        <v>319</v>
      </c>
      <c r="C936" t="s">
        <v>13</v>
      </c>
      <c r="D936" t="s">
        <v>33</v>
      </c>
      <c r="E936" t="s">
        <v>125</v>
      </c>
      <c r="F936" t="s">
        <v>69</v>
      </c>
      <c r="G936">
        <v>7</v>
      </c>
      <c r="H936">
        <v>2000</v>
      </c>
      <c r="I936">
        <v>12</v>
      </c>
      <c r="J936">
        <v>340213</v>
      </c>
      <c r="K936">
        <v>11</v>
      </c>
      <c r="L936">
        <v>1</v>
      </c>
      <c r="M936" t="str">
        <f>VLOOKUP(Sales_Data!F936,Product_Master!$A$2:$D$11,2)</f>
        <v>Headset</v>
      </c>
      <c r="N936" t="str">
        <f>VLOOKUP(F936,Product_Master!$A$2:$C$11,3)</f>
        <v>Accessories</v>
      </c>
      <c r="O936">
        <f>VLOOKUP(F936,Product_Master!$A$2:$D$11,4,FALSE)</f>
        <v>1500</v>
      </c>
      <c r="P936">
        <f t="shared" si="140"/>
        <v>14000</v>
      </c>
      <c r="Q936">
        <f t="shared" si="141"/>
        <v>1680</v>
      </c>
      <c r="R936">
        <f t="shared" si="142"/>
        <v>12320</v>
      </c>
      <c r="S936">
        <f t="shared" si="143"/>
        <v>1820</v>
      </c>
      <c r="T936" t="str">
        <f>_xlfn.CONCAT(Sales_Data!C936,"-",Sales_Data!E936,"-",Sales_Data!A936)</f>
        <v>West-C1039-1935</v>
      </c>
      <c r="U936" t="str">
        <f t="shared" si="144"/>
        <v>Regular</v>
      </c>
      <c r="V936" t="str" cm="1">
        <f t="array" ref="V936">_xlfn.IFS(R936&gt;=100000,"Excellent",R936&gt;=50000,"Good",R936&gt;=20000,"Average",TRUE,"Poor")</f>
        <v>Poor</v>
      </c>
      <c r="W936">
        <f t="shared" si="145"/>
        <v>2</v>
      </c>
      <c r="X936" t="str">
        <f t="shared" si="146"/>
        <v>April</v>
      </c>
      <c r="Y936">
        <f>HLOOKUP("Q"&amp;W936,Bonus_HLookup!$A$1:$E$2,2,FALSE)</f>
        <v>0.04</v>
      </c>
      <c r="Z936">
        <f t="shared" si="147"/>
        <v>37423.43</v>
      </c>
      <c r="AA936" s="1">
        <f t="shared" si="148"/>
        <v>30068.589190610473</v>
      </c>
      <c r="AB936">
        <f t="shared" si="149"/>
        <v>584</v>
      </c>
    </row>
    <row r="937" spans="1:28" x14ac:dyDescent="0.3">
      <c r="A937">
        <v>1936</v>
      </c>
      <c r="B937" t="s">
        <v>302</v>
      </c>
      <c r="C937" t="s">
        <v>30</v>
      </c>
      <c r="D937" t="s">
        <v>23</v>
      </c>
      <c r="E937" t="s">
        <v>63</v>
      </c>
      <c r="F937" t="s">
        <v>42</v>
      </c>
      <c r="G937">
        <v>9</v>
      </c>
      <c r="H937">
        <v>8000</v>
      </c>
      <c r="I937">
        <v>2</v>
      </c>
      <c r="J937">
        <v>194881</v>
      </c>
      <c r="K937">
        <v>7</v>
      </c>
      <c r="L937">
        <v>3</v>
      </c>
      <c r="M937" t="str">
        <f>VLOOKUP(Sales_Data!F937,Product_Master!$A$2:$D$11,2)</f>
        <v>Printer</v>
      </c>
      <c r="N937" t="str">
        <f>VLOOKUP(F937,Product_Master!$A$2:$C$11,3)</f>
        <v>Electronics</v>
      </c>
      <c r="O937">
        <f>VLOOKUP(F937,Product_Master!$A$2:$D$11,4,FALSE)</f>
        <v>6500</v>
      </c>
      <c r="P937">
        <f t="shared" si="140"/>
        <v>72000</v>
      </c>
      <c r="Q937">
        <f t="shared" si="141"/>
        <v>1440</v>
      </c>
      <c r="R937">
        <f t="shared" si="142"/>
        <v>70560</v>
      </c>
      <c r="S937">
        <f t="shared" si="143"/>
        <v>12060</v>
      </c>
      <c r="T937" t="str">
        <f>_xlfn.CONCAT(Sales_Data!C937,"-",Sales_Data!E937,"-",Sales_Data!A937)</f>
        <v>South-C1035-1936</v>
      </c>
      <c r="U937" t="str">
        <f t="shared" si="144"/>
        <v>High Value</v>
      </c>
      <c r="V937" t="str" cm="1">
        <f t="array" ref="V937">_xlfn.IFS(R937&gt;=100000,"Excellent",R937&gt;=50000,"Good",R937&gt;=20000,"Average",TRUE,"Poor")</f>
        <v>Good</v>
      </c>
      <c r="W937">
        <f t="shared" si="145"/>
        <v>1</v>
      </c>
      <c r="X937" t="str">
        <f t="shared" si="146"/>
        <v>January</v>
      </c>
      <c r="Y937">
        <f>HLOOKUP("Q"&amp;W937,Bonus_HLookup!$A$1:$E$2,2,FALSE)</f>
        <v>0.02</v>
      </c>
      <c r="Z937">
        <f t="shared" si="147"/>
        <v>40925.01</v>
      </c>
      <c r="AA937" s="1">
        <f t="shared" si="148"/>
        <v>6017.3595142205495</v>
      </c>
      <c r="AB937">
        <f t="shared" si="149"/>
        <v>214</v>
      </c>
    </row>
    <row r="938" spans="1:28" x14ac:dyDescent="0.3">
      <c r="A938">
        <v>1937</v>
      </c>
      <c r="B938" t="s">
        <v>201</v>
      </c>
      <c r="C938" t="s">
        <v>30</v>
      </c>
      <c r="D938" t="s">
        <v>91</v>
      </c>
      <c r="E938" t="s">
        <v>73</v>
      </c>
      <c r="F938" t="s">
        <v>21</v>
      </c>
      <c r="G938">
        <v>4</v>
      </c>
      <c r="H938">
        <v>12000</v>
      </c>
      <c r="I938">
        <v>10</v>
      </c>
      <c r="J938">
        <v>433039</v>
      </c>
      <c r="K938">
        <v>10</v>
      </c>
      <c r="L938">
        <v>1</v>
      </c>
      <c r="M938" t="str">
        <f>VLOOKUP(Sales_Data!F938,Product_Master!$A$2:$D$11,2)</f>
        <v>Monitor</v>
      </c>
      <c r="N938" t="str">
        <f>VLOOKUP(F938,Product_Master!$A$2:$C$11,3)</f>
        <v>Electronics</v>
      </c>
      <c r="O938">
        <f>VLOOKUP(F938,Product_Master!$A$2:$D$11,4,FALSE)</f>
        <v>9000</v>
      </c>
      <c r="P938">
        <f t="shared" si="140"/>
        <v>48000</v>
      </c>
      <c r="Q938">
        <f t="shared" si="141"/>
        <v>4800</v>
      </c>
      <c r="R938">
        <f t="shared" si="142"/>
        <v>43200</v>
      </c>
      <c r="S938">
        <f t="shared" si="143"/>
        <v>7200</v>
      </c>
      <c r="T938" t="str">
        <f>_xlfn.CONCAT(Sales_Data!C938,"-",Sales_Data!E938,"-",Sales_Data!A938)</f>
        <v>South-C1014-1937</v>
      </c>
      <c r="U938" t="str">
        <f t="shared" si="144"/>
        <v>Regular</v>
      </c>
      <c r="V938" t="str" cm="1">
        <f t="array" ref="V938">_xlfn.IFS(R938&gt;=100000,"Excellent",R938&gt;=50000,"Good",R938&gt;=20000,"Average",TRUE,"Poor")</f>
        <v>Average</v>
      </c>
      <c r="W938">
        <f t="shared" si="145"/>
        <v>2</v>
      </c>
      <c r="X938" t="str">
        <f t="shared" si="146"/>
        <v>May</v>
      </c>
      <c r="Y938">
        <f>HLOOKUP("Q"&amp;W938,Bonus_HLookup!$A$1:$E$2,2,FALSE)</f>
        <v>0.04</v>
      </c>
      <c r="Z938">
        <f t="shared" si="147"/>
        <v>43303.9</v>
      </c>
      <c r="AA938" s="1">
        <f t="shared" si="148"/>
        <v>38071.007890196131</v>
      </c>
      <c r="AB938">
        <f t="shared" si="149"/>
        <v>323</v>
      </c>
    </row>
    <row r="939" spans="1:28" x14ac:dyDescent="0.3">
      <c r="A939">
        <v>1938</v>
      </c>
      <c r="B939" t="s">
        <v>347</v>
      </c>
      <c r="C939" t="s">
        <v>62</v>
      </c>
      <c r="D939" t="s">
        <v>19</v>
      </c>
      <c r="E939" t="s">
        <v>71</v>
      </c>
      <c r="F939" t="s">
        <v>25</v>
      </c>
      <c r="G939">
        <v>4</v>
      </c>
      <c r="H939">
        <v>1500</v>
      </c>
      <c r="I939">
        <v>12</v>
      </c>
      <c r="J939">
        <v>143603</v>
      </c>
      <c r="K939">
        <v>7</v>
      </c>
      <c r="L939">
        <v>2</v>
      </c>
      <c r="M939" t="str">
        <f>VLOOKUP(Sales_Data!F939,Product_Master!$A$2:$D$11,2)</f>
        <v>Keyboard</v>
      </c>
      <c r="N939" t="str">
        <f>VLOOKUP(F939,Product_Master!$A$2:$C$11,3)</f>
        <v>Accessories</v>
      </c>
      <c r="O939">
        <f>VLOOKUP(F939,Product_Master!$A$2:$D$11,4,FALSE)</f>
        <v>1200</v>
      </c>
      <c r="P939">
        <f t="shared" si="140"/>
        <v>6000</v>
      </c>
      <c r="Q939">
        <f t="shared" si="141"/>
        <v>720</v>
      </c>
      <c r="R939">
        <f t="shared" si="142"/>
        <v>5280</v>
      </c>
      <c r="S939">
        <f t="shared" si="143"/>
        <v>480</v>
      </c>
      <c r="T939" t="str">
        <f>_xlfn.CONCAT(Sales_Data!C939,"-",Sales_Data!E939,"-",Sales_Data!A939)</f>
        <v>East-C1019-1938</v>
      </c>
      <c r="U939" t="str">
        <f t="shared" si="144"/>
        <v>Regular</v>
      </c>
      <c r="V939" t="str" cm="1">
        <f t="array" ref="V939">_xlfn.IFS(R939&gt;=100000,"Excellent",R939&gt;=50000,"Good",R939&gt;=20000,"Average",TRUE,"Poor")</f>
        <v>Poor</v>
      </c>
      <c r="W939">
        <f t="shared" si="145"/>
        <v>3</v>
      </c>
      <c r="X939" t="str">
        <f t="shared" si="146"/>
        <v>July</v>
      </c>
      <c r="Y939">
        <f>HLOOKUP("Q"&amp;W939,Bonus_HLookup!$A$1:$E$2,2,FALSE)</f>
        <v>0.06</v>
      </c>
      <c r="Z939">
        <f t="shared" si="147"/>
        <v>20104.419999999998</v>
      </c>
      <c r="AA939" s="1">
        <f t="shared" si="148"/>
        <v>6429.4766769489916</v>
      </c>
      <c r="AB939">
        <f t="shared" si="149"/>
        <v>779</v>
      </c>
    </row>
    <row r="940" spans="1:28" x14ac:dyDescent="0.3">
      <c r="A940">
        <v>1939</v>
      </c>
      <c r="B940" t="s">
        <v>302</v>
      </c>
      <c r="C940" t="s">
        <v>13</v>
      </c>
      <c r="D940" t="s">
        <v>33</v>
      </c>
      <c r="E940" t="s">
        <v>196</v>
      </c>
      <c r="F940" t="s">
        <v>36</v>
      </c>
      <c r="G940">
        <v>4</v>
      </c>
      <c r="H940">
        <v>55000</v>
      </c>
      <c r="I940">
        <v>15</v>
      </c>
      <c r="J940">
        <v>370439</v>
      </c>
      <c r="K940">
        <v>7</v>
      </c>
      <c r="L940">
        <v>3</v>
      </c>
      <c r="M940" t="str">
        <f>VLOOKUP(Sales_Data!F940,Product_Master!$A$2:$D$11,2)</f>
        <v>Laptop</v>
      </c>
      <c r="N940" t="str">
        <f>VLOOKUP(F940,Product_Master!$A$2:$C$11,3)</f>
        <v>Electronics</v>
      </c>
      <c r="O940">
        <f>VLOOKUP(F940,Product_Master!$A$2:$D$11,4,FALSE)</f>
        <v>45000</v>
      </c>
      <c r="P940">
        <f t="shared" si="140"/>
        <v>220000</v>
      </c>
      <c r="Q940">
        <f t="shared" si="141"/>
        <v>33000</v>
      </c>
      <c r="R940">
        <f t="shared" si="142"/>
        <v>187000</v>
      </c>
      <c r="S940">
        <f t="shared" si="143"/>
        <v>7000</v>
      </c>
      <c r="T940" t="str">
        <f>_xlfn.CONCAT(Sales_Data!C940,"-",Sales_Data!E940,"-",Sales_Data!A940)</f>
        <v>West-C1032-1939</v>
      </c>
      <c r="U940" t="str">
        <f t="shared" si="144"/>
        <v>High Value</v>
      </c>
      <c r="V940" t="str" cm="1">
        <f t="array" ref="V940">_xlfn.IFS(R940&gt;=100000,"Excellent",R940&gt;=50000,"Good",R940&gt;=20000,"Average",TRUE,"Poor")</f>
        <v>Excellent</v>
      </c>
      <c r="W940">
        <f t="shared" si="145"/>
        <v>1</v>
      </c>
      <c r="X940" t="str">
        <f t="shared" si="146"/>
        <v>January</v>
      </c>
      <c r="Y940">
        <f>HLOOKUP("Q"&amp;W940,Bonus_HLookup!$A$1:$E$2,2,FALSE)</f>
        <v>0.02</v>
      </c>
      <c r="Z940">
        <f t="shared" si="147"/>
        <v>77792.19</v>
      </c>
      <c r="AA940" s="1">
        <f t="shared" si="148"/>
        <v>11438.080885711515</v>
      </c>
      <c r="AB940">
        <f t="shared" si="149"/>
        <v>113</v>
      </c>
    </row>
    <row r="941" spans="1:28" x14ac:dyDescent="0.3">
      <c r="A941">
        <v>1940</v>
      </c>
      <c r="B941" t="s">
        <v>145</v>
      </c>
      <c r="C941" t="s">
        <v>62</v>
      </c>
      <c r="D941" t="s">
        <v>50</v>
      </c>
      <c r="E941" t="s">
        <v>131</v>
      </c>
      <c r="F941" t="s">
        <v>28</v>
      </c>
      <c r="G941">
        <v>5</v>
      </c>
      <c r="H941">
        <v>950</v>
      </c>
      <c r="I941">
        <v>5</v>
      </c>
      <c r="J941">
        <v>282555</v>
      </c>
      <c r="K941">
        <v>12</v>
      </c>
      <c r="L941">
        <v>2</v>
      </c>
      <c r="M941" t="str">
        <f>VLOOKUP(Sales_Data!F941,Product_Master!$A$2:$D$11,2)</f>
        <v>Webcam</v>
      </c>
      <c r="N941" t="str">
        <f>VLOOKUP(F941,Product_Master!$A$2:$C$11,3)</f>
        <v>Accessories</v>
      </c>
      <c r="O941">
        <f>VLOOKUP(F941,Product_Master!$A$2:$D$11,4,FALSE)</f>
        <v>700</v>
      </c>
      <c r="P941">
        <f t="shared" si="140"/>
        <v>4750</v>
      </c>
      <c r="Q941">
        <f t="shared" si="141"/>
        <v>237.5</v>
      </c>
      <c r="R941">
        <f t="shared" si="142"/>
        <v>4512.5</v>
      </c>
      <c r="S941">
        <f t="shared" si="143"/>
        <v>1012.5</v>
      </c>
      <c r="T941" t="str">
        <f>_xlfn.CONCAT(Sales_Data!C941,"-",Sales_Data!E941,"-",Sales_Data!A941)</f>
        <v>East-C1047-1940</v>
      </c>
      <c r="U941" t="str">
        <f t="shared" si="144"/>
        <v>Regular</v>
      </c>
      <c r="V941" t="str" cm="1">
        <f t="array" ref="V941">_xlfn.IFS(R941&gt;=100000,"Excellent",R941&gt;=50000,"Good",R941&gt;=20000,"Average",TRUE,"Poor")</f>
        <v>Poor</v>
      </c>
      <c r="W941">
        <f t="shared" si="145"/>
        <v>1</v>
      </c>
      <c r="X941" t="str">
        <f t="shared" si="146"/>
        <v>March</v>
      </c>
      <c r="Y941">
        <f>HLOOKUP("Q"&amp;W941,Bonus_HLookup!$A$1:$E$2,2,FALSE)</f>
        <v>0.02</v>
      </c>
      <c r="Z941">
        <f t="shared" si="147"/>
        <v>67813.2</v>
      </c>
      <c r="AA941" s="1">
        <f t="shared" si="148"/>
        <v>13300.844944044558</v>
      </c>
      <c r="AB941">
        <f t="shared" si="149"/>
        <v>804</v>
      </c>
    </row>
    <row r="942" spans="1:28" x14ac:dyDescent="0.3">
      <c r="A942">
        <v>1941</v>
      </c>
      <c r="B942" t="s">
        <v>418</v>
      </c>
      <c r="C942" t="s">
        <v>18</v>
      </c>
      <c r="D942" t="s">
        <v>59</v>
      </c>
      <c r="E942" t="s">
        <v>106</v>
      </c>
      <c r="F942" t="s">
        <v>74</v>
      </c>
      <c r="G942">
        <v>10</v>
      </c>
      <c r="H942">
        <v>35000</v>
      </c>
      <c r="I942">
        <v>5</v>
      </c>
      <c r="J942">
        <v>130020</v>
      </c>
      <c r="K942">
        <v>11</v>
      </c>
      <c r="L942">
        <v>5</v>
      </c>
      <c r="M942" t="str">
        <f>VLOOKUP(Sales_Data!F942,Product_Master!$A$2:$D$11,2)</f>
        <v>Tablet</v>
      </c>
      <c r="N942" t="str">
        <f>VLOOKUP(F942,Product_Master!$A$2:$C$11,3)</f>
        <v>Electronics</v>
      </c>
      <c r="O942">
        <f>VLOOKUP(F942,Product_Master!$A$2:$D$11,4,FALSE)</f>
        <v>29000</v>
      </c>
      <c r="P942">
        <f t="shared" si="140"/>
        <v>350000</v>
      </c>
      <c r="Q942">
        <f t="shared" si="141"/>
        <v>17500</v>
      </c>
      <c r="R942">
        <f t="shared" si="142"/>
        <v>332500</v>
      </c>
      <c r="S942">
        <f t="shared" si="143"/>
        <v>42500</v>
      </c>
      <c r="T942" t="str">
        <f>_xlfn.CONCAT(Sales_Data!C942,"-",Sales_Data!E942,"-",Sales_Data!A942)</f>
        <v>North-C1004-1941</v>
      </c>
      <c r="U942" t="str">
        <f t="shared" si="144"/>
        <v>High Value</v>
      </c>
      <c r="V942" t="str" cm="1">
        <f t="array" ref="V942">_xlfn.IFS(R942&gt;=100000,"Excellent",R942&gt;=50000,"Good",R942&gt;=20000,"Average",TRUE,"Poor")</f>
        <v>Excellent</v>
      </c>
      <c r="W942">
        <f t="shared" si="145"/>
        <v>1</v>
      </c>
      <c r="X942" t="str">
        <f t="shared" si="146"/>
        <v>January</v>
      </c>
      <c r="Y942">
        <f>HLOOKUP("Q"&amp;W942,Bonus_HLookup!$A$1:$E$2,2,FALSE)</f>
        <v>0.02</v>
      </c>
      <c r="Z942">
        <f t="shared" si="147"/>
        <v>71511</v>
      </c>
      <c r="AA942" s="1">
        <f t="shared" si="148"/>
        <v>2826.9498479050831</v>
      </c>
      <c r="AB942">
        <f t="shared" si="149"/>
        <v>38</v>
      </c>
    </row>
    <row r="943" spans="1:28" x14ac:dyDescent="0.3">
      <c r="A943">
        <v>1942</v>
      </c>
      <c r="B943" t="s">
        <v>419</v>
      </c>
      <c r="C943" t="s">
        <v>18</v>
      </c>
      <c r="D943" t="s">
        <v>33</v>
      </c>
      <c r="E943" t="s">
        <v>31</v>
      </c>
      <c r="F943" t="s">
        <v>28</v>
      </c>
      <c r="G943">
        <v>1</v>
      </c>
      <c r="H943">
        <v>950</v>
      </c>
      <c r="I943">
        <v>10</v>
      </c>
      <c r="J943">
        <v>307199</v>
      </c>
      <c r="K943">
        <v>11</v>
      </c>
      <c r="L943">
        <v>1</v>
      </c>
      <c r="M943" t="str">
        <f>VLOOKUP(Sales_Data!F943,Product_Master!$A$2:$D$11,2)</f>
        <v>Webcam</v>
      </c>
      <c r="N943" t="str">
        <f>VLOOKUP(F943,Product_Master!$A$2:$C$11,3)</f>
        <v>Accessories</v>
      </c>
      <c r="O943">
        <f>VLOOKUP(F943,Product_Master!$A$2:$D$11,4,FALSE)</f>
        <v>700</v>
      </c>
      <c r="P943">
        <f t="shared" si="140"/>
        <v>950</v>
      </c>
      <c r="Q943">
        <f t="shared" si="141"/>
        <v>95</v>
      </c>
      <c r="R943">
        <f t="shared" si="142"/>
        <v>855</v>
      </c>
      <c r="S943">
        <f t="shared" si="143"/>
        <v>155</v>
      </c>
      <c r="T943" t="str">
        <f>_xlfn.CONCAT(Sales_Data!C943,"-",Sales_Data!E943,"-",Sales_Data!A943)</f>
        <v>North-C1025-1942</v>
      </c>
      <c r="U943" t="str">
        <f t="shared" si="144"/>
        <v>Regular</v>
      </c>
      <c r="V943" t="str" cm="1">
        <f t="array" ref="V943">_xlfn.IFS(R943&gt;=100000,"Excellent",R943&gt;=50000,"Good",R943&gt;=20000,"Average",TRUE,"Poor")</f>
        <v>Poor</v>
      </c>
      <c r="W943">
        <f t="shared" si="145"/>
        <v>4</v>
      </c>
      <c r="X943" t="str">
        <f t="shared" si="146"/>
        <v>October</v>
      </c>
      <c r="Y943">
        <f>HLOOKUP("Q"&amp;W943,Bonus_HLookup!$A$1:$E$2,2,FALSE)</f>
        <v>0.08</v>
      </c>
      <c r="Z943">
        <f t="shared" si="147"/>
        <v>33791.89</v>
      </c>
      <c r="AA943" s="1">
        <f t="shared" si="148"/>
        <v>27150.757116178236</v>
      </c>
      <c r="AB943">
        <f t="shared" si="149"/>
        <v>983</v>
      </c>
    </row>
    <row r="944" spans="1:28" x14ac:dyDescent="0.3">
      <c r="A944">
        <v>1943</v>
      </c>
      <c r="B944" t="s">
        <v>247</v>
      </c>
      <c r="C944" t="s">
        <v>13</v>
      </c>
      <c r="D944" t="s">
        <v>33</v>
      </c>
      <c r="E944" t="s">
        <v>41</v>
      </c>
      <c r="F944" t="s">
        <v>21</v>
      </c>
      <c r="G944">
        <v>2</v>
      </c>
      <c r="H944">
        <v>12000</v>
      </c>
      <c r="I944">
        <v>8</v>
      </c>
      <c r="J944">
        <v>423318</v>
      </c>
      <c r="K944">
        <v>8</v>
      </c>
      <c r="L944">
        <v>2</v>
      </c>
      <c r="M944" t="str">
        <f>VLOOKUP(Sales_Data!F944,Product_Master!$A$2:$D$11,2)</f>
        <v>Monitor</v>
      </c>
      <c r="N944" t="str">
        <f>VLOOKUP(F944,Product_Master!$A$2:$C$11,3)</f>
        <v>Electronics</v>
      </c>
      <c r="O944">
        <f>VLOOKUP(F944,Product_Master!$A$2:$D$11,4,FALSE)</f>
        <v>9000</v>
      </c>
      <c r="P944">
        <f t="shared" si="140"/>
        <v>24000</v>
      </c>
      <c r="Q944">
        <f t="shared" si="141"/>
        <v>1920</v>
      </c>
      <c r="R944">
        <f t="shared" si="142"/>
        <v>22080</v>
      </c>
      <c r="S944">
        <f t="shared" si="143"/>
        <v>4080</v>
      </c>
      <c r="T944" t="str">
        <f>_xlfn.CONCAT(Sales_Data!C944,"-",Sales_Data!E944,"-",Sales_Data!A944)</f>
        <v>West-C1023-1943</v>
      </c>
      <c r="U944" t="str">
        <f t="shared" si="144"/>
        <v>Regular</v>
      </c>
      <c r="V944" t="str" cm="1">
        <f t="array" ref="V944">_xlfn.IFS(R944&gt;=100000,"Excellent",R944&gt;=50000,"Good",R944&gt;=20000,"Average",TRUE,"Poor")</f>
        <v>Average</v>
      </c>
      <c r="W944">
        <f t="shared" si="145"/>
        <v>1</v>
      </c>
      <c r="X944" t="str">
        <f t="shared" si="146"/>
        <v>March</v>
      </c>
      <c r="Y944">
        <f>HLOOKUP("Q"&amp;W944,Bonus_HLookup!$A$1:$E$2,2,FALSE)</f>
        <v>0.02</v>
      </c>
      <c r="Z944">
        <f t="shared" si="147"/>
        <v>67730.880000000005</v>
      </c>
      <c r="AA944" s="1">
        <f t="shared" si="148"/>
        <v>19145.526564648964</v>
      </c>
      <c r="AB944">
        <f t="shared" si="149"/>
        <v>418</v>
      </c>
    </row>
    <row r="945" spans="1:28" x14ac:dyDescent="0.3">
      <c r="A945">
        <v>1944</v>
      </c>
      <c r="B945" t="s">
        <v>400</v>
      </c>
      <c r="C945" t="s">
        <v>18</v>
      </c>
      <c r="D945" t="s">
        <v>91</v>
      </c>
      <c r="E945" t="s">
        <v>44</v>
      </c>
      <c r="F945" t="s">
        <v>21</v>
      </c>
      <c r="G945">
        <v>10</v>
      </c>
      <c r="H945">
        <v>12000</v>
      </c>
      <c r="I945">
        <v>5</v>
      </c>
      <c r="J945">
        <v>111094</v>
      </c>
      <c r="K945">
        <v>12</v>
      </c>
      <c r="L945">
        <v>2</v>
      </c>
      <c r="M945" t="str">
        <f>VLOOKUP(Sales_Data!F945,Product_Master!$A$2:$D$11,2)</f>
        <v>Monitor</v>
      </c>
      <c r="N945" t="str">
        <f>VLOOKUP(F945,Product_Master!$A$2:$C$11,3)</f>
        <v>Electronics</v>
      </c>
      <c r="O945">
        <f>VLOOKUP(F945,Product_Master!$A$2:$D$11,4,FALSE)</f>
        <v>9000</v>
      </c>
      <c r="P945">
        <f t="shared" si="140"/>
        <v>120000</v>
      </c>
      <c r="Q945">
        <f t="shared" si="141"/>
        <v>6000</v>
      </c>
      <c r="R945">
        <f t="shared" si="142"/>
        <v>114000</v>
      </c>
      <c r="S945">
        <f t="shared" si="143"/>
        <v>24000</v>
      </c>
      <c r="T945" t="str">
        <f>_xlfn.CONCAT(Sales_Data!C945,"-",Sales_Data!E945,"-",Sales_Data!A945)</f>
        <v>North-C1028-1944</v>
      </c>
      <c r="U945" t="str">
        <f t="shared" si="144"/>
        <v>High Value</v>
      </c>
      <c r="V945" t="str" cm="1">
        <f t="array" ref="V945">_xlfn.IFS(R945&gt;=100000,"Excellent",R945&gt;=50000,"Good",R945&gt;=20000,"Average",TRUE,"Poor")</f>
        <v>Excellent</v>
      </c>
      <c r="W945">
        <f t="shared" si="145"/>
        <v>1</v>
      </c>
      <c r="X945" t="str">
        <f t="shared" si="146"/>
        <v>March</v>
      </c>
      <c r="Y945">
        <f>HLOOKUP("Q"&amp;W945,Bonus_HLookup!$A$1:$E$2,2,FALSE)</f>
        <v>0.02</v>
      </c>
      <c r="Z945">
        <f t="shared" si="147"/>
        <v>26662.560000000001</v>
      </c>
      <c r="AA945" s="1">
        <f t="shared" si="148"/>
        <v>5229.5803231713689</v>
      </c>
      <c r="AB945">
        <f t="shared" si="149"/>
        <v>150</v>
      </c>
    </row>
    <row r="946" spans="1:28" x14ac:dyDescent="0.3">
      <c r="A946">
        <v>1945</v>
      </c>
      <c r="B946" t="s">
        <v>296</v>
      </c>
      <c r="C946" t="s">
        <v>13</v>
      </c>
      <c r="D946" t="s">
        <v>14</v>
      </c>
      <c r="E946" t="s">
        <v>77</v>
      </c>
      <c r="F946" t="s">
        <v>39</v>
      </c>
      <c r="G946">
        <v>9</v>
      </c>
      <c r="H946">
        <v>7000</v>
      </c>
      <c r="I946">
        <v>5</v>
      </c>
      <c r="J946">
        <v>171408</v>
      </c>
      <c r="K946">
        <v>10</v>
      </c>
      <c r="L946">
        <v>5</v>
      </c>
      <c r="M946" t="str">
        <f>VLOOKUP(Sales_Data!F946,Product_Master!$A$2:$D$11,2)</f>
        <v>Router</v>
      </c>
      <c r="N946" t="str">
        <f>VLOOKUP(F946,Product_Master!$A$2:$C$11,3)</f>
        <v>Electronics</v>
      </c>
      <c r="O946">
        <f>VLOOKUP(F946,Product_Master!$A$2:$D$11,4,FALSE)</f>
        <v>5000</v>
      </c>
      <c r="P946">
        <f t="shared" si="140"/>
        <v>63000</v>
      </c>
      <c r="Q946">
        <f t="shared" si="141"/>
        <v>3150</v>
      </c>
      <c r="R946">
        <f t="shared" si="142"/>
        <v>59850</v>
      </c>
      <c r="S946">
        <f t="shared" si="143"/>
        <v>14850</v>
      </c>
      <c r="T946" t="str">
        <f>_xlfn.CONCAT(Sales_Data!C946,"-",Sales_Data!E946,"-",Sales_Data!A946)</f>
        <v>West-C1020-1945</v>
      </c>
      <c r="U946" t="str">
        <f t="shared" si="144"/>
        <v>High Value</v>
      </c>
      <c r="V946" t="str" cm="1">
        <f t="array" ref="V946">_xlfn.IFS(R946&gt;=100000,"Excellent",R946&gt;=50000,"Good",R946&gt;=20000,"Average",TRUE,"Poor")</f>
        <v>Good</v>
      </c>
      <c r="W946">
        <f t="shared" si="145"/>
        <v>2</v>
      </c>
      <c r="X946" t="str">
        <f t="shared" si="146"/>
        <v>May</v>
      </c>
      <c r="Y946">
        <f>HLOOKUP("Q"&amp;W946,Bonus_HLookup!$A$1:$E$2,2,FALSE)</f>
        <v>0.04</v>
      </c>
      <c r="Z946">
        <f t="shared" si="147"/>
        <v>85704</v>
      </c>
      <c r="AA946" s="1">
        <f t="shared" si="148"/>
        <v>3641.9134398690726</v>
      </c>
      <c r="AB946">
        <f t="shared" si="149"/>
        <v>255</v>
      </c>
    </row>
    <row r="947" spans="1:28" x14ac:dyDescent="0.3">
      <c r="A947">
        <v>1946</v>
      </c>
      <c r="B947" t="s">
        <v>239</v>
      </c>
      <c r="C947" t="s">
        <v>18</v>
      </c>
      <c r="D947" t="s">
        <v>19</v>
      </c>
      <c r="E947" t="s">
        <v>73</v>
      </c>
      <c r="F947" t="s">
        <v>25</v>
      </c>
      <c r="G947">
        <v>9</v>
      </c>
      <c r="H947">
        <v>1500</v>
      </c>
      <c r="I947">
        <v>8</v>
      </c>
      <c r="J947">
        <v>209617</v>
      </c>
      <c r="K947">
        <v>9</v>
      </c>
      <c r="L947">
        <v>3</v>
      </c>
      <c r="M947" t="str">
        <f>VLOOKUP(Sales_Data!F947,Product_Master!$A$2:$D$11,2)</f>
        <v>Keyboard</v>
      </c>
      <c r="N947" t="str">
        <f>VLOOKUP(F947,Product_Master!$A$2:$C$11,3)</f>
        <v>Accessories</v>
      </c>
      <c r="O947">
        <f>VLOOKUP(F947,Product_Master!$A$2:$D$11,4,FALSE)</f>
        <v>1200</v>
      </c>
      <c r="P947">
        <f t="shared" si="140"/>
        <v>13500</v>
      </c>
      <c r="Q947">
        <f t="shared" si="141"/>
        <v>1080</v>
      </c>
      <c r="R947">
        <f t="shared" si="142"/>
        <v>12420</v>
      </c>
      <c r="S947">
        <f t="shared" si="143"/>
        <v>1620</v>
      </c>
      <c r="T947" t="str">
        <f>_xlfn.CONCAT(Sales_Data!C947,"-",Sales_Data!E947,"-",Sales_Data!A947)</f>
        <v>North-C1014-1946</v>
      </c>
      <c r="U947" t="str">
        <f t="shared" si="144"/>
        <v>Regular</v>
      </c>
      <c r="V947" t="str" cm="1">
        <f t="array" ref="V947">_xlfn.IFS(R947&gt;=100000,"Excellent",R947&gt;=50000,"Good",R947&gt;=20000,"Average",TRUE,"Poor")</f>
        <v>Poor</v>
      </c>
      <c r="W947">
        <f t="shared" si="145"/>
        <v>4</v>
      </c>
      <c r="X947" t="str">
        <f t="shared" si="146"/>
        <v>November</v>
      </c>
      <c r="Y947">
        <f>HLOOKUP("Q"&amp;W947,Bonus_HLookup!$A$1:$E$2,2,FALSE)</f>
        <v>0.08</v>
      </c>
      <c r="Z947">
        <f t="shared" si="147"/>
        <v>56596.59</v>
      </c>
      <c r="AA947" s="1">
        <f t="shared" si="148"/>
        <v>6665.7645609787869</v>
      </c>
      <c r="AB947">
        <f t="shared" si="149"/>
        <v>582</v>
      </c>
    </row>
    <row r="948" spans="1:28" x14ac:dyDescent="0.3">
      <c r="A948">
        <v>1947</v>
      </c>
      <c r="B948" t="s">
        <v>415</v>
      </c>
      <c r="C948" t="s">
        <v>13</v>
      </c>
      <c r="D948" t="s">
        <v>19</v>
      </c>
      <c r="E948" t="s">
        <v>157</v>
      </c>
      <c r="F948" t="s">
        <v>39</v>
      </c>
      <c r="G948">
        <v>7</v>
      </c>
      <c r="H948">
        <v>7000</v>
      </c>
      <c r="I948">
        <v>5</v>
      </c>
      <c r="J948">
        <v>69666</v>
      </c>
      <c r="K948">
        <v>10</v>
      </c>
      <c r="L948">
        <v>1</v>
      </c>
      <c r="M948" t="str">
        <f>VLOOKUP(Sales_Data!F948,Product_Master!$A$2:$D$11,2)</f>
        <v>Router</v>
      </c>
      <c r="N948" t="str">
        <f>VLOOKUP(F948,Product_Master!$A$2:$C$11,3)</f>
        <v>Electronics</v>
      </c>
      <c r="O948">
        <f>VLOOKUP(F948,Product_Master!$A$2:$D$11,4,FALSE)</f>
        <v>5000</v>
      </c>
      <c r="P948">
        <f t="shared" si="140"/>
        <v>49000</v>
      </c>
      <c r="Q948">
        <f t="shared" si="141"/>
        <v>2450</v>
      </c>
      <c r="R948">
        <f t="shared" si="142"/>
        <v>46550</v>
      </c>
      <c r="S948">
        <f t="shared" si="143"/>
        <v>11550</v>
      </c>
      <c r="T948" t="str">
        <f>_xlfn.CONCAT(Sales_Data!C948,"-",Sales_Data!E948,"-",Sales_Data!A948)</f>
        <v>West-C1024-1947</v>
      </c>
      <c r="U948" t="str">
        <f t="shared" si="144"/>
        <v>Regular</v>
      </c>
      <c r="V948" t="str" cm="1">
        <f t="array" ref="V948">_xlfn.IFS(R948&gt;=100000,"Excellent",R948&gt;=50000,"Good",R948&gt;=20000,"Average",TRUE,"Poor")</f>
        <v>Average</v>
      </c>
      <c r="W948">
        <f t="shared" si="145"/>
        <v>2</v>
      </c>
      <c r="X948" t="str">
        <f t="shared" si="146"/>
        <v>June</v>
      </c>
      <c r="Y948">
        <f>HLOOKUP("Q"&amp;W948,Bonus_HLookup!$A$1:$E$2,2,FALSE)</f>
        <v>0.04</v>
      </c>
      <c r="Z948">
        <f t="shared" si="147"/>
        <v>6966.6</v>
      </c>
      <c r="AA948" s="1">
        <f t="shared" si="148"/>
        <v>6124.7481997658488</v>
      </c>
      <c r="AB948">
        <f t="shared" si="149"/>
        <v>315</v>
      </c>
    </row>
    <row r="949" spans="1:28" x14ac:dyDescent="0.3">
      <c r="A949">
        <v>1948</v>
      </c>
      <c r="B949" t="s">
        <v>339</v>
      </c>
      <c r="C949" t="s">
        <v>18</v>
      </c>
      <c r="D949" t="s">
        <v>91</v>
      </c>
      <c r="E949" t="s">
        <v>108</v>
      </c>
      <c r="F949" t="s">
        <v>36</v>
      </c>
      <c r="G949">
        <v>4</v>
      </c>
      <c r="H949">
        <v>55000</v>
      </c>
      <c r="I949">
        <v>15</v>
      </c>
      <c r="J949">
        <v>324734</v>
      </c>
      <c r="K949">
        <v>9</v>
      </c>
      <c r="L949">
        <v>4</v>
      </c>
      <c r="M949" t="str">
        <f>VLOOKUP(Sales_Data!F949,Product_Master!$A$2:$D$11,2)</f>
        <v>Laptop</v>
      </c>
      <c r="N949" t="str">
        <f>VLOOKUP(F949,Product_Master!$A$2:$C$11,3)</f>
        <v>Electronics</v>
      </c>
      <c r="O949">
        <f>VLOOKUP(F949,Product_Master!$A$2:$D$11,4,FALSE)</f>
        <v>45000</v>
      </c>
      <c r="P949">
        <f t="shared" si="140"/>
        <v>220000</v>
      </c>
      <c r="Q949">
        <f t="shared" si="141"/>
        <v>33000</v>
      </c>
      <c r="R949">
        <f t="shared" si="142"/>
        <v>187000</v>
      </c>
      <c r="S949">
        <f t="shared" si="143"/>
        <v>7000</v>
      </c>
      <c r="T949" t="str">
        <f>_xlfn.CONCAT(Sales_Data!C949,"-",Sales_Data!E949,"-",Sales_Data!A949)</f>
        <v>North-C1031-1948</v>
      </c>
      <c r="U949" t="str">
        <f t="shared" si="144"/>
        <v>High Value</v>
      </c>
      <c r="V949" t="str" cm="1">
        <f t="array" ref="V949">_xlfn.IFS(R949&gt;=100000,"Excellent",R949&gt;=50000,"Good",R949&gt;=20000,"Average",TRUE,"Poor")</f>
        <v>Excellent</v>
      </c>
      <c r="W949">
        <f t="shared" si="145"/>
        <v>4</v>
      </c>
      <c r="X949" t="str">
        <f t="shared" si="146"/>
        <v>October</v>
      </c>
      <c r="Y949">
        <f>HLOOKUP("Q"&amp;W949,Bonus_HLookup!$A$1:$E$2,2,FALSE)</f>
        <v>0.08</v>
      </c>
      <c r="Z949">
        <f t="shared" si="147"/>
        <v>116904.24</v>
      </c>
      <c r="AA949" s="1">
        <f t="shared" si="148"/>
        <v>8081.019350257151</v>
      </c>
      <c r="AB949">
        <f t="shared" si="149"/>
        <v>113</v>
      </c>
    </row>
    <row r="950" spans="1:28" x14ac:dyDescent="0.3">
      <c r="A950">
        <v>1949</v>
      </c>
      <c r="B950" t="s">
        <v>417</v>
      </c>
      <c r="C950" t="s">
        <v>30</v>
      </c>
      <c r="D950" t="s">
        <v>91</v>
      </c>
      <c r="E950" t="s">
        <v>165</v>
      </c>
      <c r="F950" t="s">
        <v>69</v>
      </c>
      <c r="G950">
        <v>7</v>
      </c>
      <c r="H950">
        <v>2000</v>
      </c>
      <c r="I950">
        <v>12</v>
      </c>
      <c r="J950">
        <v>490388</v>
      </c>
      <c r="K950">
        <v>7</v>
      </c>
      <c r="L950">
        <v>2</v>
      </c>
      <c r="M950" t="str">
        <f>VLOOKUP(Sales_Data!F950,Product_Master!$A$2:$D$11,2)</f>
        <v>Headset</v>
      </c>
      <c r="N950" t="str">
        <f>VLOOKUP(F950,Product_Master!$A$2:$C$11,3)</f>
        <v>Accessories</v>
      </c>
      <c r="O950">
        <f>VLOOKUP(F950,Product_Master!$A$2:$D$11,4,FALSE)</f>
        <v>1500</v>
      </c>
      <c r="P950">
        <f t="shared" si="140"/>
        <v>14000</v>
      </c>
      <c r="Q950">
        <f t="shared" si="141"/>
        <v>1680</v>
      </c>
      <c r="R950">
        <f t="shared" si="142"/>
        <v>12320</v>
      </c>
      <c r="S950">
        <f t="shared" si="143"/>
        <v>1820</v>
      </c>
      <c r="T950" t="str">
        <f>_xlfn.CONCAT(Sales_Data!C950,"-",Sales_Data!E950,"-",Sales_Data!A950)</f>
        <v>South-C1042-1949</v>
      </c>
      <c r="U950" t="str">
        <f t="shared" si="144"/>
        <v>Regular</v>
      </c>
      <c r="V950" t="str" cm="1">
        <f t="array" ref="V950">_xlfn.IFS(R950&gt;=100000,"Excellent",R950&gt;=50000,"Good",R950&gt;=20000,"Average",TRUE,"Poor")</f>
        <v>Poor</v>
      </c>
      <c r="W950">
        <f t="shared" si="145"/>
        <v>1</v>
      </c>
      <c r="X950" t="str">
        <f t="shared" si="146"/>
        <v>January</v>
      </c>
      <c r="Y950">
        <f>HLOOKUP("Q"&amp;W950,Bonus_HLookup!$A$1:$E$2,2,FALSE)</f>
        <v>0.02</v>
      </c>
      <c r="Z950">
        <f t="shared" si="147"/>
        <v>68654.320000000007</v>
      </c>
      <c r="AA950" s="1">
        <f t="shared" si="148"/>
        <v>21955.935521233274</v>
      </c>
      <c r="AB950">
        <f t="shared" si="149"/>
        <v>584</v>
      </c>
    </row>
    <row r="951" spans="1:28" x14ac:dyDescent="0.3">
      <c r="A951">
        <v>1950</v>
      </c>
      <c r="B951" t="s">
        <v>348</v>
      </c>
      <c r="C951" t="s">
        <v>62</v>
      </c>
      <c r="D951" t="s">
        <v>59</v>
      </c>
      <c r="E951" t="s">
        <v>51</v>
      </c>
      <c r="F951" t="s">
        <v>74</v>
      </c>
      <c r="G951">
        <v>10</v>
      </c>
      <c r="H951">
        <v>35000</v>
      </c>
      <c r="I951">
        <v>10</v>
      </c>
      <c r="J951">
        <v>189196</v>
      </c>
      <c r="K951">
        <v>11</v>
      </c>
      <c r="L951">
        <v>4</v>
      </c>
      <c r="M951" t="str">
        <f>VLOOKUP(Sales_Data!F951,Product_Master!$A$2:$D$11,2)</f>
        <v>Tablet</v>
      </c>
      <c r="N951" t="str">
        <f>VLOOKUP(F951,Product_Master!$A$2:$C$11,3)</f>
        <v>Electronics</v>
      </c>
      <c r="O951">
        <f>VLOOKUP(F951,Product_Master!$A$2:$D$11,4,FALSE)</f>
        <v>29000</v>
      </c>
      <c r="P951">
        <f t="shared" si="140"/>
        <v>350000</v>
      </c>
      <c r="Q951">
        <f t="shared" si="141"/>
        <v>35000</v>
      </c>
      <c r="R951">
        <f t="shared" si="142"/>
        <v>315000</v>
      </c>
      <c r="S951">
        <f t="shared" si="143"/>
        <v>25000</v>
      </c>
      <c r="T951" t="str">
        <f>_xlfn.CONCAT(Sales_Data!C951,"-",Sales_Data!E951,"-",Sales_Data!A951)</f>
        <v>East-C1002-1950</v>
      </c>
      <c r="U951" t="str">
        <f t="shared" si="144"/>
        <v>High Value</v>
      </c>
      <c r="V951" t="str" cm="1">
        <f t="array" ref="V951">_xlfn.IFS(R951&gt;=100000,"Excellent",R951&gt;=50000,"Good",R951&gt;=20000,"Average",TRUE,"Poor")</f>
        <v>Excellent</v>
      </c>
      <c r="W951">
        <f t="shared" si="145"/>
        <v>2</v>
      </c>
      <c r="X951" t="str">
        <f t="shared" si="146"/>
        <v>May</v>
      </c>
      <c r="Y951">
        <f>HLOOKUP("Q"&amp;W951,Bonus_HLookup!$A$1:$E$2,2,FALSE)</f>
        <v>0.04</v>
      </c>
      <c r="Z951">
        <f t="shared" si="147"/>
        <v>83246.240000000005</v>
      </c>
      <c r="AA951" s="1">
        <f t="shared" si="148"/>
        <v>4889.8694959964259</v>
      </c>
      <c r="AB951">
        <f t="shared" si="149"/>
        <v>45</v>
      </c>
    </row>
    <row r="952" spans="1:28" x14ac:dyDescent="0.3">
      <c r="A952">
        <v>1951</v>
      </c>
      <c r="B952" t="s">
        <v>389</v>
      </c>
      <c r="C952" t="s">
        <v>18</v>
      </c>
      <c r="D952" t="s">
        <v>23</v>
      </c>
      <c r="E952" t="s">
        <v>187</v>
      </c>
      <c r="F952" t="s">
        <v>36</v>
      </c>
      <c r="G952">
        <v>5</v>
      </c>
      <c r="H952">
        <v>55000</v>
      </c>
      <c r="I952">
        <v>5</v>
      </c>
      <c r="J952">
        <v>283559</v>
      </c>
      <c r="K952">
        <v>12</v>
      </c>
      <c r="L952">
        <v>4</v>
      </c>
      <c r="M952" t="str">
        <f>VLOOKUP(Sales_Data!F952,Product_Master!$A$2:$D$11,2)</f>
        <v>Laptop</v>
      </c>
      <c r="N952" t="str">
        <f>VLOOKUP(F952,Product_Master!$A$2:$C$11,3)</f>
        <v>Electronics</v>
      </c>
      <c r="O952">
        <f>VLOOKUP(F952,Product_Master!$A$2:$D$11,4,FALSE)</f>
        <v>45000</v>
      </c>
      <c r="P952">
        <f t="shared" si="140"/>
        <v>275000</v>
      </c>
      <c r="Q952">
        <f t="shared" si="141"/>
        <v>13750</v>
      </c>
      <c r="R952">
        <f t="shared" si="142"/>
        <v>261250</v>
      </c>
      <c r="S952">
        <f t="shared" si="143"/>
        <v>36250</v>
      </c>
      <c r="T952" t="str">
        <f>_xlfn.CONCAT(Sales_Data!C952,"-",Sales_Data!E952,"-",Sales_Data!A952)</f>
        <v>North-C1041-1951</v>
      </c>
      <c r="U952" t="str">
        <f t="shared" si="144"/>
        <v>High Value</v>
      </c>
      <c r="V952" t="str" cm="1">
        <f t="array" ref="V952">_xlfn.IFS(R952&gt;=100000,"Excellent",R952&gt;=50000,"Good",R952&gt;=20000,"Average",TRUE,"Poor")</f>
        <v>Excellent</v>
      </c>
      <c r="W952">
        <f t="shared" si="145"/>
        <v>1</v>
      </c>
      <c r="X952" t="str">
        <f t="shared" si="146"/>
        <v>January</v>
      </c>
      <c r="Y952">
        <f>HLOOKUP("Q"&amp;W952,Bonus_HLookup!$A$1:$E$2,2,FALSE)</f>
        <v>0.02</v>
      </c>
      <c r="Z952">
        <f t="shared" si="147"/>
        <v>136108.32</v>
      </c>
      <c r="AA952" s="1">
        <f t="shared" si="148"/>
        <v>7467.1960412420058</v>
      </c>
      <c r="AB952">
        <f t="shared" si="149"/>
        <v>70</v>
      </c>
    </row>
    <row r="953" spans="1:28" x14ac:dyDescent="0.3">
      <c r="A953">
        <v>1952</v>
      </c>
      <c r="B953" t="s">
        <v>413</v>
      </c>
      <c r="C953" t="s">
        <v>30</v>
      </c>
      <c r="D953" t="s">
        <v>14</v>
      </c>
      <c r="E953" t="s">
        <v>71</v>
      </c>
      <c r="F953" t="s">
        <v>42</v>
      </c>
      <c r="G953">
        <v>7</v>
      </c>
      <c r="H953">
        <v>8000</v>
      </c>
      <c r="I953">
        <v>8</v>
      </c>
      <c r="J953">
        <v>121623</v>
      </c>
      <c r="K953">
        <v>10</v>
      </c>
      <c r="L953">
        <v>2</v>
      </c>
      <c r="M953" t="str">
        <f>VLOOKUP(Sales_Data!F953,Product_Master!$A$2:$D$11,2)</f>
        <v>Printer</v>
      </c>
      <c r="N953" t="str">
        <f>VLOOKUP(F953,Product_Master!$A$2:$C$11,3)</f>
        <v>Electronics</v>
      </c>
      <c r="O953">
        <f>VLOOKUP(F953,Product_Master!$A$2:$D$11,4,FALSE)</f>
        <v>6500</v>
      </c>
      <c r="P953">
        <f t="shared" si="140"/>
        <v>56000</v>
      </c>
      <c r="Q953">
        <f t="shared" si="141"/>
        <v>4480</v>
      </c>
      <c r="R953">
        <f t="shared" si="142"/>
        <v>51520</v>
      </c>
      <c r="S953">
        <f t="shared" si="143"/>
        <v>6020</v>
      </c>
      <c r="T953" t="str">
        <f>_xlfn.CONCAT(Sales_Data!C953,"-",Sales_Data!E953,"-",Sales_Data!A953)</f>
        <v>South-C1019-1952</v>
      </c>
      <c r="U953" t="str">
        <f t="shared" si="144"/>
        <v>High Value</v>
      </c>
      <c r="V953" t="str" cm="1">
        <f t="array" ref="V953">_xlfn.IFS(R953&gt;=100000,"Excellent",R953&gt;=50000,"Good",R953&gt;=20000,"Average",TRUE,"Poor")</f>
        <v>Good</v>
      </c>
      <c r="W953">
        <f t="shared" si="145"/>
        <v>1</v>
      </c>
      <c r="X953" t="str">
        <f t="shared" si="146"/>
        <v>March</v>
      </c>
      <c r="Y953">
        <f>HLOOKUP("Q"&amp;W953,Bonus_HLookup!$A$1:$E$2,2,FALSE)</f>
        <v>0.02</v>
      </c>
      <c r="Z953">
        <f t="shared" si="147"/>
        <v>24324.6</v>
      </c>
      <c r="AA953" s="1">
        <f t="shared" si="148"/>
        <v>5612.2843759477701</v>
      </c>
      <c r="AB953">
        <f t="shared" si="149"/>
        <v>287</v>
      </c>
    </row>
    <row r="954" spans="1:28" x14ac:dyDescent="0.3">
      <c r="A954">
        <v>1953</v>
      </c>
      <c r="B954" t="s">
        <v>135</v>
      </c>
      <c r="C954" t="s">
        <v>30</v>
      </c>
      <c r="D954" t="s">
        <v>59</v>
      </c>
      <c r="E954" t="s">
        <v>38</v>
      </c>
      <c r="F954" t="s">
        <v>28</v>
      </c>
      <c r="G954">
        <v>8</v>
      </c>
      <c r="H954">
        <v>950</v>
      </c>
      <c r="I954">
        <v>0</v>
      </c>
      <c r="J954">
        <v>394619</v>
      </c>
      <c r="K954">
        <v>7</v>
      </c>
      <c r="L954">
        <v>5</v>
      </c>
      <c r="M954" t="str">
        <f>VLOOKUP(Sales_Data!F954,Product_Master!$A$2:$D$11,2)</f>
        <v>Webcam</v>
      </c>
      <c r="N954" t="str">
        <f>VLOOKUP(F954,Product_Master!$A$2:$C$11,3)</f>
        <v>Accessories</v>
      </c>
      <c r="O954">
        <f>VLOOKUP(F954,Product_Master!$A$2:$D$11,4,FALSE)</f>
        <v>700</v>
      </c>
      <c r="P954">
        <f t="shared" si="140"/>
        <v>7600</v>
      </c>
      <c r="Q954">
        <f t="shared" si="141"/>
        <v>0</v>
      </c>
      <c r="R954">
        <f t="shared" si="142"/>
        <v>7600</v>
      </c>
      <c r="S954">
        <f t="shared" si="143"/>
        <v>2000</v>
      </c>
      <c r="T954" t="str">
        <f>_xlfn.CONCAT(Sales_Data!C954,"-",Sales_Data!E954,"-",Sales_Data!A954)</f>
        <v>South-C1009-1953</v>
      </c>
      <c r="U954" t="str">
        <f t="shared" si="144"/>
        <v>Regular</v>
      </c>
      <c r="V954" t="str" cm="1">
        <f t="array" ref="V954">_xlfn.IFS(R954&gt;=100000,"Excellent",R954&gt;=50000,"Good",R954&gt;=20000,"Average",TRUE,"Poor")</f>
        <v>Poor</v>
      </c>
      <c r="W954">
        <f t="shared" si="145"/>
        <v>2</v>
      </c>
      <c r="X954" t="str">
        <f t="shared" si="146"/>
        <v>May</v>
      </c>
      <c r="Y954">
        <f>HLOOKUP("Q"&amp;W954,Bonus_HLookup!$A$1:$E$2,2,FALSE)</f>
        <v>0.04</v>
      </c>
      <c r="Z954">
        <f t="shared" si="147"/>
        <v>138116.65</v>
      </c>
      <c r="AA954" s="1">
        <f t="shared" si="148"/>
        <v>7813.9291667941934</v>
      </c>
      <c r="AB954">
        <f t="shared" si="149"/>
        <v>701</v>
      </c>
    </row>
    <row r="955" spans="1:28" x14ac:dyDescent="0.3">
      <c r="A955">
        <v>1954</v>
      </c>
      <c r="B955" t="s">
        <v>411</v>
      </c>
      <c r="C955" t="s">
        <v>18</v>
      </c>
      <c r="D955" t="s">
        <v>33</v>
      </c>
      <c r="E955" t="s">
        <v>133</v>
      </c>
      <c r="F955" t="s">
        <v>25</v>
      </c>
      <c r="G955">
        <v>3</v>
      </c>
      <c r="H955">
        <v>1500</v>
      </c>
      <c r="I955">
        <v>8</v>
      </c>
      <c r="J955">
        <v>218425</v>
      </c>
      <c r="K955">
        <v>11</v>
      </c>
      <c r="L955">
        <v>2</v>
      </c>
      <c r="M955" t="str">
        <f>VLOOKUP(Sales_Data!F955,Product_Master!$A$2:$D$11,2)</f>
        <v>Keyboard</v>
      </c>
      <c r="N955" t="str">
        <f>VLOOKUP(F955,Product_Master!$A$2:$C$11,3)</f>
        <v>Accessories</v>
      </c>
      <c r="O955">
        <f>VLOOKUP(F955,Product_Master!$A$2:$D$11,4,FALSE)</f>
        <v>1200</v>
      </c>
      <c r="P955">
        <f t="shared" si="140"/>
        <v>4500</v>
      </c>
      <c r="Q955">
        <f t="shared" si="141"/>
        <v>360</v>
      </c>
      <c r="R955">
        <f t="shared" si="142"/>
        <v>4140</v>
      </c>
      <c r="S955">
        <f t="shared" si="143"/>
        <v>540</v>
      </c>
      <c r="T955" t="str">
        <f>_xlfn.CONCAT(Sales_Data!C955,"-",Sales_Data!E955,"-",Sales_Data!A955)</f>
        <v>North-C1021-1954</v>
      </c>
      <c r="U955" t="str">
        <f t="shared" si="144"/>
        <v>Regular</v>
      </c>
      <c r="V955" t="str" cm="1">
        <f t="array" ref="V955">_xlfn.IFS(R955&gt;=100000,"Excellent",R955&gt;=50000,"Good",R955&gt;=20000,"Average",TRUE,"Poor")</f>
        <v>Poor</v>
      </c>
      <c r="W955">
        <f t="shared" si="145"/>
        <v>3</v>
      </c>
      <c r="X955" t="str">
        <f t="shared" si="146"/>
        <v>August</v>
      </c>
      <c r="Y955">
        <f>HLOOKUP("Q"&amp;W955,Bonus_HLookup!$A$1:$E$2,2,FALSE)</f>
        <v>0.06</v>
      </c>
      <c r="Z955">
        <f t="shared" si="147"/>
        <v>48053.5</v>
      </c>
      <c r="AA955" s="1">
        <f t="shared" si="148"/>
        <v>10180.317058075985</v>
      </c>
      <c r="AB955">
        <f t="shared" si="149"/>
        <v>829</v>
      </c>
    </row>
    <row r="956" spans="1:28" x14ac:dyDescent="0.3">
      <c r="A956">
        <v>1955</v>
      </c>
      <c r="B956" t="s">
        <v>233</v>
      </c>
      <c r="C956" t="s">
        <v>18</v>
      </c>
      <c r="D956" t="s">
        <v>33</v>
      </c>
      <c r="E956" t="s">
        <v>27</v>
      </c>
      <c r="F956" t="s">
        <v>42</v>
      </c>
      <c r="G956">
        <v>5</v>
      </c>
      <c r="H956">
        <v>8000</v>
      </c>
      <c r="I956">
        <v>5</v>
      </c>
      <c r="J956">
        <v>83144</v>
      </c>
      <c r="K956">
        <v>7</v>
      </c>
      <c r="L956">
        <v>5</v>
      </c>
      <c r="M956" t="str">
        <f>VLOOKUP(Sales_Data!F956,Product_Master!$A$2:$D$11,2)</f>
        <v>Printer</v>
      </c>
      <c r="N956" t="str">
        <f>VLOOKUP(F956,Product_Master!$A$2:$C$11,3)</f>
        <v>Electronics</v>
      </c>
      <c r="O956">
        <f>VLOOKUP(F956,Product_Master!$A$2:$D$11,4,FALSE)</f>
        <v>6500</v>
      </c>
      <c r="P956">
        <f t="shared" si="140"/>
        <v>40000</v>
      </c>
      <c r="Q956">
        <f t="shared" si="141"/>
        <v>2000</v>
      </c>
      <c r="R956">
        <f t="shared" si="142"/>
        <v>38000</v>
      </c>
      <c r="S956">
        <f t="shared" si="143"/>
        <v>5500</v>
      </c>
      <c r="T956" t="str">
        <f>_xlfn.CONCAT(Sales_Data!C956,"-",Sales_Data!E956,"-",Sales_Data!A956)</f>
        <v>North-C1007-1955</v>
      </c>
      <c r="U956" t="str">
        <f t="shared" si="144"/>
        <v>Regular</v>
      </c>
      <c r="V956" t="str" cm="1">
        <f t="array" ref="V956">_xlfn.IFS(R956&gt;=100000,"Excellent",R956&gt;=50000,"Good",R956&gt;=20000,"Average",TRUE,"Poor")</f>
        <v>Average</v>
      </c>
      <c r="W956">
        <f t="shared" si="145"/>
        <v>4</v>
      </c>
      <c r="X956" t="str">
        <f t="shared" si="146"/>
        <v>October</v>
      </c>
      <c r="Y956">
        <f>HLOOKUP("Q"&amp;W956,Bonus_HLookup!$A$1:$E$2,2,FALSE)</f>
        <v>0.08</v>
      </c>
      <c r="Z956">
        <f t="shared" si="147"/>
        <v>29100.400000000001</v>
      </c>
      <c r="AA956" s="1">
        <f t="shared" si="148"/>
        <v>1646.3508514388218</v>
      </c>
      <c r="AB956">
        <f t="shared" si="149"/>
        <v>340</v>
      </c>
    </row>
    <row r="957" spans="1:28" x14ac:dyDescent="0.3">
      <c r="A957">
        <v>1956</v>
      </c>
      <c r="B957" t="s">
        <v>420</v>
      </c>
      <c r="C957" t="s">
        <v>13</v>
      </c>
      <c r="D957" t="s">
        <v>50</v>
      </c>
      <c r="E957" t="s">
        <v>89</v>
      </c>
      <c r="F957" t="s">
        <v>42</v>
      </c>
      <c r="G957">
        <v>9</v>
      </c>
      <c r="H957">
        <v>8000</v>
      </c>
      <c r="I957">
        <v>2</v>
      </c>
      <c r="J957">
        <v>405153</v>
      </c>
      <c r="K957">
        <v>10</v>
      </c>
      <c r="L957">
        <v>4</v>
      </c>
      <c r="M957" t="str">
        <f>VLOOKUP(Sales_Data!F957,Product_Master!$A$2:$D$11,2)</f>
        <v>Printer</v>
      </c>
      <c r="N957" t="str">
        <f>VLOOKUP(F957,Product_Master!$A$2:$C$11,3)</f>
        <v>Electronics</v>
      </c>
      <c r="O957">
        <f>VLOOKUP(F957,Product_Master!$A$2:$D$11,4,FALSE)</f>
        <v>6500</v>
      </c>
      <c r="P957">
        <f t="shared" si="140"/>
        <v>72000</v>
      </c>
      <c r="Q957">
        <f t="shared" si="141"/>
        <v>1440</v>
      </c>
      <c r="R957">
        <f t="shared" si="142"/>
        <v>70560</v>
      </c>
      <c r="S957">
        <f t="shared" si="143"/>
        <v>12060</v>
      </c>
      <c r="T957" t="str">
        <f>_xlfn.CONCAT(Sales_Data!C957,"-",Sales_Data!E957,"-",Sales_Data!A957)</f>
        <v>West-C1022-1956</v>
      </c>
      <c r="U957" t="str">
        <f t="shared" si="144"/>
        <v>High Value</v>
      </c>
      <c r="V957" t="str" cm="1">
        <f t="array" ref="V957">_xlfn.IFS(R957&gt;=100000,"Excellent",R957&gt;=50000,"Good",R957&gt;=20000,"Average",TRUE,"Poor")</f>
        <v>Good</v>
      </c>
      <c r="W957">
        <f t="shared" si="145"/>
        <v>3</v>
      </c>
      <c r="X957" t="str">
        <f t="shared" si="146"/>
        <v>September</v>
      </c>
      <c r="Y957">
        <f>HLOOKUP("Q"&amp;W957,Bonus_HLookup!$A$1:$E$2,2,FALSE)</f>
        <v>0.06</v>
      </c>
      <c r="Z957">
        <f t="shared" si="147"/>
        <v>162061.20000000001</v>
      </c>
      <c r="AA957" s="1">
        <f t="shared" si="148"/>
        <v>10275.726766338128</v>
      </c>
      <c r="AB957">
        <f t="shared" si="149"/>
        <v>214</v>
      </c>
    </row>
    <row r="958" spans="1:28" x14ac:dyDescent="0.3">
      <c r="A958">
        <v>1957</v>
      </c>
      <c r="B958" t="s">
        <v>266</v>
      </c>
      <c r="C958" t="s">
        <v>30</v>
      </c>
      <c r="D958" t="s">
        <v>59</v>
      </c>
      <c r="E958" t="s">
        <v>20</v>
      </c>
      <c r="F958" t="s">
        <v>69</v>
      </c>
      <c r="G958">
        <v>5</v>
      </c>
      <c r="H958">
        <v>2000</v>
      </c>
      <c r="I958">
        <v>10</v>
      </c>
      <c r="J958">
        <v>255210</v>
      </c>
      <c r="K958">
        <v>10</v>
      </c>
      <c r="L958">
        <v>3</v>
      </c>
      <c r="M958" t="str">
        <f>VLOOKUP(Sales_Data!F958,Product_Master!$A$2:$D$11,2)</f>
        <v>Headset</v>
      </c>
      <c r="N958" t="str">
        <f>VLOOKUP(F958,Product_Master!$A$2:$C$11,3)</f>
        <v>Accessories</v>
      </c>
      <c r="O958">
        <f>VLOOKUP(F958,Product_Master!$A$2:$D$11,4,FALSE)</f>
        <v>1500</v>
      </c>
      <c r="P958">
        <f t="shared" si="140"/>
        <v>10000</v>
      </c>
      <c r="Q958">
        <f t="shared" si="141"/>
        <v>1000</v>
      </c>
      <c r="R958">
        <f t="shared" si="142"/>
        <v>9000</v>
      </c>
      <c r="S958">
        <f t="shared" si="143"/>
        <v>1500</v>
      </c>
      <c r="T958" t="str">
        <f>_xlfn.CONCAT(Sales_Data!C958,"-",Sales_Data!E958,"-",Sales_Data!A958)</f>
        <v>South-C1003-1957</v>
      </c>
      <c r="U958" t="str">
        <f t="shared" si="144"/>
        <v>Regular</v>
      </c>
      <c r="V958" t="str" cm="1">
        <f t="array" ref="V958">_xlfn.IFS(R958&gt;=100000,"Excellent",R958&gt;=50000,"Good",R958&gt;=20000,"Average",TRUE,"Poor")</f>
        <v>Poor</v>
      </c>
      <c r="W958">
        <f t="shared" si="145"/>
        <v>1</v>
      </c>
      <c r="X958" t="str">
        <f t="shared" si="146"/>
        <v>February</v>
      </c>
      <c r="Y958">
        <f>HLOOKUP("Q"&amp;W958,Bonus_HLookup!$A$1:$E$2,2,FALSE)</f>
        <v>0.02</v>
      </c>
      <c r="Z958">
        <f t="shared" si="147"/>
        <v>76563</v>
      </c>
      <c r="AA958" s="1">
        <f t="shared" si="148"/>
        <v>8234.9088437392638</v>
      </c>
      <c r="AB958">
        <f t="shared" si="149"/>
        <v>663</v>
      </c>
    </row>
    <row r="959" spans="1:28" x14ac:dyDescent="0.3">
      <c r="A959">
        <v>1958</v>
      </c>
      <c r="B959" t="s">
        <v>12</v>
      </c>
      <c r="C959" t="s">
        <v>13</v>
      </c>
      <c r="D959" t="s">
        <v>50</v>
      </c>
      <c r="E959" t="s">
        <v>66</v>
      </c>
      <c r="F959" t="s">
        <v>36</v>
      </c>
      <c r="G959">
        <v>3</v>
      </c>
      <c r="H959">
        <v>55000</v>
      </c>
      <c r="I959">
        <v>10</v>
      </c>
      <c r="J959">
        <v>481083</v>
      </c>
      <c r="K959">
        <v>8</v>
      </c>
      <c r="L959">
        <v>2</v>
      </c>
      <c r="M959" t="str">
        <f>VLOOKUP(Sales_Data!F959,Product_Master!$A$2:$D$11,2)</f>
        <v>Laptop</v>
      </c>
      <c r="N959" t="str">
        <f>VLOOKUP(F959,Product_Master!$A$2:$C$11,3)</f>
        <v>Electronics</v>
      </c>
      <c r="O959">
        <f>VLOOKUP(F959,Product_Master!$A$2:$D$11,4,FALSE)</f>
        <v>45000</v>
      </c>
      <c r="P959">
        <f t="shared" si="140"/>
        <v>165000</v>
      </c>
      <c r="Q959">
        <f t="shared" si="141"/>
        <v>16500</v>
      </c>
      <c r="R959">
        <f t="shared" si="142"/>
        <v>148500</v>
      </c>
      <c r="S959">
        <f t="shared" si="143"/>
        <v>13500</v>
      </c>
      <c r="T959" t="str">
        <f>_xlfn.CONCAT(Sales_Data!C959,"-",Sales_Data!E959,"-",Sales_Data!A959)</f>
        <v>West-C1010-1958</v>
      </c>
      <c r="U959" t="str">
        <f t="shared" si="144"/>
        <v>High Value</v>
      </c>
      <c r="V959" t="str" cm="1">
        <f t="array" ref="V959">_xlfn.IFS(R959&gt;=100000,"Excellent",R959&gt;=50000,"Good",R959&gt;=20000,"Average",TRUE,"Poor")</f>
        <v>Excellent</v>
      </c>
      <c r="W959">
        <f t="shared" si="145"/>
        <v>4</v>
      </c>
      <c r="X959" t="str">
        <f t="shared" si="146"/>
        <v>December</v>
      </c>
      <c r="Y959">
        <f>HLOOKUP("Q"&amp;W959,Bonus_HLookup!$A$1:$E$2,2,FALSE)</f>
        <v>0.08</v>
      </c>
      <c r="Z959">
        <f t="shared" si="147"/>
        <v>76973.279999999999</v>
      </c>
      <c r="AA959" s="1">
        <f t="shared" si="148"/>
        <v>21758.081055615439</v>
      </c>
      <c r="AB959">
        <f t="shared" si="149"/>
        <v>135</v>
      </c>
    </row>
    <row r="960" spans="1:28" x14ac:dyDescent="0.3">
      <c r="A960">
        <v>1959</v>
      </c>
      <c r="B960" t="s">
        <v>156</v>
      </c>
      <c r="C960" t="s">
        <v>18</v>
      </c>
      <c r="D960" t="s">
        <v>23</v>
      </c>
      <c r="E960" t="s">
        <v>66</v>
      </c>
      <c r="F960" t="s">
        <v>69</v>
      </c>
      <c r="G960">
        <v>6</v>
      </c>
      <c r="H960">
        <v>2000</v>
      </c>
      <c r="I960">
        <v>15</v>
      </c>
      <c r="J960">
        <v>288574</v>
      </c>
      <c r="K960">
        <v>11</v>
      </c>
      <c r="L960">
        <v>1</v>
      </c>
      <c r="M960" t="str">
        <f>VLOOKUP(Sales_Data!F960,Product_Master!$A$2:$D$11,2)</f>
        <v>Headset</v>
      </c>
      <c r="N960" t="str">
        <f>VLOOKUP(F960,Product_Master!$A$2:$C$11,3)</f>
        <v>Accessories</v>
      </c>
      <c r="O960">
        <f>VLOOKUP(F960,Product_Master!$A$2:$D$11,4,FALSE)</f>
        <v>1500</v>
      </c>
      <c r="P960">
        <f t="shared" si="140"/>
        <v>12000</v>
      </c>
      <c r="Q960">
        <f t="shared" si="141"/>
        <v>1800</v>
      </c>
      <c r="R960">
        <f t="shared" si="142"/>
        <v>10200</v>
      </c>
      <c r="S960">
        <f t="shared" si="143"/>
        <v>1200</v>
      </c>
      <c r="T960" t="str">
        <f>_xlfn.CONCAT(Sales_Data!C960,"-",Sales_Data!E960,"-",Sales_Data!A960)</f>
        <v>North-C1010-1959</v>
      </c>
      <c r="U960" t="str">
        <f t="shared" si="144"/>
        <v>Regular</v>
      </c>
      <c r="V960" t="str" cm="1">
        <f t="array" ref="V960">_xlfn.IFS(R960&gt;=100000,"Excellent",R960&gt;=50000,"Good",R960&gt;=20000,"Average",TRUE,"Poor")</f>
        <v>Poor</v>
      </c>
      <c r="W960">
        <f t="shared" si="145"/>
        <v>1</v>
      </c>
      <c r="X960" t="str">
        <f t="shared" si="146"/>
        <v>February</v>
      </c>
      <c r="Y960">
        <f>HLOOKUP("Q"&amp;W960,Bonus_HLookup!$A$1:$E$2,2,FALSE)</f>
        <v>0.02</v>
      </c>
      <c r="Z960">
        <f t="shared" si="147"/>
        <v>31743.14</v>
      </c>
      <c r="AA960" s="1">
        <f t="shared" si="148"/>
        <v>25504.648726213363</v>
      </c>
      <c r="AB960">
        <f t="shared" si="149"/>
        <v>630</v>
      </c>
    </row>
    <row r="961" spans="1:28" x14ac:dyDescent="0.3">
      <c r="A961">
        <v>1960</v>
      </c>
      <c r="B961" t="s">
        <v>177</v>
      </c>
      <c r="C961" t="s">
        <v>18</v>
      </c>
      <c r="D961" t="s">
        <v>46</v>
      </c>
      <c r="E961" t="s">
        <v>196</v>
      </c>
      <c r="F961" t="s">
        <v>25</v>
      </c>
      <c r="G961">
        <v>1</v>
      </c>
      <c r="H961">
        <v>1500</v>
      </c>
      <c r="I961">
        <v>15</v>
      </c>
      <c r="J961">
        <v>478476</v>
      </c>
      <c r="K961">
        <v>9</v>
      </c>
      <c r="L961">
        <v>4</v>
      </c>
      <c r="M961" t="str">
        <f>VLOOKUP(Sales_Data!F961,Product_Master!$A$2:$D$11,2)</f>
        <v>Keyboard</v>
      </c>
      <c r="N961" t="str">
        <f>VLOOKUP(F961,Product_Master!$A$2:$C$11,3)</f>
        <v>Accessories</v>
      </c>
      <c r="O961">
        <f>VLOOKUP(F961,Product_Master!$A$2:$D$11,4,FALSE)</f>
        <v>1200</v>
      </c>
      <c r="P961">
        <f t="shared" si="140"/>
        <v>1500</v>
      </c>
      <c r="Q961">
        <f t="shared" si="141"/>
        <v>225</v>
      </c>
      <c r="R961">
        <f t="shared" si="142"/>
        <v>1275</v>
      </c>
      <c r="S961">
        <f t="shared" si="143"/>
        <v>75</v>
      </c>
      <c r="T961" t="str">
        <f>_xlfn.CONCAT(Sales_Data!C961,"-",Sales_Data!E961,"-",Sales_Data!A961)</f>
        <v>North-C1032-1960</v>
      </c>
      <c r="U961" t="str">
        <f t="shared" si="144"/>
        <v>Regular</v>
      </c>
      <c r="V961" t="str" cm="1">
        <f t="array" ref="V961">_xlfn.IFS(R961&gt;=100000,"Excellent",R961&gt;=50000,"Good",R961&gt;=20000,"Average",TRUE,"Poor")</f>
        <v>Poor</v>
      </c>
      <c r="W961">
        <f t="shared" si="145"/>
        <v>2</v>
      </c>
      <c r="X961" t="str">
        <f t="shared" si="146"/>
        <v>May</v>
      </c>
      <c r="Y961">
        <f>HLOOKUP("Q"&amp;W961,Bonus_HLookup!$A$1:$E$2,2,FALSE)</f>
        <v>0.04</v>
      </c>
      <c r="Z961">
        <f t="shared" si="147"/>
        <v>172251.36</v>
      </c>
      <c r="AA961" s="1">
        <f t="shared" si="148"/>
        <v>11906.895534910544</v>
      </c>
      <c r="AB961">
        <f t="shared" si="149"/>
        <v>961</v>
      </c>
    </row>
    <row r="962" spans="1:28" x14ac:dyDescent="0.3">
      <c r="A962">
        <v>1961</v>
      </c>
      <c r="B962" t="s">
        <v>195</v>
      </c>
      <c r="C962" t="s">
        <v>18</v>
      </c>
      <c r="D962" t="s">
        <v>23</v>
      </c>
      <c r="E962" t="s">
        <v>157</v>
      </c>
      <c r="F962" t="s">
        <v>74</v>
      </c>
      <c r="G962">
        <v>9</v>
      </c>
      <c r="H962">
        <v>35000</v>
      </c>
      <c r="I962">
        <v>0</v>
      </c>
      <c r="J962">
        <v>62950</v>
      </c>
      <c r="K962">
        <v>12</v>
      </c>
      <c r="L962">
        <v>3</v>
      </c>
      <c r="M962" t="str">
        <f>VLOOKUP(Sales_Data!F962,Product_Master!$A$2:$D$11,2)</f>
        <v>Tablet</v>
      </c>
      <c r="N962" t="str">
        <f>VLOOKUP(F962,Product_Master!$A$2:$C$11,3)</f>
        <v>Electronics</v>
      </c>
      <c r="O962">
        <f>VLOOKUP(F962,Product_Master!$A$2:$D$11,4,FALSE)</f>
        <v>29000</v>
      </c>
      <c r="P962">
        <f t="shared" si="140"/>
        <v>315000</v>
      </c>
      <c r="Q962">
        <f t="shared" si="141"/>
        <v>0</v>
      </c>
      <c r="R962">
        <f t="shared" si="142"/>
        <v>315000</v>
      </c>
      <c r="S962">
        <f t="shared" si="143"/>
        <v>54000</v>
      </c>
      <c r="T962" t="str">
        <f>_xlfn.CONCAT(Sales_Data!C962,"-",Sales_Data!E962,"-",Sales_Data!A962)</f>
        <v>North-C1024-1961</v>
      </c>
      <c r="U962" t="str">
        <f t="shared" si="144"/>
        <v>High Value</v>
      </c>
      <c r="V962" t="str" cm="1">
        <f t="array" ref="V962">_xlfn.IFS(R962&gt;=100000,"Excellent",R962&gt;=50000,"Good",R962&gt;=20000,"Average",TRUE,"Poor")</f>
        <v>Excellent</v>
      </c>
      <c r="W962">
        <f t="shared" si="145"/>
        <v>2</v>
      </c>
      <c r="X962" t="str">
        <f t="shared" si="146"/>
        <v>April</v>
      </c>
      <c r="Y962">
        <f>HLOOKUP("Q"&amp;W962,Bonus_HLookup!$A$1:$E$2,2,FALSE)</f>
        <v>0.04</v>
      </c>
      <c r="Z962">
        <f t="shared" si="147"/>
        <v>22662</v>
      </c>
      <c r="AA962" s="1">
        <f t="shared" si="148"/>
        <v>2090.8408027189826</v>
      </c>
      <c r="AB962">
        <f t="shared" si="149"/>
        <v>45</v>
      </c>
    </row>
    <row r="963" spans="1:28" x14ac:dyDescent="0.3">
      <c r="A963">
        <v>1962</v>
      </c>
      <c r="B963" t="s">
        <v>336</v>
      </c>
      <c r="C963" t="s">
        <v>30</v>
      </c>
      <c r="D963" t="s">
        <v>19</v>
      </c>
      <c r="E963" t="s">
        <v>183</v>
      </c>
      <c r="F963" t="s">
        <v>16</v>
      </c>
      <c r="G963">
        <v>6</v>
      </c>
      <c r="H963">
        <v>2500</v>
      </c>
      <c r="I963">
        <v>0</v>
      </c>
      <c r="J963">
        <v>453326</v>
      </c>
      <c r="K963">
        <v>12</v>
      </c>
      <c r="L963">
        <v>5</v>
      </c>
      <c r="M963" t="str">
        <f>VLOOKUP(Sales_Data!F963,Product_Master!$A$2:$D$11,2)</f>
        <v>Speaker</v>
      </c>
      <c r="N963" t="str">
        <f>VLOOKUP(F963,Product_Master!$A$2:$C$11,3)</f>
        <v>Accessories</v>
      </c>
      <c r="O963">
        <f>VLOOKUP(F963,Product_Master!$A$2:$D$11,4,FALSE)</f>
        <v>1800</v>
      </c>
      <c r="P963">
        <f t="shared" ref="P963:P1001" si="150">H963*G963</f>
        <v>15000</v>
      </c>
      <c r="Q963">
        <f t="shared" ref="Q963:Q1001" si="151">P963*(I963/100)</f>
        <v>0</v>
      </c>
      <c r="R963">
        <f t="shared" ref="R963:R1001" si="152">P963-Q963</f>
        <v>15000</v>
      </c>
      <c r="S963">
        <f t="shared" ref="S963:S1001" si="153">R963-(G963*O963)</f>
        <v>4200</v>
      </c>
      <c r="T963" t="str">
        <f>_xlfn.CONCAT(Sales_Data!C963,"-",Sales_Data!E963,"-",Sales_Data!A963)</f>
        <v>South-C1008-1962</v>
      </c>
      <c r="U963" t="str">
        <f t="shared" ref="U963:U1001" si="154">IF(R963&gt;=50000,"High Value","Regular")</f>
        <v>Regular</v>
      </c>
      <c r="V963" t="str" cm="1">
        <f t="array" ref="V963">_xlfn.IFS(R963&gt;=100000,"Excellent",R963&gt;=50000,"Good",R963&gt;=20000,"Average",TRUE,"Poor")</f>
        <v>Poor</v>
      </c>
      <c r="W963">
        <f t="shared" ref="W963:W1001" si="155">ROUNDUP(MONTH(B963)/3,0)</f>
        <v>3</v>
      </c>
      <c r="X963" t="str">
        <f t="shared" ref="X963:X1001" si="156">TEXT(B963,"mmmm")</f>
        <v>September</v>
      </c>
      <c r="Y963">
        <f>HLOOKUP("Q"&amp;W963,Bonus_HLookup!$A$1:$E$2,2,FALSE)</f>
        <v>0.06</v>
      </c>
      <c r="Z963">
        <f t="shared" ref="Z963:Z1001" si="157">(J963*K963*L963)/100</f>
        <v>271995.59999999998</v>
      </c>
      <c r="AA963" s="1">
        <f t="shared" ref="AA963:AA1001" si="158">PMT(K963/1200,L963*12,-J963)</f>
        <v>10083.98649120578</v>
      </c>
      <c r="AB963">
        <f t="shared" ref="AB963:AB1001" si="159">RANK(R963,$R$2:$R$1001)</f>
        <v>526</v>
      </c>
    </row>
    <row r="964" spans="1:28" x14ac:dyDescent="0.3">
      <c r="A964">
        <v>1963</v>
      </c>
      <c r="B964" t="s">
        <v>200</v>
      </c>
      <c r="C964" t="s">
        <v>30</v>
      </c>
      <c r="D964" t="s">
        <v>23</v>
      </c>
      <c r="E964" t="s">
        <v>44</v>
      </c>
      <c r="F964" t="s">
        <v>21</v>
      </c>
      <c r="G964">
        <v>7</v>
      </c>
      <c r="H964">
        <v>12000</v>
      </c>
      <c r="I964">
        <v>5</v>
      </c>
      <c r="J964">
        <v>253276</v>
      </c>
      <c r="K964">
        <v>12</v>
      </c>
      <c r="L964">
        <v>1</v>
      </c>
      <c r="M964" t="str">
        <f>VLOOKUP(Sales_Data!F964,Product_Master!$A$2:$D$11,2)</f>
        <v>Monitor</v>
      </c>
      <c r="N964" t="str">
        <f>VLOOKUP(F964,Product_Master!$A$2:$C$11,3)</f>
        <v>Electronics</v>
      </c>
      <c r="O964">
        <f>VLOOKUP(F964,Product_Master!$A$2:$D$11,4,FALSE)</f>
        <v>9000</v>
      </c>
      <c r="P964">
        <f t="shared" si="150"/>
        <v>84000</v>
      </c>
      <c r="Q964">
        <f t="shared" si="151"/>
        <v>4200</v>
      </c>
      <c r="R964">
        <f t="shared" si="152"/>
        <v>79800</v>
      </c>
      <c r="S964">
        <f t="shared" si="153"/>
        <v>16800</v>
      </c>
      <c r="T964" t="str">
        <f>_xlfn.CONCAT(Sales_Data!C964,"-",Sales_Data!E964,"-",Sales_Data!A964)</f>
        <v>South-C1028-1963</v>
      </c>
      <c r="U964" t="str">
        <f t="shared" si="154"/>
        <v>High Value</v>
      </c>
      <c r="V964" t="str" cm="1">
        <f t="array" ref="V964">_xlfn.IFS(R964&gt;=100000,"Excellent",R964&gt;=50000,"Good",R964&gt;=20000,"Average",TRUE,"Poor")</f>
        <v>Good</v>
      </c>
      <c r="W964">
        <f t="shared" si="155"/>
        <v>2</v>
      </c>
      <c r="X964" t="str">
        <f t="shared" si="156"/>
        <v>May</v>
      </c>
      <c r="Y964">
        <f>HLOOKUP("Q"&amp;W964,Bonus_HLookup!$A$1:$E$2,2,FALSE)</f>
        <v>0.04</v>
      </c>
      <c r="Z964">
        <f t="shared" si="157"/>
        <v>30393.119999999999</v>
      </c>
      <c r="AA964" s="1">
        <f t="shared" si="158"/>
        <v>22503.265801295671</v>
      </c>
      <c r="AB964">
        <f t="shared" si="159"/>
        <v>194</v>
      </c>
    </row>
    <row r="965" spans="1:28" x14ac:dyDescent="0.3">
      <c r="A965">
        <v>1964</v>
      </c>
      <c r="B965" t="s">
        <v>123</v>
      </c>
      <c r="C965" t="s">
        <v>18</v>
      </c>
      <c r="D965" t="s">
        <v>19</v>
      </c>
      <c r="E965" t="s">
        <v>15</v>
      </c>
      <c r="F965" t="s">
        <v>36</v>
      </c>
      <c r="G965">
        <v>4</v>
      </c>
      <c r="H965">
        <v>55000</v>
      </c>
      <c r="I965">
        <v>5</v>
      </c>
      <c r="J965">
        <v>106962</v>
      </c>
      <c r="K965">
        <v>9</v>
      </c>
      <c r="L965">
        <v>1</v>
      </c>
      <c r="M965" t="str">
        <f>VLOOKUP(Sales_Data!F965,Product_Master!$A$2:$D$11,2)</f>
        <v>Laptop</v>
      </c>
      <c r="N965" t="str">
        <f>VLOOKUP(F965,Product_Master!$A$2:$C$11,3)</f>
        <v>Electronics</v>
      </c>
      <c r="O965">
        <f>VLOOKUP(F965,Product_Master!$A$2:$D$11,4,FALSE)</f>
        <v>45000</v>
      </c>
      <c r="P965">
        <f t="shared" si="150"/>
        <v>220000</v>
      </c>
      <c r="Q965">
        <f t="shared" si="151"/>
        <v>11000</v>
      </c>
      <c r="R965">
        <f t="shared" si="152"/>
        <v>209000</v>
      </c>
      <c r="S965">
        <f t="shared" si="153"/>
        <v>29000</v>
      </c>
      <c r="T965" t="str">
        <f>_xlfn.CONCAT(Sales_Data!C965,"-",Sales_Data!E965,"-",Sales_Data!A965)</f>
        <v>North-C1016-1964</v>
      </c>
      <c r="U965" t="str">
        <f t="shared" si="154"/>
        <v>High Value</v>
      </c>
      <c r="V965" t="str" cm="1">
        <f t="array" ref="V965">_xlfn.IFS(R965&gt;=100000,"Excellent",R965&gt;=50000,"Good",R965&gt;=20000,"Average",TRUE,"Poor")</f>
        <v>Excellent</v>
      </c>
      <c r="W965">
        <f t="shared" si="155"/>
        <v>1</v>
      </c>
      <c r="X965" t="str">
        <f t="shared" si="156"/>
        <v>February</v>
      </c>
      <c r="Y965">
        <f>HLOOKUP("Q"&amp;W965,Bonus_HLookup!$A$1:$E$2,2,FALSE)</f>
        <v>0.02</v>
      </c>
      <c r="Z965">
        <f t="shared" si="157"/>
        <v>9626.58</v>
      </c>
      <c r="AA965" s="1">
        <f t="shared" si="158"/>
        <v>9353.9848582643353</v>
      </c>
      <c r="AB965">
        <f t="shared" si="159"/>
        <v>102</v>
      </c>
    </row>
    <row r="966" spans="1:28" x14ac:dyDescent="0.3">
      <c r="A966">
        <v>1965</v>
      </c>
      <c r="B966" t="s">
        <v>334</v>
      </c>
      <c r="C966" t="s">
        <v>62</v>
      </c>
      <c r="D966" t="s">
        <v>14</v>
      </c>
      <c r="E966" t="s">
        <v>131</v>
      </c>
      <c r="F966" t="s">
        <v>42</v>
      </c>
      <c r="G966">
        <v>1</v>
      </c>
      <c r="H966">
        <v>8000</v>
      </c>
      <c r="I966">
        <v>8</v>
      </c>
      <c r="J966">
        <v>343745</v>
      </c>
      <c r="K966">
        <v>10</v>
      </c>
      <c r="L966">
        <v>1</v>
      </c>
      <c r="M966" t="str">
        <f>VLOOKUP(Sales_Data!F966,Product_Master!$A$2:$D$11,2)</f>
        <v>Printer</v>
      </c>
      <c r="N966" t="str">
        <f>VLOOKUP(F966,Product_Master!$A$2:$C$11,3)</f>
        <v>Electronics</v>
      </c>
      <c r="O966">
        <f>VLOOKUP(F966,Product_Master!$A$2:$D$11,4,FALSE)</f>
        <v>6500</v>
      </c>
      <c r="P966">
        <f t="shared" si="150"/>
        <v>8000</v>
      </c>
      <c r="Q966">
        <f t="shared" si="151"/>
        <v>640</v>
      </c>
      <c r="R966">
        <f t="shared" si="152"/>
        <v>7360</v>
      </c>
      <c r="S966">
        <f t="shared" si="153"/>
        <v>860</v>
      </c>
      <c r="T966" t="str">
        <f>_xlfn.CONCAT(Sales_Data!C966,"-",Sales_Data!E966,"-",Sales_Data!A966)</f>
        <v>East-C1047-1965</v>
      </c>
      <c r="U966" t="str">
        <f t="shared" si="154"/>
        <v>Regular</v>
      </c>
      <c r="V966" t="str" cm="1">
        <f t="array" ref="V966">_xlfn.IFS(R966&gt;=100000,"Excellent",R966&gt;=50000,"Good",R966&gt;=20000,"Average",TRUE,"Poor")</f>
        <v>Poor</v>
      </c>
      <c r="W966">
        <f t="shared" si="155"/>
        <v>3</v>
      </c>
      <c r="X966" t="str">
        <f t="shared" si="156"/>
        <v>July</v>
      </c>
      <c r="Y966">
        <f>HLOOKUP("Q"&amp;W966,Bonus_HLookup!$A$1:$E$2,2,FALSE)</f>
        <v>0.06</v>
      </c>
      <c r="Z966">
        <f t="shared" si="157"/>
        <v>34374.5</v>
      </c>
      <c r="AA966" s="1">
        <f t="shared" si="158"/>
        <v>30220.646655879646</v>
      </c>
      <c r="AB966">
        <f t="shared" si="159"/>
        <v>709</v>
      </c>
    </row>
    <row r="967" spans="1:28" x14ac:dyDescent="0.3">
      <c r="A967">
        <v>1966</v>
      </c>
      <c r="B967" t="s">
        <v>194</v>
      </c>
      <c r="C967" t="s">
        <v>13</v>
      </c>
      <c r="D967" t="s">
        <v>50</v>
      </c>
      <c r="E967" t="s">
        <v>146</v>
      </c>
      <c r="F967" t="s">
        <v>74</v>
      </c>
      <c r="G967">
        <v>9</v>
      </c>
      <c r="H967">
        <v>35000</v>
      </c>
      <c r="I967">
        <v>15</v>
      </c>
      <c r="J967">
        <v>168581</v>
      </c>
      <c r="K967">
        <v>7</v>
      </c>
      <c r="L967">
        <v>2</v>
      </c>
      <c r="M967" t="str">
        <f>VLOOKUP(Sales_Data!F967,Product_Master!$A$2:$D$11,2)</f>
        <v>Tablet</v>
      </c>
      <c r="N967" t="str">
        <f>VLOOKUP(F967,Product_Master!$A$2:$C$11,3)</f>
        <v>Electronics</v>
      </c>
      <c r="O967">
        <f>VLOOKUP(F967,Product_Master!$A$2:$D$11,4,FALSE)</f>
        <v>29000</v>
      </c>
      <c r="P967">
        <f t="shared" si="150"/>
        <v>315000</v>
      </c>
      <c r="Q967">
        <f t="shared" si="151"/>
        <v>47250</v>
      </c>
      <c r="R967">
        <f t="shared" si="152"/>
        <v>267750</v>
      </c>
      <c r="S967">
        <f t="shared" si="153"/>
        <v>6750</v>
      </c>
      <c r="T967" t="str">
        <f>_xlfn.CONCAT(Sales_Data!C967,"-",Sales_Data!E967,"-",Sales_Data!A967)</f>
        <v>West-C1017-1966</v>
      </c>
      <c r="U967" t="str">
        <f t="shared" si="154"/>
        <v>High Value</v>
      </c>
      <c r="V967" t="str" cm="1">
        <f t="array" ref="V967">_xlfn.IFS(R967&gt;=100000,"Excellent",R967&gt;=50000,"Good",R967&gt;=20000,"Average",TRUE,"Poor")</f>
        <v>Excellent</v>
      </c>
      <c r="W967">
        <f t="shared" si="155"/>
        <v>4</v>
      </c>
      <c r="X967" t="str">
        <f t="shared" si="156"/>
        <v>October</v>
      </c>
      <c r="Y967">
        <f>HLOOKUP("Q"&amp;W967,Bonus_HLookup!$A$1:$E$2,2,FALSE)</f>
        <v>0.08</v>
      </c>
      <c r="Z967">
        <f t="shared" si="157"/>
        <v>23601.34</v>
      </c>
      <c r="AA967" s="1">
        <f t="shared" si="158"/>
        <v>7547.8061577873577</v>
      </c>
      <c r="AB967">
        <f t="shared" si="159"/>
        <v>65</v>
      </c>
    </row>
    <row r="968" spans="1:28" x14ac:dyDescent="0.3">
      <c r="A968">
        <v>1967</v>
      </c>
      <c r="B968" t="s">
        <v>155</v>
      </c>
      <c r="C968" t="s">
        <v>13</v>
      </c>
      <c r="D968" t="s">
        <v>50</v>
      </c>
      <c r="E968" t="s">
        <v>38</v>
      </c>
      <c r="F968" t="s">
        <v>52</v>
      </c>
      <c r="G968">
        <v>7</v>
      </c>
      <c r="H968">
        <v>500</v>
      </c>
      <c r="I968">
        <v>5</v>
      </c>
      <c r="J968">
        <v>260089</v>
      </c>
      <c r="K968">
        <v>11</v>
      </c>
      <c r="L968">
        <v>1</v>
      </c>
      <c r="M968" t="str">
        <f>VLOOKUP(Sales_Data!F968,Product_Master!$A$2:$D$11,2)</f>
        <v>Mouse</v>
      </c>
      <c r="N968" t="str">
        <f>VLOOKUP(F968,Product_Master!$A$2:$C$11,3)</f>
        <v>Accessories</v>
      </c>
      <c r="O968">
        <f>VLOOKUP(F968,Product_Master!$A$2:$D$11,4,FALSE)</f>
        <v>350</v>
      </c>
      <c r="P968">
        <f t="shared" si="150"/>
        <v>3500</v>
      </c>
      <c r="Q968">
        <f t="shared" si="151"/>
        <v>175</v>
      </c>
      <c r="R968">
        <f t="shared" si="152"/>
        <v>3325</v>
      </c>
      <c r="S968">
        <f t="shared" si="153"/>
        <v>875</v>
      </c>
      <c r="T968" t="str">
        <f>_xlfn.CONCAT(Sales_Data!C968,"-",Sales_Data!E968,"-",Sales_Data!A968)</f>
        <v>West-C1009-1967</v>
      </c>
      <c r="U968" t="str">
        <f t="shared" si="154"/>
        <v>Regular</v>
      </c>
      <c r="V968" t="str" cm="1">
        <f t="array" ref="V968">_xlfn.IFS(R968&gt;=100000,"Excellent",R968&gt;=50000,"Good",R968&gt;=20000,"Average",TRUE,"Poor")</f>
        <v>Poor</v>
      </c>
      <c r="W968">
        <f t="shared" si="155"/>
        <v>3</v>
      </c>
      <c r="X968" t="str">
        <f t="shared" si="156"/>
        <v>July</v>
      </c>
      <c r="Y968">
        <f>HLOOKUP("Q"&amp;W968,Bonus_HLookup!$A$1:$E$2,2,FALSE)</f>
        <v>0.06</v>
      </c>
      <c r="Z968">
        <f t="shared" si="157"/>
        <v>28609.79</v>
      </c>
      <c r="AA968" s="1">
        <f t="shared" si="158"/>
        <v>22987.097183225473</v>
      </c>
      <c r="AB968">
        <f t="shared" si="159"/>
        <v>869</v>
      </c>
    </row>
    <row r="969" spans="1:28" x14ac:dyDescent="0.3">
      <c r="A969">
        <v>1968</v>
      </c>
      <c r="B969" t="s">
        <v>49</v>
      </c>
      <c r="C969" t="s">
        <v>18</v>
      </c>
      <c r="D969" t="s">
        <v>23</v>
      </c>
      <c r="E969" t="s">
        <v>47</v>
      </c>
      <c r="F969" t="s">
        <v>21</v>
      </c>
      <c r="G969">
        <v>7</v>
      </c>
      <c r="H969">
        <v>12000</v>
      </c>
      <c r="I969">
        <v>12</v>
      </c>
      <c r="J969">
        <v>110130</v>
      </c>
      <c r="K969">
        <v>10</v>
      </c>
      <c r="L969">
        <v>1</v>
      </c>
      <c r="M969" t="str">
        <f>VLOOKUP(Sales_Data!F969,Product_Master!$A$2:$D$11,2)</f>
        <v>Monitor</v>
      </c>
      <c r="N969" t="str">
        <f>VLOOKUP(F969,Product_Master!$A$2:$C$11,3)</f>
        <v>Electronics</v>
      </c>
      <c r="O969">
        <f>VLOOKUP(F969,Product_Master!$A$2:$D$11,4,FALSE)</f>
        <v>9000</v>
      </c>
      <c r="P969">
        <f t="shared" si="150"/>
        <v>84000</v>
      </c>
      <c r="Q969">
        <f t="shared" si="151"/>
        <v>10080</v>
      </c>
      <c r="R969">
        <f t="shared" si="152"/>
        <v>73920</v>
      </c>
      <c r="S969">
        <f t="shared" si="153"/>
        <v>10920</v>
      </c>
      <c r="T969" t="str">
        <f>_xlfn.CONCAT(Sales_Data!C969,"-",Sales_Data!E969,"-",Sales_Data!A969)</f>
        <v>North-C1030-1968</v>
      </c>
      <c r="U969" t="str">
        <f t="shared" si="154"/>
        <v>High Value</v>
      </c>
      <c r="V969" t="str" cm="1">
        <f t="array" ref="V969">_xlfn.IFS(R969&gt;=100000,"Excellent",R969&gt;=50000,"Good",R969&gt;=20000,"Average",TRUE,"Poor")</f>
        <v>Good</v>
      </c>
      <c r="W969">
        <f t="shared" si="155"/>
        <v>4</v>
      </c>
      <c r="X969" t="str">
        <f t="shared" si="156"/>
        <v>November</v>
      </c>
      <c r="Y969">
        <f>HLOOKUP("Q"&amp;W969,Bonus_HLookup!$A$1:$E$2,2,FALSE)</f>
        <v>0.08</v>
      </c>
      <c r="Z969">
        <f t="shared" si="157"/>
        <v>11013</v>
      </c>
      <c r="AA969" s="1">
        <f t="shared" si="158"/>
        <v>9682.1766606409565</v>
      </c>
      <c r="AB969">
        <f t="shared" si="159"/>
        <v>202</v>
      </c>
    </row>
    <row r="970" spans="1:28" x14ac:dyDescent="0.3">
      <c r="A970">
        <v>1969</v>
      </c>
      <c r="B970" t="s">
        <v>164</v>
      </c>
      <c r="C970" t="s">
        <v>13</v>
      </c>
      <c r="D970" t="s">
        <v>19</v>
      </c>
      <c r="E970" t="s">
        <v>172</v>
      </c>
      <c r="F970" t="s">
        <v>42</v>
      </c>
      <c r="G970">
        <v>10</v>
      </c>
      <c r="H970">
        <v>8000</v>
      </c>
      <c r="I970">
        <v>12</v>
      </c>
      <c r="J970">
        <v>301771</v>
      </c>
      <c r="K970">
        <v>11</v>
      </c>
      <c r="L970">
        <v>3</v>
      </c>
      <c r="M970" t="str">
        <f>VLOOKUP(Sales_Data!F970,Product_Master!$A$2:$D$11,2)</f>
        <v>Printer</v>
      </c>
      <c r="N970" t="str">
        <f>VLOOKUP(F970,Product_Master!$A$2:$C$11,3)</f>
        <v>Electronics</v>
      </c>
      <c r="O970">
        <f>VLOOKUP(F970,Product_Master!$A$2:$D$11,4,FALSE)</f>
        <v>6500</v>
      </c>
      <c r="P970">
        <f t="shared" si="150"/>
        <v>80000</v>
      </c>
      <c r="Q970">
        <f t="shared" si="151"/>
        <v>9600</v>
      </c>
      <c r="R970">
        <f t="shared" si="152"/>
        <v>70400</v>
      </c>
      <c r="S970">
        <f t="shared" si="153"/>
        <v>5400</v>
      </c>
      <c r="T970" t="str">
        <f>_xlfn.CONCAT(Sales_Data!C970,"-",Sales_Data!E970,"-",Sales_Data!A970)</f>
        <v>West-C1033-1969</v>
      </c>
      <c r="U970" t="str">
        <f t="shared" si="154"/>
        <v>High Value</v>
      </c>
      <c r="V970" t="str" cm="1">
        <f t="array" ref="V970">_xlfn.IFS(R970&gt;=100000,"Excellent",R970&gt;=50000,"Good",R970&gt;=20000,"Average",TRUE,"Poor")</f>
        <v>Good</v>
      </c>
      <c r="W970">
        <f t="shared" si="155"/>
        <v>1</v>
      </c>
      <c r="X970" t="str">
        <f t="shared" si="156"/>
        <v>February</v>
      </c>
      <c r="Y970">
        <f>HLOOKUP("Q"&amp;W970,Bonus_HLookup!$A$1:$E$2,2,FALSE)</f>
        <v>0.02</v>
      </c>
      <c r="Z970">
        <f t="shared" si="157"/>
        <v>99584.43</v>
      </c>
      <c r="AA970" s="1">
        <f t="shared" si="158"/>
        <v>9879.5954031148231</v>
      </c>
      <c r="AB970">
        <f t="shared" si="159"/>
        <v>218</v>
      </c>
    </row>
    <row r="971" spans="1:28" x14ac:dyDescent="0.3">
      <c r="A971">
        <v>1970</v>
      </c>
      <c r="B971" t="s">
        <v>305</v>
      </c>
      <c r="C971" t="s">
        <v>18</v>
      </c>
      <c r="D971" t="s">
        <v>33</v>
      </c>
      <c r="E971" t="s">
        <v>174</v>
      </c>
      <c r="F971" t="s">
        <v>39</v>
      </c>
      <c r="G971">
        <v>7</v>
      </c>
      <c r="H971">
        <v>7000</v>
      </c>
      <c r="I971">
        <v>5</v>
      </c>
      <c r="J971">
        <v>81148</v>
      </c>
      <c r="K971">
        <v>9</v>
      </c>
      <c r="L971">
        <v>1</v>
      </c>
      <c r="M971" t="str">
        <f>VLOOKUP(Sales_Data!F971,Product_Master!$A$2:$D$11,2)</f>
        <v>Router</v>
      </c>
      <c r="N971" t="str">
        <f>VLOOKUP(F971,Product_Master!$A$2:$C$11,3)</f>
        <v>Electronics</v>
      </c>
      <c r="O971">
        <f>VLOOKUP(F971,Product_Master!$A$2:$D$11,4,FALSE)</f>
        <v>5000</v>
      </c>
      <c r="P971">
        <f t="shared" si="150"/>
        <v>49000</v>
      </c>
      <c r="Q971">
        <f t="shared" si="151"/>
        <v>2450</v>
      </c>
      <c r="R971">
        <f t="shared" si="152"/>
        <v>46550</v>
      </c>
      <c r="S971">
        <f t="shared" si="153"/>
        <v>11550</v>
      </c>
      <c r="T971" t="str">
        <f>_xlfn.CONCAT(Sales_Data!C971,"-",Sales_Data!E971,"-",Sales_Data!A971)</f>
        <v>North-C1044-1970</v>
      </c>
      <c r="U971" t="str">
        <f t="shared" si="154"/>
        <v>Regular</v>
      </c>
      <c r="V971" t="str" cm="1">
        <f t="array" ref="V971">_xlfn.IFS(R971&gt;=100000,"Excellent",R971&gt;=50000,"Good",R971&gt;=20000,"Average",TRUE,"Poor")</f>
        <v>Average</v>
      </c>
      <c r="W971">
        <f t="shared" si="155"/>
        <v>3</v>
      </c>
      <c r="X971" t="str">
        <f t="shared" si="156"/>
        <v>August</v>
      </c>
      <c r="Y971">
        <f>HLOOKUP("Q"&amp;W971,Bonus_HLookup!$A$1:$E$2,2,FALSE)</f>
        <v>0.06</v>
      </c>
      <c r="Z971">
        <f t="shared" si="157"/>
        <v>7303.32</v>
      </c>
      <c r="AA971" s="1">
        <f t="shared" si="158"/>
        <v>7096.5124369255846</v>
      </c>
      <c r="AB971">
        <f t="shared" si="159"/>
        <v>315</v>
      </c>
    </row>
    <row r="972" spans="1:28" x14ac:dyDescent="0.3">
      <c r="A972">
        <v>1971</v>
      </c>
      <c r="B972" t="s">
        <v>413</v>
      </c>
      <c r="C972" t="s">
        <v>62</v>
      </c>
      <c r="D972" t="s">
        <v>19</v>
      </c>
      <c r="E972" t="s">
        <v>131</v>
      </c>
      <c r="F972" t="s">
        <v>42</v>
      </c>
      <c r="G972">
        <v>1</v>
      </c>
      <c r="H972">
        <v>8000</v>
      </c>
      <c r="I972">
        <v>2</v>
      </c>
      <c r="J972">
        <v>452704</v>
      </c>
      <c r="K972">
        <v>7</v>
      </c>
      <c r="L972">
        <v>1</v>
      </c>
      <c r="M972" t="str">
        <f>VLOOKUP(Sales_Data!F972,Product_Master!$A$2:$D$11,2)</f>
        <v>Printer</v>
      </c>
      <c r="N972" t="str">
        <f>VLOOKUP(F972,Product_Master!$A$2:$C$11,3)</f>
        <v>Electronics</v>
      </c>
      <c r="O972">
        <f>VLOOKUP(F972,Product_Master!$A$2:$D$11,4,FALSE)</f>
        <v>6500</v>
      </c>
      <c r="P972">
        <f t="shared" si="150"/>
        <v>8000</v>
      </c>
      <c r="Q972">
        <f t="shared" si="151"/>
        <v>160</v>
      </c>
      <c r="R972">
        <f t="shared" si="152"/>
        <v>7840</v>
      </c>
      <c r="S972">
        <f t="shared" si="153"/>
        <v>1340</v>
      </c>
      <c r="T972" t="str">
        <f>_xlfn.CONCAT(Sales_Data!C972,"-",Sales_Data!E972,"-",Sales_Data!A972)</f>
        <v>East-C1047-1971</v>
      </c>
      <c r="U972" t="str">
        <f t="shared" si="154"/>
        <v>Regular</v>
      </c>
      <c r="V972" t="str" cm="1">
        <f t="array" ref="V972">_xlfn.IFS(R972&gt;=100000,"Excellent",R972&gt;=50000,"Good",R972&gt;=20000,"Average",TRUE,"Poor")</f>
        <v>Poor</v>
      </c>
      <c r="W972">
        <f t="shared" si="155"/>
        <v>1</v>
      </c>
      <c r="X972" t="str">
        <f t="shared" si="156"/>
        <v>March</v>
      </c>
      <c r="Y972">
        <f>HLOOKUP("Q"&amp;W972,Bonus_HLookup!$A$1:$E$2,2,FALSE)</f>
        <v>0.02</v>
      </c>
      <c r="Z972">
        <f t="shared" si="157"/>
        <v>31689.279999999999</v>
      </c>
      <c r="AA972" s="1">
        <f t="shared" si="158"/>
        <v>39171.004065611494</v>
      </c>
      <c r="AB972">
        <f t="shared" si="159"/>
        <v>692</v>
      </c>
    </row>
    <row r="973" spans="1:28" x14ac:dyDescent="0.3">
      <c r="A973">
        <v>1972</v>
      </c>
      <c r="B973" t="s">
        <v>306</v>
      </c>
      <c r="C973" t="s">
        <v>18</v>
      </c>
      <c r="D973" t="s">
        <v>91</v>
      </c>
      <c r="E973" t="s">
        <v>31</v>
      </c>
      <c r="F973" t="s">
        <v>42</v>
      </c>
      <c r="G973">
        <v>9</v>
      </c>
      <c r="H973">
        <v>8000</v>
      </c>
      <c r="I973">
        <v>12</v>
      </c>
      <c r="J973">
        <v>160178</v>
      </c>
      <c r="K973">
        <v>8</v>
      </c>
      <c r="L973">
        <v>5</v>
      </c>
      <c r="M973" t="str">
        <f>VLOOKUP(Sales_Data!F973,Product_Master!$A$2:$D$11,2)</f>
        <v>Printer</v>
      </c>
      <c r="N973" t="str">
        <f>VLOOKUP(F973,Product_Master!$A$2:$C$11,3)</f>
        <v>Electronics</v>
      </c>
      <c r="O973">
        <f>VLOOKUP(F973,Product_Master!$A$2:$D$11,4,FALSE)</f>
        <v>6500</v>
      </c>
      <c r="P973">
        <f t="shared" si="150"/>
        <v>72000</v>
      </c>
      <c r="Q973">
        <f t="shared" si="151"/>
        <v>8640</v>
      </c>
      <c r="R973">
        <f t="shared" si="152"/>
        <v>63360</v>
      </c>
      <c r="S973">
        <f t="shared" si="153"/>
        <v>4860</v>
      </c>
      <c r="T973" t="str">
        <f>_xlfn.CONCAT(Sales_Data!C973,"-",Sales_Data!E973,"-",Sales_Data!A973)</f>
        <v>North-C1025-1972</v>
      </c>
      <c r="U973" t="str">
        <f t="shared" si="154"/>
        <v>High Value</v>
      </c>
      <c r="V973" t="str" cm="1">
        <f t="array" ref="V973">_xlfn.IFS(R973&gt;=100000,"Excellent",R973&gt;=50000,"Good",R973&gt;=20000,"Average",TRUE,"Poor")</f>
        <v>Good</v>
      </c>
      <c r="W973">
        <f t="shared" si="155"/>
        <v>2</v>
      </c>
      <c r="X973" t="str">
        <f t="shared" si="156"/>
        <v>June</v>
      </c>
      <c r="Y973">
        <f>HLOOKUP("Q"&amp;W973,Bonus_HLookup!$A$1:$E$2,2,FALSE)</f>
        <v>0.04</v>
      </c>
      <c r="Z973">
        <f t="shared" si="157"/>
        <v>64071.199999999997</v>
      </c>
      <c r="AA973" s="1">
        <f t="shared" si="158"/>
        <v>3247.8322843295264</v>
      </c>
      <c r="AB973">
        <f t="shared" si="159"/>
        <v>240</v>
      </c>
    </row>
    <row r="974" spans="1:28" x14ac:dyDescent="0.3">
      <c r="A974">
        <v>1973</v>
      </c>
      <c r="B974" t="s">
        <v>345</v>
      </c>
      <c r="C974" t="s">
        <v>13</v>
      </c>
      <c r="D974" t="s">
        <v>91</v>
      </c>
      <c r="E974" t="s">
        <v>57</v>
      </c>
      <c r="F974" t="s">
        <v>69</v>
      </c>
      <c r="G974">
        <v>5</v>
      </c>
      <c r="H974">
        <v>2000</v>
      </c>
      <c r="I974">
        <v>0</v>
      </c>
      <c r="J974">
        <v>241046</v>
      </c>
      <c r="K974">
        <v>10</v>
      </c>
      <c r="L974">
        <v>1</v>
      </c>
      <c r="M974" t="str">
        <f>VLOOKUP(Sales_Data!F974,Product_Master!$A$2:$D$11,2)</f>
        <v>Headset</v>
      </c>
      <c r="N974" t="str">
        <f>VLOOKUP(F974,Product_Master!$A$2:$C$11,3)</f>
        <v>Accessories</v>
      </c>
      <c r="O974">
        <f>VLOOKUP(F974,Product_Master!$A$2:$D$11,4,FALSE)</f>
        <v>1500</v>
      </c>
      <c r="P974">
        <f t="shared" si="150"/>
        <v>10000</v>
      </c>
      <c r="Q974">
        <f t="shared" si="151"/>
        <v>0</v>
      </c>
      <c r="R974">
        <f t="shared" si="152"/>
        <v>10000</v>
      </c>
      <c r="S974">
        <f t="shared" si="153"/>
        <v>2500</v>
      </c>
      <c r="T974" t="str">
        <f>_xlfn.CONCAT(Sales_Data!C974,"-",Sales_Data!E974,"-",Sales_Data!A974)</f>
        <v>West-C1012-1973</v>
      </c>
      <c r="U974" t="str">
        <f t="shared" si="154"/>
        <v>Regular</v>
      </c>
      <c r="V974" t="str" cm="1">
        <f t="array" ref="V974">_xlfn.IFS(R974&gt;=100000,"Excellent",R974&gt;=50000,"Good",R974&gt;=20000,"Average",TRUE,"Poor")</f>
        <v>Poor</v>
      </c>
      <c r="W974">
        <f t="shared" si="155"/>
        <v>4</v>
      </c>
      <c r="X974" t="str">
        <f t="shared" si="156"/>
        <v>October</v>
      </c>
      <c r="Y974">
        <f>HLOOKUP("Q"&amp;W974,Bonus_HLookup!$A$1:$E$2,2,FALSE)</f>
        <v>0.08</v>
      </c>
      <c r="Z974">
        <f t="shared" si="157"/>
        <v>24104.6</v>
      </c>
      <c r="AA974" s="1">
        <f t="shared" si="158"/>
        <v>21191.772953244894</v>
      </c>
      <c r="AB974">
        <f t="shared" si="159"/>
        <v>636</v>
      </c>
    </row>
    <row r="975" spans="1:28" x14ac:dyDescent="0.3">
      <c r="A975">
        <v>1974</v>
      </c>
      <c r="B975" t="s">
        <v>324</v>
      </c>
      <c r="C975" t="s">
        <v>13</v>
      </c>
      <c r="D975" t="s">
        <v>50</v>
      </c>
      <c r="E975" t="s">
        <v>157</v>
      </c>
      <c r="F975" t="s">
        <v>36</v>
      </c>
      <c r="G975">
        <v>4</v>
      </c>
      <c r="H975">
        <v>55000</v>
      </c>
      <c r="I975">
        <v>15</v>
      </c>
      <c r="J975">
        <v>120228</v>
      </c>
      <c r="K975">
        <v>12</v>
      </c>
      <c r="L975">
        <v>1</v>
      </c>
      <c r="M975" t="str">
        <f>VLOOKUP(Sales_Data!F975,Product_Master!$A$2:$D$11,2)</f>
        <v>Laptop</v>
      </c>
      <c r="N975" t="str">
        <f>VLOOKUP(F975,Product_Master!$A$2:$C$11,3)</f>
        <v>Electronics</v>
      </c>
      <c r="O975">
        <f>VLOOKUP(F975,Product_Master!$A$2:$D$11,4,FALSE)</f>
        <v>45000</v>
      </c>
      <c r="P975">
        <f t="shared" si="150"/>
        <v>220000</v>
      </c>
      <c r="Q975">
        <f t="shared" si="151"/>
        <v>33000</v>
      </c>
      <c r="R975">
        <f t="shared" si="152"/>
        <v>187000</v>
      </c>
      <c r="S975">
        <f t="shared" si="153"/>
        <v>7000</v>
      </c>
      <c r="T975" t="str">
        <f>_xlfn.CONCAT(Sales_Data!C975,"-",Sales_Data!E975,"-",Sales_Data!A975)</f>
        <v>West-C1024-1974</v>
      </c>
      <c r="U975" t="str">
        <f t="shared" si="154"/>
        <v>High Value</v>
      </c>
      <c r="V975" t="str" cm="1">
        <f t="array" ref="V975">_xlfn.IFS(R975&gt;=100000,"Excellent",R975&gt;=50000,"Good",R975&gt;=20000,"Average",TRUE,"Poor")</f>
        <v>Excellent</v>
      </c>
      <c r="W975">
        <f t="shared" si="155"/>
        <v>3</v>
      </c>
      <c r="X975" t="str">
        <f t="shared" si="156"/>
        <v>August</v>
      </c>
      <c r="Y975">
        <f>HLOOKUP("Q"&amp;W975,Bonus_HLookup!$A$1:$E$2,2,FALSE)</f>
        <v>0.06</v>
      </c>
      <c r="Z975">
        <f t="shared" si="157"/>
        <v>14427.36</v>
      </c>
      <c r="AA975" s="1">
        <f t="shared" si="158"/>
        <v>10682.112165219665</v>
      </c>
      <c r="AB975">
        <f t="shared" si="159"/>
        <v>113</v>
      </c>
    </row>
    <row r="976" spans="1:28" x14ac:dyDescent="0.3">
      <c r="A976">
        <v>1975</v>
      </c>
      <c r="B976" t="s">
        <v>161</v>
      </c>
      <c r="C976" t="s">
        <v>62</v>
      </c>
      <c r="D976" t="s">
        <v>14</v>
      </c>
      <c r="E976" t="s">
        <v>131</v>
      </c>
      <c r="F976" t="s">
        <v>52</v>
      </c>
      <c r="G976">
        <v>10</v>
      </c>
      <c r="H976">
        <v>500</v>
      </c>
      <c r="I976">
        <v>12</v>
      </c>
      <c r="J976">
        <v>184815</v>
      </c>
      <c r="K976">
        <v>9</v>
      </c>
      <c r="L976">
        <v>3</v>
      </c>
      <c r="M976" t="str">
        <f>VLOOKUP(Sales_Data!F976,Product_Master!$A$2:$D$11,2)</f>
        <v>Mouse</v>
      </c>
      <c r="N976" t="str">
        <f>VLOOKUP(F976,Product_Master!$A$2:$C$11,3)</f>
        <v>Accessories</v>
      </c>
      <c r="O976">
        <f>VLOOKUP(F976,Product_Master!$A$2:$D$11,4,FALSE)</f>
        <v>350</v>
      </c>
      <c r="P976">
        <f t="shared" si="150"/>
        <v>5000</v>
      </c>
      <c r="Q976">
        <f t="shared" si="151"/>
        <v>600</v>
      </c>
      <c r="R976">
        <f t="shared" si="152"/>
        <v>4400</v>
      </c>
      <c r="S976">
        <f t="shared" si="153"/>
        <v>900</v>
      </c>
      <c r="T976" t="str">
        <f>_xlfn.CONCAT(Sales_Data!C976,"-",Sales_Data!E976,"-",Sales_Data!A976)</f>
        <v>East-C1047-1975</v>
      </c>
      <c r="U976" t="str">
        <f t="shared" si="154"/>
        <v>Regular</v>
      </c>
      <c r="V976" t="str" cm="1">
        <f t="array" ref="V976">_xlfn.IFS(R976&gt;=100000,"Excellent",R976&gt;=50000,"Good",R976&gt;=20000,"Average",TRUE,"Poor")</f>
        <v>Poor</v>
      </c>
      <c r="W976">
        <f t="shared" si="155"/>
        <v>3</v>
      </c>
      <c r="X976" t="str">
        <f t="shared" si="156"/>
        <v>July</v>
      </c>
      <c r="Y976">
        <f>HLOOKUP("Q"&amp;W976,Bonus_HLookup!$A$1:$E$2,2,FALSE)</f>
        <v>0.06</v>
      </c>
      <c r="Z976">
        <f t="shared" si="157"/>
        <v>49900.05</v>
      </c>
      <c r="AA976" s="1">
        <f t="shared" si="158"/>
        <v>5877.0675915469374</v>
      </c>
      <c r="AB976">
        <f t="shared" si="159"/>
        <v>814</v>
      </c>
    </row>
    <row r="977" spans="1:28" x14ac:dyDescent="0.3">
      <c r="A977">
        <v>1976</v>
      </c>
      <c r="B977" t="s">
        <v>382</v>
      </c>
      <c r="C977" t="s">
        <v>18</v>
      </c>
      <c r="D977" t="s">
        <v>14</v>
      </c>
      <c r="E977" t="s">
        <v>131</v>
      </c>
      <c r="F977" t="s">
        <v>21</v>
      </c>
      <c r="G977">
        <v>7</v>
      </c>
      <c r="H977">
        <v>12000</v>
      </c>
      <c r="I977">
        <v>10</v>
      </c>
      <c r="J977">
        <v>259594</v>
      </c>
      <c r="K977">
        <v>8</v>
      </c>
      <c r="L977">
        <v>3</v>
      </c>
      <c r="M977" t="str">
        <f>VLOOKUP(Sales_Data!F977,Product_Master!$A$2:$D$11,2)</f>
        <v>Monitor</v>
      </c>
      <c r="N977" t="str">
        <f>VLOOKUP(F977,Product_Master!$A$2:$C$11,3)</f>
        <v>Electronics</v>
      </c>
      <c r="O977">
        <f>VLOOKUP(F977,Product_Master!$A$2:$D$11,4,FALSE)</f>
        <v>9000</v>
      </c>
      <c r="P977">
        <f t="shared" si="150"/>
        <v>84000</v>
      </c>
      <c r="Q977">
        <f t="shared" si="151"/>
        <v>8400</v>
      </c>
      <c r="R977">
        <f t="shared" si="152"/>
        <v>75600</v>
      </c>
      <c r="S977">
        <f t="shared" si="153"/>
        <v>12600</v>
      </c>
      <c r="T977" t="str">
        <f>_xlfn.CONCAT(Sales_Data!C977,"-",Sales_Data!E977,"-",Sales_Data!A977)</f>
        <v>North-C1047-1976</v>
      </c>
      <c r="U977" t="str">
        <f t="shared" si="154"/>
        <v>High Value</v>
      </c>
      <c r="V977" t="str" cm="1">
        <f t="array" ref="V977">_xlfn.IFS(R977&gt;=100000,"Excellent",R977&gt;=50000,"Good",R977&gt;=20000,"Average",TRUE,"Poor")</f>
        <v>Good</v>
      </c>
      <c r="W977">
        <f t="shared" si="155"/>
        <v>3</v>
      </c>
      <c r="X977" t="str">
        <f t="shared" si="156"/>
        <v>August</v>
      </c>
      <c r="Y977">
        <f>HLOOKUP("Q"&amp;W977,Bonus_HLookup!$A$1:$E$2,2,FALSE)</f>
        <v>0.06</v>
      </c>
      <c r="Z977">
        <f t="shared" si="157"/>
        <v>62302.559999999998</v>
      </c>
      <c r="AA977" s="1">
        <f t="shared" si="158"/>
        <v>8134.7324555946798</v>
      </c>
      <c r="AB977">
        <f t="shared" si="159"/>
        <v>200</v>
      </c>
    </row>
    <row r="978" spans="1:28" x14ac:dyDescent="0.3">
      <c r="A978">
        <v>1977</v>
      </c>
      <c r="B978" t="s">
        <v>137</v>
      </c>
      <c r="C978" t="s">
        <v>18</v>
      </c>
      <c r="D978" t="s">
        <v>46</v>
      </c>
      <c r="E978" t="s">
        <v>108</v>
      </c>
      <c r="F978" t="s">
        <v>16</v>
      </c>
      <c r="G978">
        <v>1</v>
      </c>
      <c r="H978">
        <v>2500</v>
      </c>
      <c r="I978">
        <v>0</v>
      </c>
      <c r="J978">
        <v>152759</v>
      </c>
      <c r="K978">
        <v>11</v>
      </c>
      <c r="L978">
        <v>1</v>
      </c>
      <c r="M978" t="str">
        <f>VLOOKUP(Sales_Data!F978,Product_Master!$A$2:$D$11,2)</f>
        <v>Speaker</v>
      </c>
      <c r="N978" t="str">
        <f>VLOOKUP(F978,Product_Master!$A$2:$C$11,3)</f>
        <v>Accessories</v>
      </c>
      <c r="O978">
        <f>VLOOKUP(F978,Product_Master!$A$2:$D$11,4,FALSE)</f>
        <v>1800</v>
      </c>
      <c r="P978">
        <f t="shared" si="150"/>
        <v>2500</v>
      </c>
      <c r="Q978">
        <f t="shared" si="151"/>
        <v>0</v>
      </c>
      <c r="R978">
        <f t="shared" si="152"/>
        <v>2500</v>
      </c>
      <c r="S978">
        <f t="shared" si="153"/>
        <v>700</v>
      </c>
      <c r="T978" t="str">
        <f>_xlfn.CONCAT(Sales_Data!C978,"-",Sales_Data!E978,"-",Sales_Data!A978)</f>
        <v>North-C1031-1977</v>
      </c>
      <c r="U978" t="str">
        <f t="shared" si="154"/>
        <v>Regular</v>
      </c>
      <c r="V978" t="str" cm="1">
        <f t="array" ref="V978">_xlfn.IFS(R978&gt;=100000,"Excellent",R978&gt;=50000,"Good",R978&gt;=20000,"Average",TRUE,"Poor")</f>
        <v>Poor</v>
      </c>
      <c r="W978">
        <f t="shared" si="155"/>
        <v>1</v>
      </c>
      <c r="X978" t="str">
        <f t="shared" si="156"/>
        <v>February</v>
      </c>
      <c r="Y978">
        <f>HLOOKUP("Q"&amp;W978,Bonus_HLookup!$A$1:$E$2,2,FALSE)</f>
        <v>0.02</v>
      </c>
      <c r="Z978">
        <f t="shared" si="157"/>
        <v>16803.490000000002</v>
      </c>
      <c r="AA978" s="1">
        <f t="shared" si="158"/>
        <v>13501.09377410171</v>
      </c>
      <c r="AB978">
        <f t="shared" si="159"/>
        <v>907</v>
      </c>
    </row>
    <row r="979" spans="1:28" x14ac:dyDescent="0.3">
      <c r="A979">
        <v>1978</v>
      </c>
      <c r="B979" t="s">
        <v>421</v>
      </c>
      <c r="C979" t="s">
        <v>18</v>
      </c>
      <c r="D979" t="s">
        <v>91</v>
      </c>
      <c r="E979" t="s">
        <v>89</v>
      </c>
      <c r="F979" t="s">
        <v>25</v>
      </c>
      <c r="G979">
        <v>8</v>
      </c>
      <c r="H979">
        <v>1500</v>
      </c>
      <c r="I979">
        <v>0</v>
      </c>
      <c r="J979">
        <v>474286</v>
      </c>
      <c r="K979">
        <v>7</v>
      </c>
      <c r="L979">
        <v>1</v>
      </c>
      <c r="M979" t="str">
        <f>VLOOKUP(Sales_Data!F979,Product_Master!$A$2:$D$11,2)</f>
        <v>Keyboard</v>
      </c>
      <c r="N979" t="str">
        <f>VLOOKUP(F979,Product_Master!$A$2:$C$11,3)</f>
        <v>Accessories</v>
      </c>
      <c r="O979">
        <f>VLOOKUP(F979,Product_Master!$A$2:$D$11,4,FALSE)</f>
        <v>1200</v>
      </c>
      <c r="P979">
        <f t="shared" si="150"/>
        <v>12000</v>
      </c>
      <c r="Q979">
        <f t="shared" si="151"/>
        <v>0</v>
      </c>
      <c r="R979">
        <f t="shared" si="152"/>
        <v>12000</v>
      </c>
      <c r="S979">
        <f t="shared" si="153"/>
        <v>2400</v>
      </c>
      <c r="T979" t="str">
        <f>_xlfn.CONCAT(Sales_Data!C979,"-",Sales_Data!E979,"-",Sales_Data!A979)</f>
        <v>North-C1022-1978</v>
      </c>
      <c r="U979" t="str">
        <f t="shared" si="154"/>
        <v>Regular</v>
      </c>
      <c r="V979" t="str" cm="1">
        <f t="array" ref="V979">_xlfn.IFS(R979&gt;=100000,"Excellent",R979&gt;=50000,"Good",R979&gt;=20000,"Average",TRUE,"Poor")</f>
        <v>Poor</v>
      </c>
      <c r="W979">
        <f t="shared" si="155"/>
        <v>4</v>
      </c>
      <c r="X979" t="str">
        <f t="shared" si="156"/>
        <v>November</v>
      </c>
      <c r="Y979">
        <f>HLOOKUP("Q"&amp;W979,Bonus_HLookup!$A$1:$E$2,2,FALSE)</f>
        <v>0.08</v>
      </c>
      <c r="Z979">
        <f t="shared" si="157"/>
        <v>33200.019999999997</v>
      </c>
      <c r="AA979" s="1">
        <f t="shared" si="158"/>
        <v>41038.424299901511</v>
      </c>
      <c r="AB979">
        <f t="shared" si="159"/>
        <v>588</v>
      </c>
    </row>
    <row r="980" spans="1:28" x14ac:dyDescent="0.3">
      <c r="A980">
        <v>1979</v>
      </c>
      <c r="B980" t="s">
        <v>400</v>
      </c>
      <c r="C980" t="s">
        <v>18</v>
      </c>
      <c r="D980" t="s">
        <v>33</v>
      </c>
      <c r="E980" t="s">
        <v>57</v>
      </c>
      <c r="F980" t="s">
        <v>52</v>
      </c>
      <c r="G980">
        <v>7</v>
      </c>
      <c r="H980">
        <v>500</v>
      </c>
      <c r="I980">
        <v>15</v>
      </c>
      <c r="J980">
        <v>375004</v>
      </c>
      <c r="K980">
        <v>7</v>
      </c>
      <c r="L980">
        <v>4</v>
      </c>
      <c r="M980" t="str">
        <f>VLOOKUP(Sales_Data!F980,Product_Master!$A$2:$D$11,2)</f>
        <v>Mouse</v>
      </c>
      <c r="N980" t="str">
        <f>VLOOKUP(F980,Product_Master!$A$2:$C$11,3)</f>
        <v>Accessories</v>
      </c>
      <c r="O980">
        <f>VLOOKUP(F980,Product_Master!$A$2:$D$11,4,FALSE)</f>
        <v>350</v>
      </c>
      <c r="P980">
        <f t="shared" si="150"/>
        <v>3500</v>
      </c>
      <c r="Q980">
        <f t="shared" si="151"/>
        <v>525</v>
      </c>
      <c r="R980">
        <f t="shared" si="152"/>
        <v>2975</v>
      </c>
      <c r="S980">
        <f t="shared" si="153"/>
        <v>525</v>
      </c>
      <c r="T980" t="str">
        <f>_xlfn.CONCAT(Sales_Data!C980,"-",Sales_Data!E980,"-",Sales_Data!A980)</f>
        <v>North-C1012-1979</v>
      </c>
      <c r="U980" t="str">
        <f t="shared" si="154"/>
        <v>Regular</v>
      </c>
      <c r="V980" t="str" cm="1">
        <f t="array" ref="V980">_xlfn.IFS(R980&gt;=100000,"Excellent",R980&gt;=50000,"Good",R980&gt;=20000,"Average",TRUE,"Poor")</f>
        <v>Poor</v>
      </c>
      <c r="W980">
        <f t="shared" si="155"/>
        <v>1</v>
      </c>
      <c r="X980" t="str">
        <f t="shared" si="156"/>
        <v>March</v>
      </c>
      <c r="Y980">
        <f>HLOOKUP("Q"&amp;W980,Bonus_HLookup!$A$1:$E$2,2,FALSE)</f>
        <v>0.02</v>
      </c>
      <c r="Z980">
        <f t="shared" si="157"/>
        <v>105001.12</v>
      </c>
      <c r="AA980" s="1">
        <f t="shared" si="158"/>
        <v>8979.937533394741</v>
      </c>
      <c r="AB980">
        <f t="shared" si="159"/>
        <v>881</v>
      </c>
    </row>
    <row r="981" spans="1:28" x14ac:dyDescent="0.3">
      <c r="A981">
        <v>1980</v>
      </c>
      <c r="B981" t="s">
        <v>192</v>
      </c>
      <c r="C981" t="s">
        <v>30</v>
      </c>
      <c r="D981" t="s">
        <v>23</v>
      </c>
      <c r="E981" t="s">
        <v>63</v>
      </c>
      <c r="F981" t="s">
        <v>69</v>
      </c>
      <c r="G981">
        <v>5</v>
      </c>
      <c r="H981">
        <v>2000</v>
      </c>
      <c r="I981">
        <v>12</v>
      </c>
      <c r="J981">
        <v>218997</v>
      </c>
      <c r="K981">
        <v>11</v>
      </c>
      <c r="L981">
        <v>1</v>
      </c>
      <c r="M981" t="str">
        <f>VLOOKUP(Sales_Data!F981,Product_Master!$A$2:$D$11,2)</f>
        <v>Headset</v>
      </c>
      <c r="N981" t="str">
        <f>VLOOKUP(F981,Product_Master!$A$2:$C$11,3)</f>
        <v>Accessories</v>
      </c>
      <c r="O981">
        <f>VLOOKUP(F981,Product_Master!$A$2:$D$11,4,FALSE)</f>
        <v>1500</v>
      </c>
      <c r="P981">
        <f t="shared" si="150"/>
        <v>10000</v>
      </c>
      <c r="Q981">
        <f t="shared" si="151"/>
        <v>1200</v>
      </c>
      <c r="R981">
        <f t="shared" si="152"/>
        <v>8800</v>
      </c>
      <c r="S981">
        <f t="shared" si="153"/>
        <v>1300</v>
      </c>
      <c r="T981" t="str">
        <f>_xlfn.CONCAT(Sales_Data!C981,"-",Sales_Data!E981,"-",Sales_Data!A981)</f>
        <v>South-C1035-1980</v>
      </c>
      <c r="U981" t="str">
        <f t="shared" si="154"/>
        <v>Regular</v>
      </c>
      <c r="V981" t="str" cm="1">
        <f t="array" ref="V981">_xlfn.IFS(R981&gt;=100000,"Excellent",R981&gt;=50000,"Good",R981&gt;=20000,"Average",TRUE,"Poor")</f>
        <v>Poor</v>
      </c>
      <c r="W981">
        <f t="shared" si="155"/>
        <v>1</v>
      </c>
      <c r="X981" t="str">
        <f t="shared" si="156"/>
        <v>February</v>
      </c>
      <c r="Y981">
        <f>HLOOKUP("Q"&amp;W981,Bonus_HLookup!$A$1:$E$2,2,FALSE)</f>
        <v>0.02</v>
      </c>
      <c r="Z981">
        <f t="shared" si="157"/>
        <v>24089.67</v>
      </c>
      <c r="AA981" s="1">
        <f t="shared" si="158"/>
        <v>19355.318071255715</v>
      </c>
      <c r="AB981">
        <f t="shared" si="159"/>
        <v>672</v>
      </c>
    </row>
    <row r="982" spans="1:28" x14ac:dyDescent="0.3">
      <c r="A982">
        <v>1981</v>
      </c>
      <c r="B982" t="s">
        <v>408</v>
      </c>
      <c r="C982" t="s">
        <v>30</v>
      </c>
      <c r="D982" t="s">
        <v>23</v>
      </c>
      <c r="E982" t="s">
        <v>27</v>
      </c>
      <c r="F982" t="s">
        <v>25</v>
      </c>
      <c r="G982">
        <v>1</v>
      </c>
      <c r="H982">
        <v>1500</v>
      </c>
      <c r="I982">
        <v>8</v>
      </c>
      <c r="J982">
        <v>396328</v>
      </c>
      <c r="K982">
        <v>7</v>
      </c>
      <c r="L982">
        <v>1</v>
      </c>
      <c r="M982" t="str">
        <f>VLOOKUP(Sales_Data!F982,Product_Master!$A$2:$D$11,2)</f>
        <v>Keyboard</v>
      </c>
      <c r="N982" t="str">
        <f>VLOOKUP(F982,Product_Master!$A$2:$C$11,3)</f>
        <v>Accessories</v>
      </c>
      <c r="O982">
        <f>VLOOKUP(F982,Product_Master!$A$2:$D$11,4,FALSE)</f>
        <v>1200</v>
      </c>
      <c r="P982">
        <f t="shared" si="150"/>
        <v>1500</v>
      </c>
      <c r="Q982">
        <f t="shared" si="151"/>
        <v>120</v>
      </c>
      <c r="R982">
        <f t="shared" si="152"/>
        <v>1380</v>
      </c>
      <c r="S982">
        <f t="shared" si="153"/>
        <v>180</v>
      </c>
      <c r="T982" t="str">
        <f>_xlfn.CONCAT(Sales_Data!C982,"-",Sales_Data!E982,"-",Sales_Data!A982)</f>
        <v>South-C1007-1981</v>
      </c>
      <c r="U982" t="str">
        <f t="shared" si="154"/>
        <v>Regular</v>
      </c>
      <c r="V982" t="str" cm="1">
        <f t="array" ref="V982">_xlfn.IFS(R982&gt;=100000,"Excellent",R982&gt;=50000,"Good",R982&gt;=20000,"Average",TRUE,"Poor")</f>
        <v>Poor</v>
      </c>
      <c r="W982">
        <f t="shared" si="155"/>
        <v>4</v>
      </c>
      <c r="X982" t="str">
        <f t="shared" si="156"/>
        <v>December</v>
      </c>
      <c r="Y982">
        <f>HLOOKUP("Q"&amp;W982,Bonus_HLookup!$A$1:$E$2,2,FALSE)</f>
        <v>0.08</v>
      </c>
      <c r="Z982">
        <f t="shared" si="157"/>
        <v>27742.959999999999</v>
      </c>
      <c r="AA982" s="1">
        <f t="shared" si="158"/>
        <v>34292.972227582861</v>
      </c>
      <c r="AB982">
        <f t="shared" si="159"/>
        <v>954</v>
      </c>
    </row>
    <row r="983" spans="1:28" x14ac:dyDescent="0.3">
      <c r="A983">
        <v>1982</v>
      </c>
      <c r="B983" t="s">
        <v>304</v>
      </c>
      <c r="C983" t="s">
        <v>62</v>
      </c>
      <c r="D983" t="s">
        <v>23</v>
      </c>
      <c r="E983" t="s">
        <v>128</v>
      </c>
      <c r="F983" t="s">
        <v>21</v>
      </c>
      <c r="G983">
        <v>1</v>
      </c>
      <c r="H983">
        <v>12000</v>
      </c>
      <c r="I983">
        <v>8</v>
      </c>
      <c r="J983">
        <v>473855</v>
      </c>
      <c r="K983">
        <v>11</v>
      </c>
      <c r="L983">
        <v>3</v>
      </c>
      <c r="M983" t="str">
        <f>VLOOKUP(Sales_Data!F983,Product_Master!$A$2:$D$11,2)</f>
        <v>Monitor</v>
      </c>
      <c r="N983" t="str">
        <f>VLOOKUP(F983,Product_Master!$A$2:$C$11,3)</f>
        <v>Electronics</v>
      </c>
      <c r="O983">
        <f>VLOOKUP(F983,Product_Master!$A$2:$D$11,4,FALSE)</f>
        <v>9000</v>
      </c>
      <c r="P983">
        <f t="shared" si="150"/>
        <v>12000</v>
      </c>
      <c r="Q983">
        <f t="shared" si="151"/>
        <v>960</v>
      </c>
      <c r="R983">
        <f t="shared" si="152"/>
        <v>11040</v>
      </c>
      <c r="S983">
        <f t="shared" si="153"/>
        <v>2040</v>
      </c>
      <c r="T983" t="str">
        <f>_xlfn.CONCAT(Sales_Data!C983,"-",Sales_Data!E983,"-",Sales_Data!A983)</f>
        <v>East-C1013-1982</v>
      </c>
      <c r="U983" t="str">
        <f t="shared" si="154"/>
        <v>Regular</v>
      </c>
      <c r="V983" t="str" cm="1">
        <f t="array" ref="V983">_xlfn.IFS(R983&gt;=100000,"Excellent",R983&gt;=50000,"Good",R983&gt;=20000,"Average",TRUE,"Poor")</f>
        <v>Poor</v>
      </c>
      <c r="W983">
        <f t="shared" si="155"/>
        <v>2</v>
      </c>
      <c r="X983" t="str">
        <f t="shared" si="156"/>
        <v>April</v>
      </c>
      <c r="Y983">
        <f>HLOOKUP("Q"&amp;W983,Bonus_HLookup!$A$1:$E$2,2,FALSE)</f>
        <v>0.04</v>
      </c>
      <c r="Z983">
        <f t="shared" si="157"/>
        <v>156372.15</v>
      </c>
      <c r="AA983" s="1">
        <f t="shared" si="158"/>
        <v>15513.404799477003</v>
      </c>
      <c r="AB983">
        <f t="shared" si="159"/>
        <v>613</v>
      </c>
    </row>
    <row r="984" spans="1:28" x14ac:dyDescent="0.3">
      <c r="A984">
        <v>1983</v>
      </c>
      <c r="B984" t="s">
        <v>324</v>
      </c>
      <c r="C984" t="s">
        <v>62</v>
      </c>
      <c r="D984" t="s">
        <v>33</v>
      </c>
      <c r="E984" t="s">
        <v>20</v>
      </c>
      <c r="F984" t="s">
        <v>42</v>
      </c>
      <c r="G984">
        <v>1</v>
      </c>
      <c r="H984">
        <v>8000</v>
      </c>
      <c r="I984">
        <v>2</v>
      </c>
      <c r="J984">
        <v>237194</v>
      </c>
      <c r="K984">
        <v>10</v>
      </c>
      <c r="L984">
        <v>4</v>
      </c>
      <c r="M984" t="str">
        <f>VLOOKUP(Sales_Data!F984,Product_Master!$A$2:$D$11,2)</f>
        <v>Printer</v>
      </c>
      <c r="N984" t="str">
        <f>VLOOKUP(F984,Product_Master!$A$2:$C$11,3)</f>
        <v>Electronics</v>
      </c>
      <c r="O984">
        <f>VLOOKUP(F984,Product_Master!$A$2:$D$11,4,FALSE)</f>
        <v>6500</v>
      </c>
      <c r="P984">
        <f t="shared" si="150"/>
        <v>8000</v>
      </c>
      <c r="Q984">
        <f t="shared" si="151"/>
        <v>160</v>
      </c>
      <c r="R984">
        <f t="shared" si="152"/>
        <v>7840</v>
      </c>
      <c r="S984">
        <f t="shared" si="153"/>
        <v>1340</v>
      </c>
      <c r="T984" t="str">
        <f>_xlfn.CONCAT(Sales_Data!C984,"-",Sales_Data!E984,"-",Sales_Data!A984)</f>
        <v>East-C1003-1983</v>
      </c>
      <c r="U984" t="str">
        <f t="shared" si="154"/>
        <v>Regular</v>
      </c>
      <c r="V984" t="str" cm="1">
        <f t="array" ref="V984">_xlfn.IFS(R984&gt;=100000,"Excellent",R984&gt;=50000,"Good",R984&gt;=20000,"Average",TRUE,"Poor")</f>
        <v>Poor</v>
      </c>
      <c r="W984">
        <f t="shared" si="155"/>
        <v>3</v>
      </c>
      <c r="X984" t="str">
        <f t="shared" si="156"/>
        <v>August</v>
      </c>
      <c r="Y984">
        <f>HLOOKUP("Q"&amp;W984,Bonus_HLookup!$A$1:$E$2,2,FALSE)</f>
        <v>0.06</v>
      </c>
      <c r="Z984">
        <f t="shared" si="157"/>
        <v>94877.6</v>
      </c>
      <c r="AA984" s="1">
        <f t="shared" si="158"/>
        <v>6015.8526152214245</v>
      </c>
      <c r="AB984">
        <f t="shared" si="159"/>
        <v>692</v>
      </c>
    </row>
    <row r="985" spans="1:28" x14ac:dyDescent="0.3">
      <c r="A985">
        <v>1984</v>
      </c>
      <c r="B985" t="s">
        <v>200</v>
      </c>
      <c r="C985" t="s">
        <v>18</v>
      </c>
      <c r="D985" t="s">
        <v>50</v>
      </c>
      <c r="E985" t="s">
        <v>133</v>
      </c>
      <c r="F985" t="s">
        <v>69</v>
      </c>
      <c r="G985">
        <v>2</v>
      </c>
      <c r="H985">
        <v>2000</v>
      </c>
      <c r="I985">
        <v>0</v>
      </c>
      <c r="J985">
        <v>93117</v>
      </c>
      <c r="K985">
        <v>10</v>
      </c>
      <c r="L985">
        <v>2</v>
      </c>
      <c r="M985" t="str">
        <f>VLOOKUP(Sales_Data!F985,Product_Master!$A$2:$D$11,2)</f>
        <v>Headset</v>
      </c>
      <c r="N985" t="str">
        <f>VLOOKUP(F985,Product_Master!$A$2:$C$11,3)</f>
        <v>Accessories</v>
      </c>
      <c r="O985">
        <f>VLOOKUP(F985,Product_Master!$A$2:$D$11,4,FALSE)</f>
        <v>1500</v>
      </c>
      <c r="P985">
        <f t="shared" si="150"/>
        <v>4000</v>
      </c>
      <c r="Q985">
        <f t="shared" si="151"/>
        <v>0</v>
      </c>
      <c r="R985">
        <f t="shared" si="152"/>
        <v>4000</v>
      </c>
      <c r="S985">
        <f t="shared" si="153"/>
        <v>1000</v>
      </c>
      <c r="T985" t="str">
        <f>_xlfn.CONCAT(Sales_Data!C985,"-",Sales_Data!E985,"-",Sales_Data!A985)</f>
        <v>North-C1021-1984</v>
      </c>
      <c r="U985" t="str">
        <f t="shared" si="154"/>
        <v>Regular</v>
      </c>
      <c r="V985" t="str" cm="1">
        <f t="array" ref="V985">_xlfn.IFS(R985&gt;=100000,"Excellent",R985&gt;=50000,"Good",R985&gt;=20000,"Average",TRUE,"Poor")</f>
        <v>Poor</v>
      </c>
      <c r="W985">
        <f t="shared" si="155"/>
        <v>2</v>
      </c>
      <c r="X985" t="str">
        <f t="shared" si="156"/>
        <v>May</v>
      </c>
      <c r="Y985">
        <f>HLOOKUP("Q"&amp;W985,Bonus_HLookup!$A$1:$E$2,2,FALSE)</f>
        <v>0.04</v>
      </c>
      <c r="Z985">
        <f t="shared" si="157"/>
        <v>18623.400000000001</v>
      </c>
      <c r="AA985" s="1">
        <f t="shared" si="158"/>
        <v>4296.8771057705244</v>
      </c>
      <c r="AB985">
        <f t="shared" si="159"/>
        <v>837</v>
      </c>
    </row>
    <row r="986" spans="1:28" x14ac:dyDescent="0.3">
      <c r="A986">
        <v>1985</v>
      </c>
      <c r="B986" t="s">
        <v>281</v>
      </c>
      <c r="C986" t="s">
        <v>13</v>
      </c>
      <c r="D986" t="s">
        <v>23</v>
      </c>
      <c r="E986" t="s">
        <v>20</v>
      </c>
      <c r="F986" t="s">
        <v>25</v>
      </c>
      <c r="G986">
        <v>10</v>
      </c>
      <c r="H986">
        <v>1500</v>
      </c>
      <c r="I986">
        <v>12</v>
      </c>
      <c r="J986">
        <v>96373</v>
      </c>
      <c r="K986">
        <v>9</v>
      </c>
      <c r="L986">
        <v>1</v>
      </c>
      <c r="M986" t="str">
        <f>VLOOKUP(Sales_Data!F986,Product_Master!$A$2:$D$11,2)</f>
        <v>Keyboard</v>
      </c>
      <c r="N986" t="str">
        <f>VLOOKUP(F986,Product_Master!$A$2:$C$11,3)</f>
        <v>Accessories</v>
      </c>
      <c r="O986">
        <f>VLOOKUP(F986,Product_Master!$A$2:$D$11,4,FALSE)</f>
        <v>1200</v>
      </c>
      <c r="P986">
        <f t="shared" si="150"/>
        <v>15000</v>
      </c>
      <c r="Q986">
        <f t="shared" si="151"/>
        <v>1800</v>
      </c>
      <c r="R986">
        <f t="shared" si="152"/>
        <v>13200</v>
      </c>
      <c r="S986">
        <f t="shared" si="153"/>
        <v>1200</v>
      </c>
      <c r="T986" t="str">
        <f>_xlfn.CONCAT(Sales_Data!C986,"-",Sales_Data!E986,"-",Sales_Data!A986)</f>
        <v>West-C1003-1985</v>
      </c>
      <c r="U986" t="str">
        <f t="shared" si="154"/>
        <v>Regular</v>
      </c>
      <c r="V986" t="str" cm="1">
        <f t="array" ref="V986">_xlfn.IFS(R986&gt;=100000,"Excellent",R986&gt;=50000,"Good",R986&gt;=20000,"Average",TRUE,"Poor")</f>
        <v>Poor</v>
      </c>
      <c r="W986">
        <f t="shared" si="155"/>
        <v>4</v>
      </c>
      <c r="X986" t="str">
        <f t="shared" si="156"/>
        <v>October</v>
      </c>
      <c r="Y986">
        <f>HLOOKUP("Q"&amp;W986,Bonus_HLookup!$A$1:$E$2,2,FALSE)</f>
        <v>0.08</v>
      </c>
      <c r="Z986">
        <f t="shared" si="157"/>
        <v>8673.57</v>
      </c>
      <c r="AA986" s="1">
        <f t="shared" si="158"/>
        <v>8427.9611707476379</v>
      </c>
      <c r="AB986">
        <f t="shared" si="159"/>
        <v>564</v>
      </c>
    </row>
    <row r="987" spans="1:28" x14ac:dyDescent="0.3">
      <c r="A987">
        <v>1986</v>
      </c>
      <c r="B987" t="s">
        <v>126</v>
      </c>
      <c r="C987" t="s">
        <v>62</v>
      </c>
      <c r="D987" t="s">
        <v>91</v>
      </c>
      <c r="E987" t="s">
        <v>128</v>
      </c>
      <c r="F987" t="s">
        <v>16</v>
      </c>
      <c r="G987">
        <v>10</v>
      </c>
      <c r="H987">
        <v>2500</v>
      </c>
      <c r="I987">
        <v>2</v>
      </c>
      <c r="J987">
        <v>473115</v>
      </c>
      <c r="K987">
        <v>7</v>
      </c>
      <c r="L987">
        <v>5</v>
      </c>
      <c r="M987" t="str">
        <f>VLOOKUP(Sales_Data!F987,Product_Master!$A$2:$D$11,2)</f>
        <v>Speaker</v>
      </c>
      <c r="N987" t="str">
        <f>VLOOKUP(F987,Product_Master!$A$2:$C$11,3)</f>
        <v>Accessories</v>
      </c>
      <c r="O987">
        <f>VLOOKUP(F987,Product_Master!$A$2:$D$11,4,FALSE)</f>
        <v>1800</v>
      </c>
      <c r="P987">
        <f t="shared" si="150"/>
        <v>25000</v>
      </c>
      <c r="Q987">
        <f t="shared" si="151"/>
        <v>500</v>
      </c>
      <c r="R987">
        <f t="shared" si="152"/>
        <v>24500</v>
      </c>
      <c r="S987">
        <f t="shared" si="153"/>
        <v>6500</v>
      </c>
      <c r="T987" t="str">
        <f>_xlfn.CONCAT(Sales_Data!C987,"-",Sales_Data!E987,"-",Sales_Data!A987)</f>
        <v>East-C1013-1986</v>
      </c>
      <c r="U987" t="str">
        <f t="shared" si="154"/>
        <v>Regular</v>
      </c>
      <c r="V987" t="str" cm="1">
        <f t="array" ref="V987">_xlfn.IFS(R987&gt;=100000,"Excellent",R987&gt;=50000,"Good",R987&gt;=20000,"Average",TRUE,"Poor")</f>
        <v>Average</v>
      </c>
      <c r="W987">
        <f t="shared" si="155"/>
        <v>2</v>
      </c>
      <c r="X987" t="str">
        <f t="shared" si="156"/>
        <v>June</v>
      </c>
      <c r="Y987">
        <f>HLOOKUP("Q"&amp;W987,Bonus_HLookup!$A$1:$E$2,2,FALSE)</f>
        <v>0.04</v>
      </c>
      <c r="Z987">
        <f t="shared" si="157"/>
        <v>165590.25</v>
      </c>
      <c r="AA987" s="1">
        <f t="shared" si="158"/>
        <v>9368.2440474174691</v>
      </c>
      <c r="AB987">
        <f t="shared" si="159"/>
        <v>402</v>
      </c>
    </row>
    <row r="988" spans="1:28" x14ac:dyDescent="0.3">
      <c r="A988">
        <v>1987</v>
      </c>
      <c r="B988" t="s">
        <v>186</v>
      </c>
      <c r="C988" t="s">
        <v>18</v>
      </c>
      <c r="D988" t="s">
        <v>33</v>
      </c>
      <c r="E988" t="s">
        <v>71</v>
      </c>
      <c r="F988" t="s">
        <v>36</v>
      </c>
      <c r="G988">
        <v>2</v>
      </c>
      <c r="H988">
        <v>55000</v>
      </c>
      <c r="I988">
        <v>0</v>
      </c>
      <c r="J988">
        <v>465364</v>
      </c>
      <c r="K988">
        <v>7</v>
      </c>
      <c r="L988">
        <v>2</v>
      </c>
      <c r="M988" t="str">
        <f>VLOOKUP(Sales_Data!F988,Product_Master!$A$2:$D$11,2)</f>
        <v>Laptop</v>
      </c>
      <c r="N988" t="str">
        <f>VLOOKUP(F988,Product_Master!$A$2:$C$11,3)</f>
        <v>Electronics</v>
      </c>
      <c r="O988">
        <f>VLOOKUP(F988,Product_Master!$A$2:$D$11,4,FALSE)</f>
        <v>45000</v>
      </c>
      <c r="P988">
        <f t="shared" si="150"/>
        <v>110000</v>
      </c>
      <c r="Q988">
        <f t="shared" si="151"/>
        <v>0</v>
      </c>
      <c r="R988">
        <f t="shared" si="152"/>
        <v>110000</v>
      </c>
      <c r="S988">
        <f t="shared" si="153"/>
        <v>20000</v>
      </c>
      <c r="T988" t="str">
        <f>_xlfn.CONCAT(Sales_Data!C988,"-",Sales_Data!E988,"-",Sales_Data!A988)</f>
        <v>North-C1019-1987</v>
      </c>
      <c r="U988" t="str">
        <f t="shared" si="154"/>
        <v>High Value</v>
      </c>
      <c r="V988" t="str" cm="1">
        <f t="array" ref="V988">_xlfn.IFS(R988&gt;=100000,"Excellent",R988&gt;=50000,"Good",R988&gt;=20000,"Average",TRUE,"Poor")</f>
        <v>Excellent</v>
      </c>
      <c r="W988">
        <f t="shared" si="155"/>
        <v>1</v>
      </c>
      <c r="X988" t="str">
        <f t="shared" si="156"/>
        <v>January</v>
      </c>
      <c r="Y988">
        <f>HLOOKUP("Q"&amp;W988,Bonus_HLookup!$A$1:$E$2,2,FALSE)</f>
        <v>0.02</v>
      </c>
      <c r="Z988">
        <f t="shared" si="157"/>
        <v>65150.96</v>
      </c>
      <c r="AA988" s="1">
        <f t="shared" si="158"/>
        <v>20835.546501756162</v>
      </c>
      <c r="AB988">
        <f t="shared" si="159"/>
        <v>153</v>
      </c>
    </row>
    <row r="989" spans="1:28" x14ac:dyDescent="0.3">
      <c r="A989">
        <v>1988</v>
      </c>
      <c r="B989" t="s">
        <v>388</v>
      </c>
      <c r="C989" t="s">
        <v>18</v>
      </c>
      <c r="D989" t="s">
        <v>19</v>
      </c>
      <c r="E989" t="s">
        <v>82</v>
      </c>
      <c r="F989" t="s">
        <v>28</v>
      </c>
      <c r="G989">
        <v>3</v>
      </c>
      <c r="H989">
        <v>950</v>
      </c>
      <c r="I989">
        <v>8</v>
      </c>
      <c r="J989">
        <v>435466</v>
      </c>
      <c r="K989">
        <v>8</v>
      </c>
      <c r="L989">
        <v>1</v>
      </c>
      <c r="M989" t="str">
        <f>VLOOKUP(Sales_Data!F989,Product_Master!$A$2:$D$11,2)</f>
        <v>Webcam</v>
      </c>
      <c r="N989" t="str">
        <f>VLOOKUP(F989,Product_Master!$A$2:$C$11,3)</f>
        <v>Accessories</v>
      </c>
      <c r="O989">
        <f>VLOOKUP(F989,Product_Master!$A$2:$D$11,4,FALSE)</f>
        <v>700</v>
      </c>
      <c r="P989">
        <f t="shared" si="150"/>
        <v>2850</v>
      </c>
      <c r="Q989">
        <f t="shared" si="151"/>
        <v>228</v>
      </c>
      <c r="R989">
        <f t="shared" si="152"/>
        <v>2622</v>
      </c>
      <c r="S989">
        <f t="shared" si="153"/>
        <v>522</v>
      </c>
      <c r="T989" t="str">
        <f>_xlfn.CONCAT(Sales_Data!C989,"-",Sales_Data!E989,"-",Sales_Data!A989)</f>
        <v>North-C1045-1988</v>
      </c>
      <c r="U989" t="str">
        <f t="shared" si="154"/>
        <v>Regular</v>
      </c>
      <c r="V989" t="str" cm="1">
        <f t="array" ref="V989">_xlfn.IFS(R989&gt;=100000,"Excellent",R989&gt;=50000,"Good",R989&gt;=20000,"Average",TRUE,"Poor")</f>
        <v>Poor</v>
      </c>
      <c r="W989">
        <f t="shared" si="155"/>
        <v>3</v>
      </c>
      <c r="X989" t="str">
        <f t="shared" si="156"/>
        <v>September</v>
      </c>
      <c r="Y989">
        <f>HLOOKUP("Q"&amp;W989,Bonus_HLookup!$A$1:$E$2,2,FALSE)</f>
        <v>0.06</v>
      </c>
      <c r="Z989">
        <f t="shared" si="157"/>
        <v>34837.279999999999</v>
      </c>
      <c r="AA989" s="1">
        <f t="shared" si="158"/>
        <v>37880.503260111967</v>
      </c>
      <c r="AB989">
        <f t="shared" si="159"/>
        <v>900</v>
      </c>
    </row>
    <row r="990" spans="1:28" x14ac:dyDescent="0.3">
      <c r="A990">
        <v>1989</v>
      </c>
      <c r="B990" t="s">
        <v>245</v>
      </c>
      <c r="C990" t="s">
        <v>18</v>
      </c>
      <c r="D990" t="s">
        <v>50</v>
      </c>
      <c r="E990" t="s">
        <v>68</v>
      </c>
      <c r="F990" t="s">
        <v>42</v>
      </c>
      <c r="G990">
        <v>3</v>
      </c>
      <c r="H990">
        <v>8000</v>
      </c>
      <c r="I990">
        <v>5</v>
      </c>
      <c r="J990">
        <v>458763</v>
      </c>
      <c r="K990">
        <v>8</v>
      </c>
      <c r="L990">
        <v>4</v>
      </c>
      <c r="M990" t="str">
        <f>VLOOKUP(Sales_Data!F990,Product_Master!$A$2:$D$11,2)</f>
        <v>Printer</v>
      </c>
      <c r="N990" t="str">
        <f>VLOOKUP(F990,Product_Master!$A$2:$C$11,3)</f>
        <v>Electronics</v>
      </c>
      <c r="O990">
        <f>VLOOKUP(F990,Product_Master!$A$2:$D$11,4,FALSE)</f>
        <v>6500</v>
      </c>
      <c r="P990">
        <f t="shared" si="150"/>
        <v>24000</v>
      </c>
      <c r="Q990">
        <f t="shared" si="151"/>
        <v>1200</v>
      </c>
      <c r="R990">
        <f t="shared" si="152"/>
        <v>22800</v>
      </c>
      <c r="S990">
        <f t="shared" si="153"/>
        <v>3300</v>
      </c>
      <c r="T990" t="str">
        <f>_xlfn.CONCAT(Sales_Data!C990,"-",Sales_Data!E990,"-",Sales_Data!A990)</f>
        <v>North-C1043-1989</v>
      </c>
      <c r="U990" t="str">
        <f t="shared" si="154"/>
        <v>Regular</v>
      </c>
      <c r="V990" t="str" cm="1">
        <f t="array" ref="V990">_xlfn.IFS(R990&gt;=100000,"Excellent",R990&gt;=50000,"Good",R990&gt;=20000,"Average",TRUE,"Poor")</f>
        <v>Average</v>
      </c>
      <c r="W990">
        <f t="shared" si="155"/>
        <v>1</v>
      </c>
      <c r="X990" t="str">
        <f t="shared" si="156"/>
        <v>February</v>
      </c>
      <c r="Y990">
        <f>HLOOKUP("Q"&amp;W990,Bonus_HLookup!$A$1:$E$2,2,FALSE)</f>
        <v>0.02</v>
      </c>
      <c r="Z990">
        <f t="shared" si="157"/>
        <v>146804.16</v>
      </c>
      <c r="AA990" s="1">
        <f t="shared" si="158"/>
        <v>11199.745492154703</v>
      </c>
      <c r="AB990">
        <f t="shared" si="159"/>
        <v>410</v>
      </c>
    </row>
    <row r="991" spans="1:28" x14ac:dyDescent="0.3">
      <c r="A991">
        <v>1990</v>
      </c>
      <c r="B991" t="s">
        <v>311</v>
      </c>
      <c r="C991" t="s">
        <v>30</v>
      </c>
      <c r="D991" t="s">
        <v>33</v>
      </c>
      <c r="E991" t="s">
        <v>57</v>
      </c>
      <c r="F991" t="s">
        <v>21</v>
      </c>
      <c r="G991">
        <v>7</v>
      </c>
      <c r="H991">
        <v>12000</v>
      </c>
      <c r="I991">
        <v>12</v>
      </c>
      <c r="J991">
        <v>348408</v>
      </c>
      <c r="K991">
        <v>10</v>
      </c>
      <c r="L991">
        <v>1</v>
      </c>
      <c r="M991" t="str">
        <f>VLOOKUP(Sales_Data!F991,Product_Master!$A$2:$D$11,2)</f>
        <v>Monitor</v>
      </c>
      <c r="N991" t="str">
        <f>VLOOKUP(F991,Product_Master!$A$2:$C$11,3)</f>
        <v>Electronics</v>
      </c>
      <c r="O991">
        <f>VLOOKUP(F991,Product_Master!$A$2:$D$11,4,FALSE)</f>
        <v>9000</v>
      </c>
      <c r="P991">
        <f t="shared" si="150"/>
        <v>84000</v>
      </c>
      <c r="Q991">
        <f t="shared" si="151"/>
        <v>10080</v>
      </c>
      <c r="R991">
        <f t="shared" si="152"/>
        <v>73920</v>
      </c>
      <c r="S991">
        <f t="shared" si="153"/>
        <v>10920</v>
      </c>
      <c r="T991" t="str">
        <f>_xlfn.CONCAT(Sales_Data!C991,"-",Sales_Data!E991,"-",Sales_Data!A991)</f>
        <v>South-C1012-1990</v>
      </c>
      <c r="U991" t="str">
        <f t="shared" si="154"/>
        <v>High Value</v>
      </c>
      <c r="V991" t="str" cm="1">
        <f t="array" ref="V991">_xlfn.IFS(R991&gt;=100000,"Excellent",R991&gt;=50000,"Good",R991&gt;=20000,"Average",TRUE,"Poor")</f>
        <v>Good</v>
      </c>
      <c r="W991">
        <f t="shared" si="155"/>
        <v>4</v>
      </c>
      <c r="X991" t="str">
        <f t="shared" si="156"/>
        <v>November</v>
      </c>
      <c r="Y991">
        <f>HLOOKUP("Q"&amp;W991,Bonus_HLookup!$A$1:$E$2,2,FALSE)</f>
        <v>0.08</v>
      </c>
      <c r="Z991">
        <f t="shared" si="157"/>
        <v>34840.800000000003</v>
      </c>
      <c r="AA991" s="1">
        <f t="shared" si="158"/>
        <v>30630.598438033183</v>
      </c>
      <c r="AB991">
        <f t="shared" si="159"/>
        <v>202</v>
      </c>
    </row>
    <row r="992" spans="1:28" x14ac:dyDescent="0.3">
      <c r="A992">
        <v>1991</v>
      </c>
      <c r="B992" t="s">
        <v>249</v>
      </c>
      <c r="C992" t="s">
        <v>13</v>
      </c>
      <c r="D992" t="s">
        <v>23</v>
      </c>
      <c r="E992" t="s">
        <v>106</v>
      </c>
      <c r="F992" t="s">
        <v>39</v>
      </c>
      <c r="G992">
        <v>3</v>
      </c>
      <c r="H992">
        <v>7000</v>
      </c>
      <c r="I992">
        <v>2</v>
      </c>
      <c r="J992">
        <v>81710</v>
      </c>
      <c r="K992">
        <v>12</v>
      </c>
      <c r="L992">
        <v>1</v>
      </c>
      <c r="M992" t="str">
        <f>VLOOKUP(Sales_Data!F992,Product_Master!$A$2:$D$11,2)</f>
        <v>Router</v>
      </c>
      <c r="N992" t="str">
        <f>VLOOKUP(F992,Product_Master!$A$2:$C$11,3)</f>
        <v>Electronics</v>
      </c>
      <c r="O992">
        <f>VLOOKUP(F992,Product_Master!$A$2:$D$11,4,FALSE)</f>
        <v>5000</v>
      </c>
      <c r="P992">
        <f t="shared" si="150"/>
        <v>21000</v>
      </c>
      <c r="Q992">
        <f t="shared" si="151"/>
        <v>420</v>
      </c>
      <c r="R992">
        <f t="shared" si="152"/>
        <v>20580</v>
      </c>
      <c r="S992">
        <f t="shared" si="153"/>
        <v>5580</v>
      </c>
      <c r="T992" t="str">
        <f>_xlfn.CONCAT(Sales_Data!C992,"-",Sales_Data!E992,"-",Sales_Data!A992)</f>
        <v>West-C1004-1991</v>
      </c>
      <c r="U992" t="str">
        <f t="shared" si="154"/>
        <v>Regular</v>
      </c>
      <c r="V992" t="str" cm="1">
        <f t="array" ref="V992">_xlfn.IFS(R992&gt;=100000,"Excellent",R992&gt;=50000,"Good",R992&gt;=20000,"Average",TRUE,"Poor")</f>
        <v>Average</v>
      </c>
      <c r="W992">
        <f t="shared" si="155"/>
        <v>4</v>
      </c>
      <c r="X992" t="str">
        <f t="shared" si="156"/>
        <v>December</v>
      </c>
      <c r="Y992">
        <f>HLOOKUP("Q"&amp;W992,Bonus_HLookup!$A$1:$E$2,2,FALSE)</f>
        <v>0.08</v>
      </c>
      <c r="Z992">
        <f t="shared" si="157"/>
        <v>9805.2000000000007</v>
      </c>
      <c r="AA992" s="1">
        <f t="shared" si="158"/>
        <v>7259.8345229073002</v>
      </c>
      <c r="AB992">
        <f t="shared" si="159"/>
        <v>442</v>
      </c>
    </row>
    <row r="993" spans="1:28" x14ac:dyDescent="0.3">
      <c r="A993">
        <v>1992</v>
      </c>
      <c r="B993" t="s">
        <v>315</v>
      </c>
      <c r="C993" t="s">
        <v>62</v>
      </c>
      <c r="D993" t="s">
        <v>46</v>
      </c>
      <c r="E993" t="s">
        <v>71</v>
      </c>
      <c r="F993" t="s">
        <v>28</v>
      </c>
      <c r="G993">
        <v>5</v>
      </c>
      <c r="H993">
        <v>950</v>
      </c>
      <c r="I993">
        <v>8</v>
      </c>
      <c r="J993">
        <v>66387</v>
      </c>
      <c r="K993">
        <v>12</v>
      </c>
      <c r="L993">
        <v>5</v>
      </c>
      <c r="M993" t="str">
        <f>VLOOKUP(Sales_Data!F993,Product_Master!$A$2:$D$11,2)</f>
        <v>Webcam</v>
      </c>
      <c r="N993" t="str">
        <f>VLOOKUP(F993,Product_Master!$A$2:$C$11,3)</f>
        <v>Accessories</v>
      </c>
      <c r="O993">
        <f>VLOOKUP(F993,Product_Master!$A$2:$D$11,4,FALSE)</f>
        <v>700</v>
      </c>
      <c r="P993">
        <f t="shared" si="150"/>
        <v>4750</v>
      </c>
      <c r="Q993">
        <f t="shared" si="151"/>
        <v>380</v>
      </c>
      <c r="R993">
        <f t="shared" si="152"/>
        <v>4370</v>
      </c>
      <c r="S993">
        <f t="shared" si="153"/>
        <v>870</v>
      </c>
      <c r="T993" t="str">
        <f>_xlfn.CONCAT(Sales_Data!C993,"-",Sales_Data!E993,"-",Sales_Data!A993)</f>
        <v>East-C1019-1992</v>
      </c>
      <c r="U993" t="str">
        <f t="shared" si="154"/>
        <v>Regular</v>
      </c>
      <c r="V993" t="str" cm="1">
        <f t="array" ref="V993">_xlfn.IFS(R993&gt;=100000,"Excellent",R993&gt;=50000,"Good",R993&gt;=20000,"Average",TRUE,"Poor")</f>
        <v>Poor</v>
      </c>
      <c r="W993">
        <f t="shared" si="155"/>
        <v>3</v>
      </c>
      <c r="X993" t="str">
        <f t="shared" si="156"/>
        <v>July</v>
      </c>
      <c r="Y993">
        <f>HLOOKUP("Q"&amp;W993,Bonus_HLookup!$A$1:$E$2,2,FALSE)</f>
        <v>0.06</v>
      </c>
      <c r="Z993">
        <f t="shared" si="157"/>
        <v>39832.199999999997</v>
      </c>
      <c r="AA993" s="1">
        <f t="shared" si="158"/>
        <v>1476.7421484575741</v>
      </c>
      <c r="AB993">
        <f t="shared" si="159"/>
        <v>816</v>
      </c>
    </row>
    <row r="994" spans="1:28" x14ac:dyDescent="0.3">
      <c r="A994">
        <v>1993</v>
      </c>
      <c r="B994" t="s">
        <v>274</v>
      </c>
      <c r="C994" t="s">
        <v>30</v>
      </c>
      <c r="D994" t="s">
        <v>91</v>
      </c>
      <c r="E994" t="s">
        <v>128</v>
      </c>
      <c r="F994" t="s">
        <v>42</v>
      </c>
      <c r="G994">
        <v>9</v>
      </c>
      <c r="H994">
        <v>8000</v>
      </c>
      <c r="I994">
        <v>15</v>
      </c>
      <c r="J994">
        <v>441334</v>
      </c>
      <c r="K994">
        <v>8</v>
      </c>
      <c r="L994">
        <v>2</v>
      </c>
      <c r="M994" t="str">
        <f>VLOOKUP(Sales_Data!F994,Product_Master!$A$2:$D$11,2)</f>
        <v>Printer</v>
      </c>
      <c r="N994" t="str">
        <f>VLOOKUP(F994,Product_Master!$A$2:$C$11,3)</f>
        <v>Electronics</v>
      </c>
      <c r="O994">
        <f>VLOOKUP(F994,Product_Master!$A$2:$D$11,4,FALSE)</f>
        <v>6500</v>
      </c>
      <c r="P994">
        <f t="shared" si="150"/>
        <v>72000</v>
      </c>
      <c r="Q994">
        <f t="shared" si="151"/>
        <v>10800</v>
      </c>
      <c r="R994">
        <f t="shared" si="152"/>
        <v>61200</v>
      </c>
      <c r="S994">
        <f t="shared" si="153"/>
        <v>2700</v>
      </c>
      <c r="T994" t="str">
        <f>_xlfn.CONCAT(Sales_Data!C994,"-",Sales_Data!E994,"-",Sales_Data!A994)</f>
        <v>South-C1013-1993</v>
      </c>
      <c r="U994" t="str">
        <f t="shared" si="154"/>
        <v>High Value</v>
      </c>
      <c r="V994" t="str" cm="1">
        <f t="array" ref="V994">_xlfn.IFS(R994&gt;=100000,"Excellent",R994&gt;=50000,"Good",R994&gt;=20000,"Average",TRUE,"Poor")</f>
        <v>Good</v>
      </c>
      <c r="W994">
        <f t="shared" si="155"/>
        <v>2</v>
      </c>
      <c r="X994" t="str">
        <f t="shared" si="156"/>
        <v>April</v>
      </c>
      <c r="Y994">
        <f>HLOOKUP("Q"&amp;W994,Bonus_HLookup!$A$1:$E$2,2,FALSE)</f>
        <v>0.04</v>
      </c>
      <c r="Z994">
        <f t="shared" si="157"/>
        <v>70613.440000000002</v>
      </c>
      <c r="AA994" s="1">
        <f t="shared" si="158"/>
        <v>19960.341447523577</v>
      </c>
      <c r="AB994">
        <f t="shared" si="159"/>
        <v>251</v>
      </c>
    </row>
    <row r="995" spans="1:28" x14ac:dyDescent="0.3">
      <c r="A995">
        <v>1994</v>
      </c>
      <c r="B995" t="s">
        <v>67</v>
      </c>
      <c r="C995" t="s">
        <v>18</v>
      </c>
      <c r="D995" t="s">
        <v>46</v>
      </c>
      <c r="E995" t="s">
        <v>82</v>
      </c>
      <c r="F995" t="s">
        <v>25</v>
      </c>
      <c r="G995">
        <v>6</v>
      </c>
      <c r="H995">
        <v>1500</v>
      </c>
      <c r="I995">
        <v>10</v>
      </c>
      <c r="J995">
        <v>80731</v>
      </c>
      <c r="K995">
        <v>11</v>
      </c>
      <c r="L995">
        <v>1</v>
      </c>
      <c r="M995" t="str">
        <f>VLOOKUP(Sales_Data!F995,Product_Master!$A$2:$D$11,2)</f>
        <v>Keyboard</v>
      </c>
      <c r="N995" t="str">
        <f>VLOOKUP(F995,Product_Master!$A$2:$C$11,3)</f>
        <v>Accessories</v>
      </c>
      <c r="O995">
        <f>VLOOKUP(F995,Product_Master!$A$2:$D$11,4,FALSE)</f>
        <v>1200</v>
      </c>
      <c r="P995">
        <f t="shared" si="150"/>
        <v>9000</v>
      </c>
      <c r="Q995">
        <f t="shared" si="151"/>
        <v>900</v>
      </c>
      <c r="R995">
        <f t="shared" si="152"/>
        <v>8100</v>
      </c>
      <c r="S995">
        <f t="shared" si="153"/>
        <v>900</v>
      </c>
      <c r="T995" t="str">
        <f>_xlfn.CONCAT(Sales_Data!C995,"-",Sales_Data!E995,"-",Sales_Data!A995)</f>
        <v>North-C1045-1994</v>
      </c>
      <c r="U995" t="str">
        <f t="shared" si="154"/>
        <v>Regular</v>
      </c>
      <c r="V995" t="str" cm="1">
        <f t="array" ref="V995">_xlfn.IFS(R995&gt;=100000,"Excellent",R995&gt;=50000,"Good",R995&gt;=20000,"Average",TRUE,"Poor")</f>
        <v>Poor</v>
      </c>
      <c r="W995">
        <f t="shared" si="155"/>
        <v>2</v>
      </c>
      <c r="X995" t="str">
        <f t="shared" si="156"/>
        <v>May</v>
      </c>
      <c r="Y995">
        <f>HLOOKUP("Q"&amp;W995,Bonus_HLookup!$A$1:$E$2,2,FALSE)</f>
        <v>0.04</v>
      </c>
      <c r="Z995">
        <f t="shared" si="157"/>
        <v>8880.41</v>
      </c>
      <c r="AA995" s="1">
        <f t="shared" si="158"/>
        <v>7135.139674107616</v>
      </c>
      <c r="AB995">
        <f t="shared" si="159"/>
        <v>682</v>
      </c>
    </row>
    <row r="996" spans="1:28" x14ac:dyDescent="0.3">
      <c r="A996">
        <v>1995</v>
      </c>
      <c r="B996" t="s">
        <v>58</v>
      </c>
      <c r="C996" t="s">
        <v>13</v>
      </c>
      <c r="D996" t="s">
        <v>91</v>
      </c>
      <c r="E996" t="s">
        <v>131</v>
      </c>
      <c r="F996" t="s">
        <v>25</v>
      </c>
      <c r="G996">
        <v>6</v>
      </c>
      <c r="H996">
        <v>1500</v>
      </c>
      <c r="I996">
        <v>2</v>
      </c>
      <c r="J996">
        <v>156069</v>
      </c>
      <c r="K996">
        <v>7</v>
      </c>
      <c r="L996">
        <v>5</v>
      </c>
      <c r="M996" t="str">
        <f>VLOOKUP(Sales_Data!F996,Product_Master!$A$2:$D$11,2)</f>
        <v>Keyboard</v>
      </c>
      <c r="N996" t="str">
        <f>VLOOKUP(F996,Product_Master!$A$2:$C$11,3)</f>
        <v>Accessories</v>
      </c>
      <c r="O996">
        <f>VLOOKUP(F996,Product_Master!$A$2:$D$11,4,FALSE)</f>
        <v>1200</v>
      </c>
      <c r="P996">
        <f t="shared" si="150"/>
        <v>9000</v>
      </c>
      <c r="Q996">
        <f t="shared" si="151"/>
        <v>180</v>
      </c>
      <c r="R996">
        <f t="shared" si="152"/>
        <v>8820</v>
      </c>
      <c r="S996">
        <f t="shared" si="153"/>
        <v>1620</v>
      </c>
      <c r="T996" t="str">
        <f>_xlfn.CONCAT(Sales_Data!C996,"-",Sales_Data!E996,"-",Sales_Data!A996)</f>
        <v>West-C1047-1995</v>
      </c>
      <c r="U996" t="str">
        <f t="shared" si="154"/>
        <v>Regular</v>
      </c>
      <c r="V996" t="str" cm="1">
        <f t="array" ref="V996">_xlfn.IFS(R996&gt;=100000,"Excellent",R996&gt;=50000,"Good",R996&gt;=20000,"Average",TRUE,"Poor")</f>
        <v>Poor</v>
      </c>
      <c r="W996">
        <f t="shared" si="155"/>
        <v>4</v>
      </c>
      <c r="X996" t="str">
        <f t="shared" si="156"/>
        <v>November</v>
      </c>
      <c r="Y996">
        <f>HLOOKUP("Q"&amp;W996,Bonus_HLookup!$A$1:$E$2,2,FALSE)</f>
        <v>0.08</v>
      </c>
      <c r="Z996">
        <f t="shared" si="157"/>
        <v>54624.15</v>
      </c>
      <c r="AA996" s="1">
        <f t="shared" si="158"/>
        <v>3090.3532549938118</v>
      </c>
      <c r="AB996">
        <f t="shared" si="159"/>
        <v>669</v>
      </c>
    </row>
    <row r="997" spans="1:28" x14ac:dyDescent="0.3">
      <c r="A997">
        <v>1996</v>
      </c>
      <c r="B997" t="s">
        <v>286</v>
      </c>
      <c r="C997" t="s">
        <v>62</v>
      </c>
      <c r="D997" t="s">
        <v>19</v>
      </c>
      <c r="E997" t="s">
        <v>131</v>
      </c>
      <c r="F997" t="s">
        <v>39</v>
      </c>
      <c r="G997">
        <v>5</v>
      </c>
      <c r="H997">
        <v>7000</v>
      </c>
      <c r="I997">
        <v>10</v>
      </c>
      <c r="J997">
        <v>423610</v>
      </c>
      <c r="K997">
        <v>12</v>
      </c>
      <c r="L997">
        <v>2</v>
      </c>
      <c r="M997" t="str">
        <f>VLOOKUP(Sales_Data!F997,Product_Master!$A$2:$D$11,2)</f>
        <v>Router</v>
      </c>
      <c r="N997" t="str">
        <f>VLOOKUP(F997,Product_Master!$A$2:$C$11,3)</f>
        <v>Electronics</v>
      </c>
      <c r="O997">
        <f>VLOOKUP(F997,Product_Master!$A$2:$D$11,4,FALSE)</f>
        <v>5000</v>
      </c>
      <c r="P997">
        <f t="shared" si="150"/>
        <v>35000</v>
      </c>
      <c r="Q997">
        <f t="shared" si="151"/>
        <v>3500</v>
      </c>
      <c r="R997">
        <f t="shared" si="152"/>
        <v>31500</v>
      </c>
      <c r="S997">
        <f t="shared" si="153"/>
        <v>6500</v>
      </c>
      <c r="T997" t="str">
        <f>_xlfn.CONCAT(Sales_Data!C997,"-",Sales_Data!E997,"-",Sales_Data!A997)</f>
        <v>East-C1047-1996</v>
      </c>
      <c r="U997" t="str">
        <f t="shared" si="154"/>
        <v>Regular</v>
      </c>
      <c r="V997" t="str" cm="1">
        <f t="array" ref="V997">_xlfn.IFS(R997&gt;=100000,"Excellent",R997&gt;=50000,"Good",R997&gt;=20000,"Average",TRUE,"Poor")</f>
        <v>Average</v>
      </c>
      <c r="W997">
        <f t="shared" si="155"/>
        <v>1</v>
      </c>
      <c r="X997" t="str">
        <f t="shared" si="156"/>
        <v>January</v>
      </c>
      <c r="Y997">
        <f>HLOOKUP("Q"&amp;W997,Bonus_HLookup!$A$1:$E$2,2,FALSE)</f>
        <v>0.02</v>
      </c>
      <c r="Z997">
        <f t="shared" si="157"/>
        <v>101666.4</v>
      </c>
      <c r="AA997" s="1">
        <f t="shared" si="158"/>
        <v>19940.79356849716</v>
      </c>
      <c r="AB997">
        <f t="shared" si="159"/>
        <v>367</v>
      </c>
    </row>
    <row r="998" spans="1:28" x14ac:dyDescent="0.3">
      <c r="A998">
        <v>1997</v>
      </c>
      <c r="B998" t="s">
        <v>17</v>
      </c>
      <c r="C998" t="s">
        <v>18</v>
      </c>
      <c r="D998" t="s">
        <v>23</v>
      </c>
      <c r="E998" t="s">
        <v>125</v>
      </c>
      <c r="F998" t="s">
        <v>21</v>
      </c>
      <c r="G998">
        <v>10</v>
      </c>
      <c r="H998">
        <v>12000</v>
      </c>
      <c r="I998">
        <v>8</v>
      </c>
      <c r="J998">
        <v>315370</v>
      </c>
      <c r="K998">
        <v>9</v>
      </c>
      <c r="L998">
        <v>1</v>
      </c>
      <c r="M998" t="str">
        <f>VLOOKUP(Sales_Data!F998,Product_Master!$A$2:$D$11,2)</f>
        <v>Monitor</v>
      </c>
      <c r="N998" t="str">
        <f>VLOOKUP(F998,Product_Master!$A$2:$C$11,3)</f>
        <v>Electronics</v>
      </c>
      <c r="O998">
        <f>VLOOKUP(F998,Product_Master!$A$2:$D$11,4,FALSE)</f>
        <v>9000</v>
      </c>
      <c r="P998">
        <f t="shared" si="150"/>
        <v>120000</v>
      </c>
      <c r="Q998">
        <f t="shared" si="151"/>
        <v>9600</v>
      </c>
      <c r="R998">
        <f t="shared" si="152"/>
        <v>110400</v>
      </c>
      <c r="S998">
        <f t="shared" si="153"/>
        <v>20400</v>
      </c>
      <c r="T998" t="str">
        <f>_xlfn.CONCAT(Sales_Data!C998,"-",Sales_Data!E998,"-",Sales_Data!A998)</f>
        <v>North-C1039-1997</v>
      </c>
      <c r="U998" t="str">
        <f t="shared" si="154"/>
        <v>High Value</v>
      </c>
      <c r="V998" t="str" cm="1">
        <f t="array" ref="V998">_xlfn.IFS(R998&gt;=100000,"Excellent",R998&gt;=50000,"Good",R998&gt;=20000,"Average",TRUE,"Poor")</f>
        <v>Excellent</v>
      </c>
      <c r="W998">
        <f t="shared" si="155"/>
        <v>3</v>
      </c>
      <c r="X998" t="str">
        <f t="shared" si="156"/>
        <v>September</v>
      </c>
      <c r="Y998">
        <f>HLOOKUP("Q"&amp;W998,Bonus_HLookup!$A$1:$E$2,2,FALSE)</f>
        <v>0.06</v>
      </c>
      <c r="Z998">
        <f t="shared" si="157"/>
        <v>28383.3</v>
      </c>
      <c r="AA998" s="1">
        <f t="shared" si="158"/>
        <v>27579.572228930123</v>
      </c>
      <c r="AB998">
        <f t="shared" si="159"/>
        <v>151</v>
      </c>
    </row>
    <row r="999" spans="1:28" x14ac:dyDescent="0.3">
      <c r="A999">
        <v>1998</v>
      </c>
      <c r="B999" t="s">
        <v>43</v>
      </c>
      <c r="C999" t="s">
        <v>18</v>
      </c>
      <c r="D999" t="s">
        <v>91</v>
      </c>
      <c r="E999" t="s">
        <v>169</v>
      </c>
      <c r="F999" t="s">
        <v>74</v>
      </c>
      <c r="G999">
        <v>5</v>
      </c>
      <c r="H999">
        <v>35000</v>
      </c>
      <c r="I999">
        <v>10</v>
      </c>
      <c r="J999">
        <v>150409</v>
      </c>
      <c r="K999">
        <v>10</v>
      </c>
      <c r="L999">
        <v>2</v>
      </c>
      <c r="M999" t="str">
        <f>VLOOKUP(Sales_Data!F999,Product_Master!$A$2:$D$11,2)</f>
        <v>Tablet</v>
      </c>
      <c r="N999" t="str">
        <f>VLOOKUP(F999,Product_Master!$A$2:$C$11,3)</f>
        <v>Electronics</v>
      </c>
      <c r="O999">
        <f>VLOOKUP(F999,Product_Master!$A$2:$D$11,4,FALSE)</f>
        <v>29000</v>
      </c>
      <c r="P999">
        <f t="shared" si="150"/>
        <v>175000</v>
      </c>
      <c r="Q999">
        <f t="shared" si="151"/>
        <v>17500</v>
      </c>
      <c r="R999">
        <f t="shared" si="152"/>
        <v>157500</v>
      </c>
      <c r="S999">
        <f t="shared" si="153"/>
        <v>12500</v>
      </c>
      <c r="T999" t="str">
        <f>_xlfn.CONCAT(Sales_Data!C999,"-",Sales_Data!E999,"-",Sales_Data!A999)</f>
        <v>North-C1038-1998</v>
      </c>
      <c r="U999" t="str">
        <f t="shared" si="154"/>
        <v>High Value</v>
      </c>
      <c r="V999" t="str" cm="1">
        <f t="array" ref="V999">_xlfn.IFS(R999&gt;=100000,"Excellent",R999&gt;=50000,"Good",R999&gt;=20000,"Average",TRUE,"Poor")</f>
        <v>Excellent</v>
      </c>
      <c r="W999">
        <f t="shared" si="155"/>
        <v>4</v>
      </c>
      <c r="X999" t="str">
        <f t="shared" si="156"/>
        <v>December</v>
      </c>
      <c r="Y999">
        <f>HLOOKUP("Q"&amp;W999,Bonus_HLookup!$A$1:$E$2,2,FALSE)</f>
        <v>0.08</v>
      </c>
      <c r="Z999">
        <f t="shared" si="157"/>
        <v>30081.8</v>
      </c>
      <c r="AA999" s="1">
        <f t="shared" si="158"/>
        <v>6940.6122254995198</v>
      </c>
      <c r="AB999">
        <f t="shared" si="159"/>
        <v>126</v>
      </c>
    </row>
    <row r="1000" spans="1:28" x14ac:dyDescent="0.3">
      <c r="A1000">
        <v>1999</v>
      </c>
      <c r="B1000" t="s">
        <v>234</v>
      </c>
      <c r="C1000" t="s">
        <v>13</v>
      </c>
      <c r="D1000" t="s">
        <v>19</v>
      </c>
      <c r="E1000" t="s">
        <v>99</v>
      </c>
      <c r="F1000" t="s">
        <v>28</v>
      </c>
      <c r="G1000">
        <v>1</v>
      </c>
      <c r="H1000">
        <v>950</v>
      </c>
      <c r="I1000">
        <v>0</v>
      </c>
      <c r="J1000">
        <v>279789</v>
      </c>
      <c r="K1000">
        <v>8</v>
      </c>
      <c r="L1000">
        <v>2</v>
      </c>
      <c r="M1000" t="str">
        <f>VLOOKUP(Sales_Data!F1000,Product_Master!$A$2:$D$11,2)</f>
        <v>Webcam</v>
      </c>
      <c r="N1000" t="str">
        <f>VLOOKUP(F1000,Product_Master!$A$2:$C$11,3)</f>
        <v>Accessories</v>
      </c>
      <c r="O1000">
        <f>VLOOKUP(F1000,Product_Master!$A$2:$D$11,4,FALSE)</f>
        <v>700</v>
      </c>
      <c r="P1000">
        <f t="shared" si="150"/>
        <v>950</v>
      </c>
      <c r="Q1000">
        <f t="shared" si="151"/>
        <v>0</v>
      </c>
      <c r="R1000">
        <f t="shared" si="152"/>
        <v>950</v>
      </c>
      <c r="S1000">
        <f t="shared" si="153"/>
        <v>250</v>
      </c>
      <c r="T1000" t="str">
        <f>_xlfn.CONCAT(Sales_Data!C1000,"-",Sales_Data!E1000,"-",Sales_Data!A1000)</f>
        <v>West-C1050-1999</v>
      </c>
      <c r="U1000" t="str">
        <f t="shared" si="154"/>
        <v>Regular</v>
      </c>
      <c r="V1000" t="str" cm="1">
        <f t="array" ref="V1000">_xlfn.IFS(R1000&gt;=100000,"Excellent",R1000&gt;=50000,"Good",R1000&gt;=20000,"Average",TRUE,"Poor")</f>
        <v>Poor</v>
      </c>
      <c r="W1000">
        <f t="shared" si="155"/>
        <v>3</v>
      </c>
      <c r="X1000" t="str">
        <f t="shared" si="156"/>
        <v>September</v>
      </c>
      <c r="Y1000">
        <f>HLOOKUP("Q"&amp;W1000,Bonus_HLookup!$A$1:$E$2,2,FALSE)</f>
        <v>0.06</v>
      </c>
      <c r="Z1000">
        <f t="shared" si="157"/>
        <v>44766.239999999998</v>
      </c>
      <c r="AA1000" s="1">
        <f t="shared" si="158"/>
        <v>12654.098649234309</v>
      </c>
      <c r="AB1000">
        <f t="shared" si="159"/>
        <v>967</v>
      </c>
    </row>
    <row r="1001" spans="1:28" x14ac:dyDescent="0.3">
      <c r="A1001">
        <v>2000</v>
      </c>
      <c r="B1001" t="s">
        <v>117</v>
      </c>
      <c r="C1001" t="s">
        <v>13</v>
      </c>
      <c r="D1001" t="s">
        <v>50</v>
      </c>
      <c r="E1001" t="s">
        <v>108</v>
      </c>
      <c r="F1001" t="s">
        <v>39</v>
      </c>
      <c r="G1001">
        <v>9</v>
      </c>
      <c r="H1001">
        <v>7000</v>
      </c>
      <c r="I1001">
        <v>0</v>
      </c>
      <c r="J1001">
        <v>460391</v>
      </c>
      <c r="K1001">
        <v>11</v>
      </c>
      <c r="L1001">
        <v>1</v>
      </c>
      <c r="M1001" t="str">
        <f>VLOOKUP(Sales_Data!F1001,Product_Master!$A$2:$D$11,2)</f>
        <v>Router</v>
      </c>
      <c r="N1001" t="str">
        <f>VLOOKUP(F1001,Product_Master!$A$2:$C$11,3)</f>
        <v>Electronics</v>
      </c>
      <c r="O1001">
        <f>VLOOKUP(F1001,Product_Master!$A$2:$D$11,4,FALSE)</f>
        <v>5000</v>
      </c>
      <c r="P1001">
        <f t="shared" si="150"/>
        <v>63000</v>
      </c>
      <c r="Q1001">
        <f t="shared" si="151"/>
        <v>0</v>
      </c>
      <c r="R1001">
        <f t="shared" si="152"/>
        <v>63000</v>
      </c>
      <c r="S1001">
        <f t="shared" si="153"/>
        <v>18000</v>
      </c>
      <c r="T1001" t="str">
        <f>_xlfn.CONCAT(Sales_Data!C1001,"-",Sales_Data!E1001,"-",Sales_Data!A1001)</f>
        <v>West-C1031-2000</v>
      </c>
      <c r="U1001" t="str">
        <f t="shared" si="154"/>
        <v>High Value</v>
      </c>
      <c r="V1001" t="str" cm="1">
        <f t="array" ref="V1001">_xlfn.IFS(R1001&gt;=100000,"Excellent",R1001&gt;=50000,"Good",R1001&gt;=20000,"Average",TRUE,"Poor")</f>
        <v>Good</v>
      </c>
      <c r="W1001">
        <f t="shared" si="155"/>
        <v>3</v>
      </c>
      <c r="X1001" t="str">
        <f t="shared" si="156"/>
        <v>August</v>
      </c>
      <c r="Y1001">
        <f>HLOOKUP("Q"&amp;W1001,Bonus_HLookup!$A$1:$E$2,2,FALSE)</f>
        <v>0.06</v>
      </c>
      <c r="Z1001">
        <f t="shared" si="157"/>
        <v>50643.01</v>
      </c>
      <c r="AA1001" s="1">
        <f t="shared" si="158"/>
        <v>40690.120148419803</v>
      </c>
      <c r="AB1001">
        <f t="shared" si="159"/>
        <v>245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election activeCell="C20" sqref="C20"/>
    </sheetView>
  </sheetViews>
  <sheetFormatPr defaultRowHeight="14.4" x14ac:dyDescent="0.3"/>
  <cols>
    <col min="1" max="1" width="18.21875" customWidth="1"/>
    <col min="2" max="3" width="15.33203125" customWidth="1"/>
    <col min="4" max="4" width="16.44140625" customWidth="1"/>
  </cols>
  <sheetData>
    <row r="1" spans="1:4" x14ac:dyDescent="0.3">
      <c r="A1" t="s">
        <v>5</v>
      </c>
      <c r="B1" t="s">
        <v>422</v>
      </c>
      <c r="C1" t="s">
        <v>423</v>
      </c>
      <c r="D1" t="s">
        <v>424</v>
      </c>
    </row>
    <row r="2" spans="1:4" x14ac:dyDescent="0.3">
      <c r="A2" t="s">
        <v>36</v>
      </c>
      <c r="B2" t="s">
        <v>425</v>
      </c>
      <c r="C2" t="s">
        <v>426</v>
      </c>
      <c r="D2">
        <v>45000</v>
      </c>
    </row>
    <row r="3" spans="1:4" x14ac:dyDescent="0.3">
      <c r="A3" t="s">
        <v>52</v>
      </c>
      <c r="B3" t="s">
        <v>427</v>
      </c>
      <c r="C3" t="s">
        <v>428</v>
      </c>
      <c r="D3">
        <v>350</v>
      </c>
    </row>
    <row r="4" spans="1:4" x14ac:dyDescent="0.3">
      <c r="A4" t="s">
        <v>25</v>
      </c>
      <c r="B4" t="s">
        <v>429</v>
      </c>
      <c r="C4" t="s">
        <v>428</v>
      </c>
      <c r="D4">
        <v>1200</v>
      </c>
    </row>
    <row r="5" spans="1:4" x14ac:dyDescent="0.3">
      <c r="A5" t="s">
        <v>21</v>
      </c>
      <c r="B5" t="s">
        <v>430</v>
      </c>
      <c r="C5" t="s">
        <v>426</v>
      </c>
      <c r="D5">
        <v>9000</v>
      </c>
    </row>
    <row r="6" spans="1:4" x14ac:dyDescent="0.3">
      <c r="A6" t="s">
        <v>69</v>
      </c>
      <c r="B6" t="s">
        <v>431</v>
      </c>
      <c r="C6" t="s">
        <v>428</v>
      </c>
      <c r="D6">
        <v>1500</v>
      </c>
    </row>
    <row r="7" spans="1:4" x14ac:dyDescent="0.3">
      <c r="A7" t="s">
        <v>42</v>
      </c>
      <c r="B7" t="s">
        <v>432</v>
      </c>
      <c r="C7" t="s">
        <v>426</v>
      </c>
      <c r="D7">
        <v>6500</v>
      </c>
    </row>
    <row r="8" spans="1:4" x14ac:dyDescent="0.3">
      <c r="A8" t="s">
        <v>74</v>
      </c>
      <c r="B8" t="s">
        <v>433</v>
      </c>
      <c r="C8" t="s">
        <v>426</v>
      </c>
      <c r="D8">
        <v>29000</v>
      </c>
    </row>
    <row r="9" spans="1:4" x14ac:dyDescent="0.3">
      <c r="A9" t="s">
        <v>16</v>
      </c>
      <c r="B9" t="s">
        <v>434</v>
      </c>
      <c r="C9" t="s">
        <v>428</v>
      </c>
      <c r="D9">
        <v>1800</v>
      </c>
    </row>
    <row r="10" spans="1:4" x14ac:dyDescent="0.3">
      <c r="A10" t="s">
        <v>39</v>
      </c>
      <c r="B10" t="s">
        <v>435</v>
      </c>
      <c r="C10" t="s">
        <v>426</v>
      </c>
      <c r="D10">
        <v>5000</v>
      </c>
    </row>
    <row r="11" spans="1:4" x14ac:dyDescent="0.3">
      <c r="A11" t="s">
        <v>28</v>
      </c>
      <c r="B11" t="s">
        <v>436</v>
      </c>
      <c r="C11" t="s">
        <v>428</v>
      </c>
      <c r="D11">
        <v>700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4.4" x14ac:dyDescent="0.3"/>
  <sheetData>
    <row r="1" spans="1:5" x14ac:dyDescent="0.3">
      <c r="A1" t="s">
        <v>437</v>
      </c>
      <c r="B1" t="s">
        <v>438</v>
      </c>
      <c r="C1" t="s">
        <v>439</v>
      </c>
      <c r="D1" t="s">
        <v>440</v>
      </c>
      <c r="E1" t="s">
        <v>441</v>
      </c>
    </row>
    <row r="2" spans="1:5" x14ac:dyDescent="0.3">
      <c r="A2" t="s">
        <v>442</v>
      </c>
      <c r="B2">
        <v>0.02</v>
      </c>
      <c r="C2">
        <v>0.04</v>
      </c>
      <c r="D2">
        <v>0.06</v>
      </c>
      <c r="E2">
        <v>0.08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DashBoard</vt:lpstr>
      <vt:lpstr>Sales_Data</vt:lpstr>
      <vt:lpstr>Product_Master</vt:lpstr>
      <vt:lpstr>Bonus_HLookup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MEENAKSHI MEENU</cp:lastModifiedBy>
  <dcterms:created xsi:type="dcterms:W3CDTF">2026-06-06T04:21:50Z</dcterms:created>
  <dcterms:modified xsi:type="dcterms:W3CDTF">2026-06-06T16:37:21Z</dcterms:modified>
</cp:coreProperties>
</file>